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yanya\Desktop\"/>
    </mc:Choice>
  </mc:AlternateContent>
  <xr:revisionPtr revIDLastSave="0" documentId="13_ncr:1_{B171F723-E64A-4B4E-A2E6-B4EC11BC6D12}" xr6:coauthVersionLast="47" xr6:coauthVersionMax="47" xr10:uidLastSave="{00000000-0000-0000-0000-000000000000}"/>
  <bookViews>
    <workbookView xWindow="-108" yWindow="-108" windowWidth="23256" windowHeight="12456" tabRatio="687" xr2:uid="{00000000-000D-0000-FFFF-FFFF00000000}"/>
  </bookViews>
  <sheets>
    <sheet name="Location conditions" sheetId="15" r:id="rId1"/>
    <sheet name="City influence" sheetId="7" r:id="rId2"/>
    <sheet name="Information flow" sheetId="8" r:id="rId3"/>
    <sheet name="traffic flow" sheetId="12" r:id="rId4"/>
    <sheet name="Industrial structure" sheetId="5" r:id="rId5"/>
    <sheet name="Technological innovation" sheetId="3" r:id="rId6"/>
    <sheet name="Environmental quality" sheetId="6" r:id="rId7"/>
    <sheet name="Urban–rural gap" sheetId="9" r:id="rId8"/>
    <sheet name="Governmental regulation" sheetId="4" r:id="rId9"/>
    <sheet name="Urban Comprehensive Quality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3" i="4" l="1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N86" i="4"/>
  <c r="M86" i="4"/>
  <c r="L86" i="4"/>
  <c r="K86" i="4"/>
  <c r="J86" i="4"/>
  <c r="I86" i="4"/>
  <c r="H86" i="4"/>
  <c r="G86" i="4"/>
  <c r="F86" i="4"/>
  <c r="E86" i="4"/>
  <c r="D86" i="4"/>
  <c r="C86" i="4"/>
  <c r="M85" i="4"/>
  <c r="L85" i="4"/>
  <c r="K85" i="4"/>
  <c r="J85" i="4"/>
  <c r="I85" i="4"/>
  <c r="H85" i="4"/>
  <c r="G85" i="4"/>
  <c r="F85" i="4"/>
  <c r="E85" i="4"/>
  <c r="D85" i="4"/>
  <c r="C85" i="4"/>
  <c r="L84" i="4"/>
  <c r="K84" i="4"/>
  <c r="J84" i="4"/>
  <c r="I84" i="4"/>
  <c r="H84" i="4"/>
  <c r="G84" i="4"/>
  <c r="F84" i="4"/>
  <c r="E84" i="4"/>
  <c r="D84" i="4"/>
  <c r="C84" i="4"/>
  <c r="K83" i="4"/>
  <c r="J83" i="4"/>
  <c r="I83" i="4"/>
  <c r="H83" i="4"/>
  <c r="G83" i="4"/>
  <c r="F83" i="4"/>
  <c r="E83" i="4"/>
  <c r="D83" i="4"/>
  <c r="C83" i="4"/>
  <c r="J82" i="4"/>
  <c r="I82" i="4"/>
  <c r="H82" i="4"/>
  <c r="G82" i="4"/>
  <c r="F82" i="4"/>
  <c r="E82" i="4"/>
  <c r="D82" i="4"/>
  <c r="C82" i="4"/>
  <c r="I81" i="4"/>
  <c r="H81" i="4"/>
  <c r="G81" i="4"/>
  <c r="F81" i="4"/>
  <c r="E81" i="4"/>
  <c r="D81" i="4"/>
  <c r="C81" i="4"/>
  <c r="H80" i="4"/>
  <c r="G80" i="4"/>
  <c r="F80" i="4"/>
  <c r="E80" i="4"/>
  <c r="D80" i="4"/>
  <c r="C80" i="4"/>
  <c r="G79" i="4"/>
  <c r="F79" i="4"/>
  <c r="E79" i="4"/>
  <c r="D79" i="4"/>
  <c r="C79" i="4"/>
  <c r="F78" i="4"/>
  <c r="E78" i="4"/>
  <c r="D78" i="4"/>
  <c r="C78" i="4"/>
  <c r="E77" i="4"/>
  <c r="D77" i="4"/>
  <c r="C77" i="4"/>
  <c r="D76" i="4"/>
  <c r="C76" i="4"/>
  <c r="C75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C35" i="4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N86" i="9"/>
  <c r="M86" i="9"/>
  <c r="L86" i="9"/>
  <c r="K86" i="9"/>
  <c r="J86" i="9"/>
  <c r="I86" i="9"/>
  <c r="H86" i="9"/>
  <c r="G86" i="9"/>
  <c r="F86" i="9"/>
  <c r="E86" i="9"/>
  <c r="D86" i="9"/>
  <c r="C86" i="9"/>
  <c r="M85" i="9"/>
  <c r="L85" i="9"/>
  <c r="K85" i="9"/>
  <c r="J85" i="9"/>
  <c r="I85" i="9"/>
  <c r="H85" i="9"/>
  <c r="G85" i="9"/>
  <c r="F85" i="9"/>
  <c r="E85" i="9"/>
  <c r="D85" i="9"/>
  <c r="C85" i="9"/>
  <c r="L84" i="9"/>
  <c r="K84" i="9"/>
  <c r="J84" i="9"/>
  <c r="I84" i="9"/>
  <c r="H84" i="9"/>
  <c r="G84" i="9"/>
  <c r="F84" i="9"/>
  <c r="E84" i="9"/>
  <c r="D84" i="9"/>
  <c r="C84" i="9"/>
  <c r="K83" i="9"/>
  <c r="J83" i="9"/>
  <c r="I83" i="9"/>
  <c r="H83" i="9"/>
  <c r="G83" i="9"/>
  <c r="F83" i="9"/>
  <c r="E83" i="9"/>
  <c r="D83" i="9"/>
  <c r="C83" i="9"/>
  <c r="J82" i="9"/>
  <c r="I82" i="9"/>
  <c r="H82" i="9"/>
  <c r="G82" i="9"/>
  <c r="F82" i="9"/>
  <c r="E82" i="9"/>
  <c r="D82" i="9"/>
  <c r="C82" i="9"/>
  <c r="I81" i="9"/>
  <c r="H81" i="9"/>
  <c r="G81" i="9"/>
  <c r="F81" i="9"/>
  <c r="E81" i="9"/>
  <c r="D81" i="9"/>
  <c r="C81" i="9"/>
  <c r="H80" i="9"/>
  <c r="G80" i="9"/>
  <c r="F80" i="9"/>
  <c r="E80" i="9"/>
  <c r="D80" i="9"/>
  <c r="C80" i="9"/>
  <c r="G79" i="9"/>
  <c r="F79" i="9"/>
  <c r="E79" i="9"/>
  <c r="D79" i="9"/>
  <c r="C79" i="9"/>
  <c r="F78" i="9"/>
  <c r="E78" i="9"/>
  <c r="D78" i="9"/>
  <c r="C78" i="9"/>
  <c r="E77" i="9"/>
  <c r="D77" i="9"/>
  <c r="C77" i="9"/>
  <c r="D76" i="9"/>
  <c r="C76" i="9"/>
  <c r="C75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C35" i="9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N86" i="6"/>
  <c r="M86" i="6"/>
  <c r="L86" i="6"/>
  <c r="K86" i="6"/>
  <c r="J86" i="6"/>
  <c r="I86" i="6"/>
  <c r="H86" i="6"/>
  <c r="G86" i="6"/>
  <c r="F86" i="6"/>
  <c r="E86" i="6"/>
  <c r="D86" i="6"/>
  <c r="C86" i="6"/>
  <c r="M85" i="6"/>
  <c r="L85" i="6"/>
  <c r="K85" i="6"/>
  <c r="J85" i="6"/>
  <c r="I85" i="6"/>
  <c r="H85" i="6"/>
  <c r="G85" i="6"/>
  <c r="F85" i="6"/>
  <c r="E85" i="6"/>
  <c r="D85" i="6"/>
  <c r="C85" i="6"/>
  <c r="L84" i="6"/>
  <c r="K84" i="6"/>
  <c r="J84" i="6"/>
  <c r="I84" i="6"/>
  <c r="H84" i="6"/>
  <c r="G84" i="6"/>
  <c r="F84" i="6"/>
  <c r="E84" i="6"/>
  <c r="D84" i="6"/>
  <c r="C84" i="6"/>
  <c r="K83" i="6"/>
  <c r="J83" i="6"/>
  <c r="I83" i="6"/>
  <c r="H83" i="6"/>
  <c r="G83" i="6"/>
  <c r="F83" i="6"/>
  <c r="E83" i="6"/>
  <c r="D83" i="6"/>
  <c r="C83" i="6"/>
  <c r="J82" i="6"/>
  <c r="I82" i="6"/>
  <c r="H82" i="6"/>
  <c r="G82" i="6"/>
  <c r="F82" i="6"/>
  <c r="E82" i="6"/>
  <c r="D82" i="6"/>
  <c r="C82" i="6"/>
  <c r="I81" i="6"/>
  <c r="H81" i="6"/>
  <c r="G81" i="6"/>
  <c r="F81" i="6"/>
  <c r="E81" i="6"/>
  <c r="D81" i="6"/>
  <c r="C81" i="6"/>
  <c r="H80" i="6"/>
  <c r="G80" i="6"/>
  <c r="F80" i="6"/>
  <c r="E80" i="6"/>
  <c r="D80" i="6"/>
  <c r="C80" i="6"/>
  <c r="G79" i="6"/>
  <c r="F79" i="6"/>
  <c r="E79" i="6"/>
  <c r="D79" i="6"/>
  <c r="C79" i="6"/>
  <c r="F78" i="6"/>
  <c r="E78" i="6"/>
  <c r="D78" i="6"/>
  <c r="C78" i="6"/>
  <c r="E77" i="6"/>
  <c r="D77" i="6"/>
  <c r="C77" i="6"/>
  <c r="D76" i="6"/>
  <c r="C76" i="6"/>
  <c r="C75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C35" i="6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N86" i="3"/>
  <c r="M86" i="3"/>
  <c r="L86" i="3"/>
  <c r="K86" i="3"/>
  <c r="J86" i="3"/>
  <c r="I86" i="3"/>
  <c r="H86" i="3"/>
  <c r="G86" i="3"/>
  <c r="F86" i="3"/>
  <c r="E86" i="3"/>
  <c r="D86" i="3"/>
  <c r="C86" i="3"/>
  <c r="M85" i="3"/>
  <c r="L85" i="3"/>
  <c r="K85" i="3"/>
  <c r="J85" i="3"/>
  <c r="I85" i="3"/>
  <c r="H85" i="3"/>
  <c r="G85" i="3"/>
  <c r="F85" i="3"/>
  <c r="E85" i="3"/>
  <c r="D85" i="3"/>
  <c r="C85" i="3"/>
  <c r="L84" i="3"/>
  <c r="K84" i="3"/>
  <c r="J84" i="3"/>
  <c r="I84" i="3"/>
  <c r="H84" i="3"/>
  <c r="G84" i="3"/>
  <c r="F84" i="3"/>
  <c r="E84" i="3"/>
  <c r="D84" i="3"/>
  <c r="C84" i="3"/>
  <c r="K83" i="3"/>
  <c r="J83" i="3"/>
  <c r="I83" i="3"/>
  <c r="H83" i="3"/>
  <c r="G83" i="3"/>
  <c r="F83" i="3"/>
  <c r="E83" i="3"/>
  <c r="D83" i="3"/>
  <c r="C83" i="3"/>
  <c r="J82" i="3"/>
  <c r="I82" i="3"/>
  <c r="H82" i="3"/>
  <c r="G82" i="3"/>
  <c r="F82" i="3"/>
  <c r="E82" i="3"/>
  <c r="D82" i="3"/>
  <c r="C82" i="3"/>
  <c r="I81" i="3"/>
  <c r="H81" i="3"/>
  <c r="G81" i="3"/>
  <c r="F81" i="3"/>
  <c r="E81" i="3"/>
  <c r="D81" i="3"/>
  <c r="C81" i="3"/>
  <c r="H80" i="3"/>
  <c r="G80" i="3"/>
  <c r="F80" i="3"/>
  <c r="E80" i="3"/>
  <c r="D80" i="3"/>
  <c r="C80" i="3"/>
  <c r="G79" i="3"/>
  <c r="F79" i="3"/>
  <c r="E79" i="3"/>
  <c r="D79" i="3"/>
  <c r="C79" i="3"/>
  <c r="F78" i="3"/>
  <c r="E78" i="3"/>
  <c r="D78" i="3"/>
  <c r="C78" i="3"/>
  <c r="E77" i="3"/>
  <c r="D77" i="3"/>
  <c r="C77" i="3"/>
  <c r="D76" i="3"/>
  <c r="C76" i="3"/>
  <c r="C75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C35" i="3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N83" i="5"/>
  <c r="M83" i="5"/>
  <c r="L83" i="5"/>
  <c r="K83" i="5"/>
  <c r="J83" i="5"/>
  <c r="I83" i="5"/>
  <c r="H83" i="5"/>
  <c r="G83" i="5"/>
  <c r="F83" i="5"/>
  <c r="E83" i="5"/>
  <c r="D83" i="5"/>
  <c r="C83" i="5"/>
  <c r="M82" i="5"/>
  <c r="L82" i="5"/>
  <c r="K82" i="5"/>
  <c r="J82" i="5"/>
  <c r="I82" i="5"/>
  <c r="H82" i="5"/>
  <c r="G82" i="5"/>
  <c r="F82" i="5"/>
  <c r="E82" i="5"/>
  <c r="D82" i="5"/>
  <c r="C82" i="5"/>
  <c r="L81" i="5"/>
  <c r="K81" i="5"/>
  <c r="J81" i="5"/>
  <c r="I81" i="5"/>
  <c r="H81" i="5"/>
  <c r="G81" i="5"/>
  <c r="F81" i="5"/>
  <c r="E81" i="5"/>
  <c r="D81" i="5"/>
  <c r="C81" i="5"/>
  <c r="K80" i="5"/>
  <c r="J80" i="5"/>
  <c r="I80" i="5"/>
  <c r="H80" i="5"/>
  <c r="G80" i="5"/>
  <c r="F80" i="5"/>
  <c r="E80" i="5"/>
  <c r="D80" i="5"/>
  <c r="C80" i="5"/>
  <c r="J79" i="5"/>
  <c r="I79" i="5"/>
  <c r="H79" i="5"/>
  <c r="G79" i="5"/>
  <c r="F79" i="5"/>
  <c r="E79" i="5"/>
  <c r="D79" i="5"/>
  <c r="C79" i="5"/>
  <c r="I78" i="5"/>
  <c r="H78" i="5"/>
  <c r="G78" i="5"/>
  <c r="F78" i="5"/>
  <c r="E78" i="5"/>
  <c r="D78" i="5"/>
  <c r="C78" i="5"/>
  <c r="H77" i="5"/>
  <c r="G77" i="5"/>
  <c r="F77" i="5"/>
  <c r="E77" i="5"/>
  <c r="D77" i="5"/>
  <c r="C77" i="5"/>
  <c r="G76" i="5"/>
  <c r="F76" i="5"/>
  <c r="E76" i="5"/>
  <c r="D76" i="5"/>
  <c r="C76" i="5"/>
  <c r="F75" i="5"/>
  <c r="E75" i="5"/>
  <c r="D75" i="5"/>
  <c r="C75" i="5"/>
  <c r="E74" i="5"/>
  <c r="D74" i="5"/>
  <c r="C74" i="5"/>
  <c r="D73" i="5"/>
  <c r="C73" i="5"/>
  <c r="C72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C35" i="5"/>
  <c r="BL232" i="12"/>
  <c r="BK232" i="12"/>
  <c r="BJ232" i="12"/>
  <c r="BI232" i="12"/>
  <c r="BH232" i="12"/>
  <c r="BG232" i="12"/>
  <c r="BF232" i="12"/>
  <c r="BE232" i="12"/>
  <c r="BD232" i="12"/>
  <c r="BC232" i="12"/>
  <c r="BB232" i="12"/>
  <c r="BA232" i="12"/>
  <c r="AZ232" i="12"/>
  <c r="AY232" i="12"/>
  <c r="AX232" i="12"/>
  <c r="AW232" i="12"/>
  <c r="AV232" i="12"/>
  <c r="AU232" i="12"/>
  <c r="AT232" i="12"/>
  <c r="AS232" i="12"/>
  <c r="AR232" i="12"/>
  <c r="AQ232" i="12"/>
  <c r="AP232" i="12"/>
  <c r="AO232" i="12"/>
  <c r="AN232" i="12"/>
  <c r="AM232" i="12"/>
  <c r="AL232" i="12"/>
  <c r="AK232" i="12"/>
  <c r="AJ232" i="12"/>
  <c r="AI232" i="12"/>
  <c r="BL231" i="12"/>
  <c r="BK231" i="12"/>
  <c r="BJ231" i="12"/>
  <c r="BI231" i="12"/>
  <c r="BH231" i="12"/>
  <c r="BG231" i="12"/>
  <c r="BF231" i="12"/>
  <c r="BE231" i="12"/>
  <c r="BD231" i="12"/>
  <c r="BC231" i="12"/>
  <c r="BB231" i="12"/>
  <c r="BA231" i="12"/>
  <c r="AZ231" i="12"/>
  <c r="AY231" i="12"/>
  <c r="AX231" i="12"/>
  <c r="AW231" i="12"/>
  <c r="AV231" i="12"/>
  <c r="AU231" i="12"/>
  <c r="AT231" i="12"/>
  <c r="AS231" i="12"/>
  <c r="AR231" i="12"/>
  <c r="AQ231" i="12"/>
  <c r="AP231" i="12"/>
  <c r="AO231" i="12"/>
  <c r="AN231" i="12"/>
  <c r="AM231" i="12"/>
  <c r="AL231" i="12"/>
  <c r="AK231" i="12"/>
  <c r="AJ231" i="12"/>
  <c r="AI231" i="12"/>
  <c r="BL230" i="12"/>
  <c r="BK230" i="12"/>
  <c r="BJ230" i="12"/>
  <c r="BI230" i="12"/>
  <c r="BH230" i="12"/>
  <c r="BG230" i="12"/>
  <c r="BF230" i="12"/>
  <c r="BE230" i="12"/>
  <c r="BD230" i="12"/>
  <c r="BC230" i="12"/>
  <c r="BB230" i="12"/>
  <c r="BA230" i="12"/>
  <c r="AZ230" i="12"/>
  <c r="AY230" i="12"/>
  <c r="AX230" i="12"/>
  <c r="AW230" i="12"/>
  <c r="AV230" i="12"/>
  <c r="AU230" i="12"/>
  <c r="AT230" i="12"/>
  <c r="AS230" i="12"/>
  <c r="AR230" i="12"/>
  <c r="AQ230" i="12"/>
  <c r="AP230" i="12"/>
  <c r="AO230" i="12"/>
  <c r="AN230" i="12"/>
  <c r="AM230" i="12"/>
  <c r="AL230" i="12"/>
  <c r="AK230" i="12"/>
  <c r="AJ230" i="12"/>
  <c r="AI230" i="12"/>
  <c r="BL229" i="12"/>
  <c r="BK229" i="12"/>
  <c r="BJ229" i="12"/>
  <c r="BI229" i="12"/>
  <c r="BH229" i="12"/>
  <c r="BG229" i="12"/>
  <c r="BF229" i="12"/>
  <c r="BE229" i="12"/>
  <c r="BD229" i="12"/>
  <c r="BC229" i="12"/>
  <c r="BB229" i="12"/>
  <c r="BA229" i="12"/>
  <c r="AZ229" i="12"/>
  <c r="AY229" i="12"/>
  <c r="AX229" i="12"/>
  <c r="AW229" i="12"/>
  <c r="AV229" i="12"/>
  <c r="AU229" i="12"/>
  <c r="AT229" i="12"/>
  <c r="AS229" i="12"/>
  <c r="AR229" i="12"/>
  <c r="AQ229" i="12"/>
  <c r="AP229" i="12"/>
  <c r="AO229" i="12"/>
  <c r="AN229" i="12"/>
  <c r="AM229" i="12"/>
  <c r="AL229" i="12"/>
  <c r="AK229" i="12"/>
  <c r="AJ229" i="12"/>
  <c r="AI229" i="12"/>
  <c r="BL228" i="12"/>
  <c r="BK228" i="12"/>
  <c r="BJ228" i="12"/>
  <c r="BI228" i="12"/>
  <c r="BH228" i="12"/>
  <c r="BG228" i="12"/>
  <c r="BF228" i="12"/>
  <c r="BE228" i="12"/>
  <c r="BD228" i="12"/>
  <c r="BC228" i="12"/>
  <c r="BB228" i="12"/>
  <c r="BA228" i="12"/>
  <c r="AZ228" i="12"/>
  <c r="AY228" i="12"/>
  <c r="AX228" i="12"/>
  <c r="AW228" i="12"/>
  <c r="AV228" i="12"/>
  <c r="AU228" i="12"/>
  <c r="AT228" i="12"/>
  <c r="AS228" i="12"/>
  <c r="AR228" i="12"/>
  <c r="AQ228" i="12"/>
  <c r="AP228" i="12"/>
  <c r="AO228" i="12"/>
  <c r="AN228" i="12"/>
  <c r="AM228" i="12"/>
  <c r="AL228" i="12"/>
  <c r="AK228" i="12"/>
  <c r="AJ228" i="12"/>
  <c r="AI228" i="12"/>
  <c r="BL227" i="12"/>
  <c r="BK227" i="12"/>
  <c r="BJ227" i="12"/>
  <c r="BI227" i="12"/>
  <c r="BH227" i="12"/>
  <c r="BG227" i="12"/>
  <c r="BF227" i="12"/>
  <c r="BE227" i="12"/>
  <c r="BD227" i="12"/>
  <c r="BC227" i="12"/>
  <c r="BB227" i="12"/>
  <c r="BA227" i="12"/>
  <c r="AZ227" i="12"/>
  <c r="AY227" i="12"/>
  <c r="AX227" i="12"/>
  <c r="AW227" i="12"/>
  <c r="AV227" i="12"/>
  <c r="AU227" i="12"/>
  <c r="AT227" i="12"/>
  <c r="AS227" i="12"/>
  <c r="AR227" i="12"/>
  <c r="AQ227" i="12"/>
  <c r="AP227" i="12"/>
  <c r="AO227" i="12"/>
  <c r="AN227" i="12"/>
  <c r="AM227" i="12"/>
  <c r="AL227" i="12"/>
  <c r="AK227" i="12"/>
  <c r="AJ227" i="12"/>
  <c r="AI227" i="12"/>
  <c r="BL226" i="12"/>
  <c r="BK226" i="12"/>
  <c r="BJ226" i="12"/>
  <c r="BI226" i="12"/>
  <c r="BH226" i="12"/>
  <c r="BG226" i="12"/>
  <c r="BF226" i="12"/>
  <c r="BE226" i="12"/>
  <c r="BD226" i="12"/>
  <c r="BC226" i="12"/>
  <c r="BB226" i="12"/>
  <c r="BA226" i="12"/>
  <c r="AZ226" i="12"/>
  <c r="AY226" i="12"/>
  <c r="AX226" i="12"/>
  <c r="AW226" i="12"/>
  <c r="AV226" i="12"/>
  <c r="AU226" i="12"/>
  <c r="AT226" i="12"/>
  <c r="AS226" i="12"/>
  <c r="AR226" i="12"/>
  <c r="AQ226" i="12"/>
  <c r="AP226" i="12"/>
  <c r="AO226" i="12"/>
  <c r="AN226" i="12"/>
  <c r="AM226" i="12"/>
  <c r="AL226" i="12"/>
  <c r="AK226" i="12"/>
  <c r="AJ226" i="12"/>
  <c r="AI226" i="12"/>
  <c r="BL225" i="12"/>
  <c r="BK225" i="12"/>
  <c r="BJ225" i="12"/>
  <c r="BI225" i="12"/>
  <c r="BH225" i="12"/>
  <c r="BG225" i="12"/>
  <c r="BF225" i="12"/>
  <c r="BE225" i="12"/>
  <c r="BD225" i="12"/>
  <c r="BC225" i="12"/>
  <c r="BB225" i="12"/>
  <c r="BA225" i="12"/>
  <c r="AZ225" i="12"/>
  <c r="AY225" i="12"/>
  <c r="AX225" i="12"/>
  <c r="AW225" i="12"/>
  <c r="AV225" i="12"/>
  <c r="AU225" i="12"/>
  <c r="AT225" i="12"/>
  <c r="AS225" i="12"/>
  <c r="AR225" i="12"/>
  <c r="AQ225" i="12"/>
  <c r="AP225" i="12"/>
  <c r="AO225" i="12"/>
  <c r="AN225" i="12"/>
  <c r="AM225" i="12"/>
  <c r="AL225" i="12"/>
  <c r="AK225" i="12"/>
  <c r="AJ225" i="12"/>
  <c r="AI225" i="12"/>
  <c r="BL224" i="12"/>
  <c r="BK224" i="12"/>
  <c r="BJ224" i="12"/>
  <c r="BI224" i="12"/>
  <c r="BH224" i="12"/>
  <c r="BG224" i="12"/>
  <c r="BF224" i="12"/>
  <c r="BE224" i="12"/>
  <c r="BD224" i="12"/>
  <c r="BC224" i="12"/>
  <c r="BB224" i="12"/>
  <c r="BA224" i="12"/>
  <c r="AZ224" i="12"/>
  <c r="AY224" i="12"/>
  <c r="AX224" i="12"/>
  <c r="AW224" i="12"/>
  <c r="AV224" i="12"/>
  <c r="AU224" i="12"/>
  <c r="AT224" i="12"/>
  <c r="AS224" i="12"/>
  <c r="AR224" i="12"/>
  <c r="AQ224" i="12"/>
  <c r="AP224" i="12"/>
  <c r="AO224" i="12"/>
  <c r="AN224" i="12"/>
  <c r="AM224" i="12"/>
  <c r="AL224" i="12"/>
  <c r="AK224" i="12"/>
  <c r="AJ224" i="12"/>
  <c r="AI224" i="12"/>
  <c r="BL223" i="12"/>
  <c r="BK223" i="12"/>
  <c r="BJ223" i="12"/>
  <c r="BI223" i="12"/>
  <c r="BH223" i="12"/>
  <c r="BG223" i="12"/>
  <c r="BF223" i="12"/>
  <c r="BE223" i="12"/>
  <c r="BD223" i="12"/>
  <c r="BC223" i="12"/>
  <c r="BB223" i="12"/>
  <c r="BA223" i="12"/>
  <c r="AZ223" i="12"/>
  <c r="AY223" i="12"/>
  <c r="AX223" i="12"/>
  <c r="AW223" i="12"/>
  <c r="AV223" i="12"/>
  <c r="AU223" i="12"/>
  <c r="AT223" i="12"/>
  <c r="AS223" i="12"/>
  <c r="AR223" i="12"/>
  <c r="AQ223" i="12"/>
  <c r="AP223" i="12"/>
  <c r="AO223" i="12"/>
  <c r="AN223" i="12"/>
  <c r="AM223" i="12"/>
  <c r="AL223" i="12"/>
  <c r="AK223" i="12"/>
  <c r="AJ223" i="12"/>
  <c r="AI223" i="12"/>
  <c r="BL222" i="12"/>
  <c r="BK222" i="12"/>
  <c r="BJ222" i="12"/>
  <c r="BI222" i="12"/>
  <c r="BH222" i="12"/>
  <c r="BG222" i="12"/>
  <c r="BF222" i="12"/>
  <c r="BE222" i="12"/>
  <c r="BD222" i="12"/>
  <c r="BC222" i="12"/>
  <c r="BB222" i="12"/>
  <c r="BA222" i="12"/>
  <c r="AZ222" i="12"/>
  <c r="AY222" i="12"/>
  <c r="AX222" i="12"/>
  <c r="AW222" i="12"/>
  <c r="AV222" i="12"/>
  <c r="AU222" i="12"/>
  <c r="AT222" i="12"/>
  <c r="AS222" i="12"/>
  <c r="AR222" i="12"/>
  <c r="AQ222" i="12"/>
  <c r="AP222" i="12"/>
  <c r="AO222" i="12"/>
  <c r="AN222" i="12"/>
  <c r="AM222" i="12"/>
  <c r="AL222" i="12"/>
  <c r="AK222" i="12"/>
  <c r="AJ222" i="12"/>
  <c r="AI222" i="12"/>
  <c r="BL221" i="12"/>
  <c r="BK221" i="12"/>
  <c r="BJ221" i="12"/>
  <c r="BI221" i="12"/>
  <c r="BH221" i="12"/>
  <c r="BG221" i="12"/>
  <c r="BF221" i="12"/>
  <c r="BE221" i="12"/>
  <c r="BD221" i="12"/>
  <c r="BC221" i="12"/>
  <c r="BB221" i="12"/>
  <c r="BA221" i="12"/>
  <c r="AZ221" i="12"/>
  <c r="AY221" i="12"/>
  <c r="AX221" i="12"/>
  <c r="AW221" i="12"/>
  <c r="AV221" i="12"/>
  <c r="AU221" i="12"/>
  <c r="AT221" i="12"/>
  <c r="AS221" i="12"/>
  <c r="AR221" i="12"/>
  <c r="AQ221" i="12"/>
  <c r="AP221" i="12"/>
  <c r="AO221" i="12"/>
  <c r="AN221" i="12"/>
  <c r="AM221" i="12"/>
  <c r="AL221" i="12"/>
  <c r="AK221" i="12"/>
  <c r="AJ221" i="12"/>
  <c r="AI221" i="12"/>
  <c r="BL220" i="12"/>
  <c r="BK220" i="12"/>
  <c r="BJ220" i="12"/>
  <c r="BI220" i="12"/>
  <c r="BH220" i="12"/>
  <c r="BG220" i="12"/>
  <c r="BF220" i="12"/>
  <c r="BE220" i="12"/>
  <c r="BD220" i="12"/>
  <c r="BC220" i="12"/>
  <c r="BB220" i="12"/>
  <c r="BA220" i="12"/>
  <c r="AZ220" i="12"/>
  <c r="AY220" i="12"/>
  <c r="AX220" i="12"/>
  <c r="AW220" i="12"/>
  <c r="AV220" i="12"/>
  <c r="AU220" i="12"/>
  <c r="AT220" i="12"/>
  <c r="AS220" i="12"/>
  <c r="AR220" i="12"/>
  <c r="AQ220" i="12"/>
  <c r="AP220" i="12"/>
  <c r="AO220" i="12"/>
  <c r="AN220" i="12"/>
  <c r="AM220" i="12"/>
  <c r="AL220" i="12"/>
  <c r="AK220" i="12"/>
  <c r="AJ220" i="12"/>
  <c r="AI220" i="12"/>
  <c r="BL219" i="12"/>
  <c r="BK219" i="12"/>
  <c r="BJ219" i="12"/>
  <c r="BI219" i="12"/>
  <c r="BH219" i="12"/>
  <c r="BG219" i="12"/>
  <c r="BF219" i="12"/>
  <c r="BE219" i="12"/>
  <c r="BD219" i="12"/>
  <c r="BC219" i="12"/>
  <c r="BB219" i="12"/>
  <c r="BA219" i="12"/>
  <c r="AZ219" i="12"/>
  <c r="AY219" i="12"/>
  <c r="AX219" i="12"/>
  <c r="AW219" i="12"/>
  <c r="AV219" i="12"/>
  <c r="AU219" i="12"/>
  <c r="AT219" i="12"/>
  <c r="AS219" i="12"/>
  <c r="AR219" i="12"/>
  <c r="AQ219" i="12"/>
  <c r="AP219" i="12"/>
  <c r="AO219" i="12"/>
  <c r="AN219" i="12"/>
  <c r="AM219" i="12"/>
  <c r="AL219" i="12"/>
  <c r="AK219" i="12"/>
  <c r="AJ219" i="12"/>
  <c r="AI219" i="12"/>
  <c r="BL218" i="12"/>
  <c r="BK218" i="12"/>
  <c r="BJ218" i="12"/>
  <c r="BI218" i="12"/>
  <c r="BH218" i="12"/>
  <c r="BG218" i="12"/>
  <c r="BF218" i="12"/>
  <c r="BE218" i="12"/>
  <c r="BD218" i="12"/>
  <c r="BC218" i="12"/>
  <c r="BB218" i="12"/>
  <c r="BA218" i="12"/>
  <c r="AZ218" i="12"/>
  <c r="AY218" i="12"/>
  <c r="AX218" i="12"/>
  <c r="AW218" i="12"/>
  <c r="AV218" i="12"/>
  <c r="AU218" i="12"/>
  <c r="AT218" i="12"/>
  <c r="AS218" i="12"/>
  <c r="AR218" i="12"/>
  <c r="AQ218" i="12"/>
  <c r="AP218" i="12"/>
  <c r="AO218" i="12"/>
  <c r="AN218" i="12"/>
  <c r="AM218" i="12"/>
  <c r="AL218" i="12"/>
  <c r="AK218" i="12"/>
  <c r="AJ218" i="12"/>
  <c r="AI218" i="12"/>
  <c r="BL217" i="12"/>
  <c r="BK217" i="12"/>
  <c r="BJ217" i="12"/>
  <c r="BI217" i="12"/>
  <c r="BH217" i="12"/>
  <c r="BG217" i="12"/>
  <c r="BF217" i="12"/>
  <c r="BE217" i="12"/>
  <c r="BD217" i="12"/>
  <c r="BC217" i="12"/>
  <c r="BB217" i="12"/>
  <c r="BA217" i="12"/>
  <c r="AZ217" i="12"/>
  <c r="AY217" i="12"/>
  <c r="AX217" i="12"/>
  <c r="AW217" i="12"/>
  <c r="AV217" i="12"/>
  <c r="AU217" i="12"/>
  <c r="AT217" i="12"/>
  <c r="AS217" i="12"/>
  <c r="AR217" i="12"/>
  <c r="AQ217" i="12"/>
  <c r="AP217" i="12"/>
  <c r="AO217" i="12"/>
  <c r="AN217" i="12"/>
  <c r="AM217" i="12"/>
  <c r="AL217" i="12"/>
  <c r="AK217" i="12"/>
  <c r="AJ217" i="12"/>
  <c r="AI217" i="12"/>
  <c r="BL216" i="12"/>
  <c r="BK216" i="12"/>
  <c r="BJ216" i="12"/>
  <c r="BI216" i="12"/>
  <c r="BH216" i="12"/>
  <c r="BG216" i="12"/>
  <c r="BF216" i="12"/>
  <c r="BE216" i="12"/>
  <c r="BD216" i="12"/>
  <c r="BC216" i="12"/>
  <c r="BB216" i="12"/>
  <c r="BA216" i="12"/>
  <c r="AZ216" i="12"/>
  <c r="AY216" i="12"/>
  <c r="AX216" i="12"/>
  <c r="AW216" i="12"/>
  <c r="AV216" i="12"/>
  <c r="AU216" i="12"/>
  <c r="AT216" i="12"/>
  <c r="AS216" i="12"/>
  <c r="AR216" i="12"/>
  <c r="AQ216" i="12"/>
  <c r="AP216" i="12"/>
  <c r="AO216" i="12"/>
  <c r="AN216" i="12"/>
  <c r="AM216" i="12"/>
  <c r="AL216" i="12"/>
  <c r="AK216" i="12"/>
  <c r="AJ216" i="12"/>
  <c r="AI216" i="12"/>
  <c r="BL215" i="12"/>
  <c r="BK215" i="12"/>
  <c r="BJ215" i="12"/>
  <c r="BI215" i="12"/>
  <c r="BH215" i="12"/>
  <c r="BG215" i="12"/>
  <c r="BF215" i="12"/>
  <c r="BE215" i="12"/>
  <c r="BD215" i="12"/>
  <c r="BC215" i="12"/>
  <c r="BB215" i="12"/>
  <c r="BA215" i="12"/>
  <c r="AZ215" i="12"/>
  <c r="AY215" i="12"/>
  <c r="AX215" i="12"/>
  <c r="AW215" i="12"/>
  <c r="AV215" i="12"/>
  <c r="AU215" i="12"/>
  <c r="AT215" i="12"/>
  <c r="AS215" i="12"/>
  <c r="AR215" i="12"/>
  <c r="AQ215" i="12"/>
  <c r="AP215" i="12"/>
  <c r="AO215" i="12"/>
  <c r="AN215" i="12"/>
  <c r="AM215" i="12"/>
  <c r="AL215" i="12"/>
  <c r="AK215" i="12"/>
  <c r="AJ215" i="12"/>
  <c r="AI215" i="12"/>
  <c r="BL214" i="12"/>
  <c r="BK214" i="12"/>
  <c r="BJ214" i="12"/>
  <c r="BI214" i="12"/>
  <c r="BH214" i="12"/>
  <c r="BG214" i="12"/>
  <c r="BF214" i="12"/>
  <c r="BE214" i="12"/>
  <c r="BD214" i="12"/>
  <c r="BC214" i="12"/>
  <c r="BB214" i="12"/>
  <c r="BA214" i="12"/>
  <c r="AZ214" i="12"/>
  <c r="AY214" i="12"/>
  <c r="AX214" i="12"/>
  <c r="AW214" i="12"/>
  <c r="AV214" i="12"/>
  <c r="AU214" i="12"/>
  <c r="AT214" i="12"/>
  <c r="AS214" i="12"/>
  <c r="AR214" i="12"/>
  <c r="AQ214" i="12"/>
  <c r="AP214" i="12"/>
  <c r="AO214" i="12"/>
  <c r="AN214" i="12"/>
  <c r="AM214" i="12"/>
  <c r="AL214" i="12"/>
  <c r="AK214" i="12"/>
  <c r="AJ214" i="12"/>
  <c r="AI214" i="12"/>
  <c r="BL213" i="12"/>
  <c r="BK213" i="12"/>
  <c r="BJ213" i="12"/>
  <c r="BI213" i="12"/>
  <c r="BH213" i="12"/>
  <c r="BG213" i="12"/>
  <c r="BF213" i="12"/>
  <c r="BE213" i="12"/>
  <c r="BD213" i="12"/>
  <c r="BC213" i="12"/>
  <c r="BB213" i="12"/>
  <c r="BA213" i="12"/>
  <c r="AZ213" i="12"/>
  <c r="AY213" i="12"/>
  <c r="AX213" i="12"/>
  <c r="AW213" i="12"/>
  <c r="AV213" i="12"/>
  <c r="AU213" i="12"/>
  <c r="AT213" i="12"/>
  <c r="AS213" i="12"/>
  <c r="AR213" i="12"/>
  <c r="AQ213" i="12"/>
  <c r="AP213" i="12"/>
  <c r="AO213" i="12"/>
  <c r="AN213" i="12"/>
  <c r="AM213" i="12"/>
  <c r="AL213" i="12"/>
  <c r="AK213" i="12"/>
  <c r="AJ213" i="12"/>
  <c r="AI213" i="12"/>
  <c r="BL212" i="12"/>
  <c r="BK212" i="12"/>
  <c r="BJ212" i="12"/>
  <c r="BI212" i="12"/>
  <c r="BH212" i="12"/>
  <c r="BG212" i="12"/>
  <c r="BF212" i="12"/>
  <c r="BE212" i="12"/>
  <c r="BD212" i="12"/>
  <c r="BC212" i="12"/>
  <c r="BB212" i="12"/>
  <c r="BA212" i="12"/>
  <c r="AZ212" i="12"/>
  <c r="AY212" i="12"/>
  <c r="AX212" i="12"/>
  <c r="AW212" i="12"/>
  <c r="AV212" i="12"/>
  <c r="AU212" i="12"/>
  <c r="AT212" i="12"/>
  <c r="AS212" i="12"/>
  <c r="AR212" i="12"/>
  <c r="AQ212" i="12"/>
  <c r="AP212" i="12"/>
  <c r="AO212" i="12"/>
  <c r="AN212" i="12"/>
  <c r="AM212" i="12"/>
  <c r="AL212" i="12"/>
  <c r="AK212" i="12"/>
  <c r="AJ212" i="12"/>
  <c r="AI212" i="12"/>
  <c r="BL211" i="12"/>
  <c r="BK211" i="12"/>
  <c r="BJ211" i="12"/>
  <c r="BI211" i="12"/>
  <c r="BH211" i="12"/>
  <c r="BG211" i="12"/>
  <c r="BF211" i="12"/>
  <c r="BE211" i="12"/>
  <c r="BD211" i="12"/>
  <c r="BC211" i="12"/>
  <c r="BB211" i="12"/>
  <c r="BA211" i="12"/>
  <c r="AZ211" i="12"/>
  <c r="AY211" i="12"/>
  <c r="AX211" i="12"/>
  <c r="AW211" i="12"/>
  <c r="AV211" i="12"/>
  <c r="AU211" i="12"/>
  <c r="AT211" i="12"/>
  <c r="AS211" i="12"/>
  <c r="AR211" i="12"/>
  <c r="AQ211" i="12"/>
  <c r="AP211" i="12"/>
  <c r="AO211" i="12"/>
  <c r="AN211" i="12"/>
  <c r="AM211" i="12"/>
  <c r="AL211" i="12"/>
  <c r="AK211" i="12"/>
  <c r="AJ211" i="12"/>
  <c r="AI211" i="12"/>
  <c r="BL210" i="12"/>
  <c r="BK210" i="12"/>
  <c r="BJ210" i="12"/>
  <c r="BI210" i="12"/>
  <c r="BH210" i="12"/>
  <c r="BG210" i="12"/>
  <c r="BF210" i="12"/>
  <c r="BE210" i="12"/>
  <c r="BD210" i="12"/>
  <c r="BC210" i="12"/>
  <c r="BB210" i="12"/>
  <c r="BA210" i="12"/>
  <c r="AZ210" i="12"/>
  <c r="AY210" i="12"/>
  <c r="AX210" i="12"/>
  <c r="AW210" i="12"/>
  <c r="AV210" i="12"/>
  <c r="AU210" i="12"/>
  <c r="AT210" i="12"/>
  <c r="AS210" i="12"/>
  <c r="AR210" i="12"/>
  <c r="AQ210" i="12"/>
  <c r="AP210" i="12"/>
  <c r="AO210" i="12"/>
  <c r="AN210" i="12"/>
  <c r="AM210" i="12"/>
  <c r="AL210" i="12"/>
  <c r="AK210" i="12"/>
  <c r="AJ210" i="12"/>
  <c r="AI210" i="12"/>
  <c r="BL209" i="12"/>
  <c r="BK209" i="12"/>
  <c r="BJ209" i="12"/>
  <c r="BI209" i="12"/>
  <c r="BH209" i="12"/>
  <c r="BG209" i="12"/>
  <c r="BF209" i="12"/>
  <c r="BE209" i="12"/>
  <c r="BD209" i="12"/>
  <c r="BC209" i="12"/>
  <c r="BB209" i="12"/>
  <c r="BA209" i="12"/>
  <c r="AZ209" i="12"/>
  <c r="AY209" i="12"/>
  <c r="AX209" i="12"/>
  <c r="AW209" i="12"/>
  <c r="AV209" i="12"/>
  <c r="AU209" i="12"/>
  <c r="AT209" i="12"/>
  <c r="AS209" i="12"/>
  <c r="AR209" i="12"/>
  <c r="AQ209" i="12"/>
  <c r="AP209" i="12"/>
  <c r="AO209" i="12"/>
  <c r="AN209" i="12"/>
  <c r="AM209" i="12"/>
  <c r="AL209" i="12"/>
  <c r="AK209" i="12"/>
  <c r="AJ209" i="12"/>
  <c r="AI209" i="12"/>
  <c r="BL208" i="12"/>
  <c r="BK208" i="12"/>
  <c r="BJ208" i="12"/>
  <c r="BI208" i="12"/>
  <c r="BH208" i="12"/>
  <c r="BG208" i="12"/>
  <c r="BF208" i="12"/>
  <c r="BE208" i="12"/>
  <c r="BD208" i="12"/>
  <c r="BC208" i="12"/>
  <c r="BB208" i="12"/>
  <c r="BA208" i="12"/>
  <c r="AZ208" i="12"/>
  <c r="AY208" i="12"/>
  <c r="AX208" i="12"/>
  <c r="AW208" i="12"/>
  <c r="AV208" i="12"/>
  <c r="AU208" i="12"/>
  <c r="AT208" i="12"/>
  <c r="AS208" i="12"/>
  <c r="AR208" i="12"/>
  <c r="AQ208" i="12"/>
  <c r="AP208" i="12"/>
  <c r="AO208" i="12"/>
  <c r="AN208" i="12"/>
  <c r="AM208" i="12"/>
  <c r="AL208" i="12"/>
  <c r="AK208" i="12"/>
  <c r="AJ208" i="12"/>
  <c r="AI208" i="12"/>
  <c r="BL207" i="12"/>
  <c r="BK207" i="12"/>
  <c r="BJ207" i="12"/>
  <c r="BI207" i="12"/>
  <c r="BH207" i="12"/>
  <c r="BG207" i="12"/>
  <c r="BF207" i="12"/>
  <c r="BE207" i="12"/>
  <c r="BD207" i="12"/>
  <c r="BC207" i="12"/>
  <c r="BB207" i="12"/>
  <c r="BA207" i="12"/>
  <c r="AZ207" i="12"/>
  <c r="AY207" i="12"/>
  <c r="AX207" i="12"/>
  <c r="AW207" i="12"/>
  <c r="AV207" i="12"/>
  <c r="AU207" i="12"/>
  <c r="AT207" i="12"/>
  <c r="AS207" i="12"/>
  <c r="AR207" i="12"/>
  <c r="AQ207" i="12"/>
  <c r="AP207" i="12"/>
  <c r="AO207" i="12"/>
  <c r="AN207" i="12"/>
  <c r="AM207" i="12"/>
  <c r="AL207" i="12"/>
  <c r="AK207" i="12"/>
  <c r="AJ207" i="12"/>
  <c r="AI207" i="12"/>
  <c r="BL206" i="12"/>
  <c r="BK206" i="12"/>
  <c r="BJ206" i="12"/>
  <c r="BI206" i="12"/>
  <c r="BH206" i="12"/>
  <c r="BG206" i="12"/>
  <c r="BF206" i="12"/>
  <c r="BE206" i="12"/>
  <c r="BD206" i="12"/>
  <c r="BC206" i="12"/>
  <c r="BB206" i="12"/>
  <c r="BA206" i="12"/>
  <c r="AZ206" i="12"/>
  <c r="AY206" i="12"/>
  <c r="AX206" i="12"/>
  <c r="AW206" i="12"/>
  <c r="AV206" i="12"/>
  <c r="AU206" i="12"/>
  <c r="AT206" i="12"/>
  <c r="AS206" i="12"/>
  <c r="AR206" i="12"/>
  <c r="AQ206" i="12"/>
  <c r="AP206" i="12"/>
  <c r="AO206" i="12"/>
  <c r="AN206" i="12"/>
  <c r="AM206" i="12"/>
  <c r="AL206" i="12"/>
  <c r="AK206" i="12"/>
  <c r="AJ206" i="12"/>
  <c r="AI206" i="12"/>
  <c r="BL205" i="12"/>
  <c r="BK205" i="12"/>
  <c r="BJ205" i="12"/>
  <c r="BI205" i="12"/>
  <c r="BH205" i="12"/>
  <c r="BG205" i="12"/>
  <c r="BF205" i="12"/>
  <c r="BE205" i="12"/>
  <c r="BD205" i="12"/>
  <c r="BC205" i="12"/>
  <c r="BB205" i="12"/>
  <c r="BA205" i="12"/>
  <c r="AZ205" i="12"/>
  <c r="AY205" i="12"/>
  <c r="AX205" i="12"/>
  <c r="AW205" i="12"/>
  <c r="AV205" i="12"/>
  <c r="AU205" i="12"/>
  <c r="AT205" i="12"/>
  <c r="AS205" i="12"/>
  <c r="AR205" i="12"/>
  <c r="AQ205" i="12"/>
  <c r="AP205" i="12"/>
  <c r="AO205" i="12"/>
  <c r="AN205" i="12"/>
  <c r="AM205" i="12"/>
  <c r="AL205" i="12"/>
  <c r="AK205" i="12"/>
  <c r="AJ205" i="12"/>
  <c r="AI205" i="12"/>
  <c r="BL204" i="12"/>
  <c r="BK204" i="12"/>
  <c r="BJ204" i="12"/>
  <c r="BI204" i="12"/>
  <c r="BH204" i="12"/>
  <c r="BG204" i="12"/>
  <c r="BF204" i="12"/>
  <c r="BE204" i="12"/>
  <c r="BD204" i="12"/>
  <c r="BC204" i="12"/>
  <c r="BB204" i="12"/>
  <c r="BA204" i="12"/>
  <c r="AZ204" i="12"/>
  <c r="AY204" i="12"/>
  <c r="AX204" i="12"/>
  <c r="AW204" i="12"/>
  <c r="AV204" i="12"/>
  <c r="AU204" i="12"/>
  <c r="AT204" i="12"/>
  <c r="AS204" i="12"/>
  <c r="AR204" i="12"/>
  <c r="AQ204" i="12"/>
  <c r="AP204" i="12"/>
  <c r="AO204" i="12"/>
  <c r="AN204" i="12"/>
  <c r="AM204" i="12"/>
  <c r="AL204" i="12"/>
  <c r="AK204" i="12"/>
  <c r="AJ204" i="12"/>
  <c r="AI204" i="12"/>
  <c r="BL203" i="12"/>
  <c r="BK203" i="12"/>
  <c r="BJ203" i="12"/>
  <c r="BI203" i="12"/>
  <c r="BH203" i="12"/>
  <c r="BG203" i="12"/>
  <c r="BF203" i="12"/>
  <c r="BE203" i="12"/>
  <c r="BD203" i="12"/>
  <c r="BC203" i="12"/>
  <c r="BB203" i="12"/>
  <c r="BA203" i="12"/>
  <c r="AZ203" i="12"/>
  <c r="AY203" i="12"/>
  <c r="AX203" i="12"/>
  <c r="AW203" i="12"/>
  <c r="AV203" i="12"/>
  <c r="AU203" i="12"/>
  <c r="AT203" i="12"/>
  <c r="AS203" i="12"/>
  <c r="AR203" i="12"/>
  <c r="AQ203" i="12"/>
  <c r="AP203" i="12"/>
  <c r="AO203" i="12"/>
  <c r="AN203" i="12"/>
  <c r="AM203" i="12"/>
  <c r="AL203" i="12"/>
  <c r="AK203" i="12"/>
  <c r="AJ203" i="12"/>
  <c r="AI203" i="12"/>
  <c r="BL198" i="12"/>
  <c r="BK198" i="12"/>
  <c r="BJ198" i="12"/>
  <c r="BI198" i="12"/>
  <c r="BH198" i="12"/>
  <c r="BG198" i="12"/>
  <c r="BF198" i="12"/>
  <c r="BE198" i="12"/>
  <c r="BD198" i="12"/>
  <c r="BC198" i="12"/>
  <c r="BB198" i="12"/>
  <c r="BA198" i="12"/>
  <c r="AZ198" i="12"/>
  <c r="AY198" i="12"/>
  <c r="AX198" i="12"/>
  <c r="AW198" i="12"/>
  <c r="AV198" i="12"/>
  <c r="AU198" i="12"/>
  <c r="AT198" i="12"/>
  <c r="AS198" i="12"/>
  <c r="AR198" i="12"/>
  <c r="AQ198" i="12"/>
  <c r="AP198" i="12"/>
  <c r="AO198" i="12"/>
  <c r="AN198" i="12"/>
  <c r="AM198" i="12"/>
  <c r="AL198" i="12"/>
  <c r="AK198" i="12"/>
  <c r="AJ198" i="12"/>
  <c r="AI198" i="12"/>
  <c r="BL197" i="12"/>
  <c r="BK197" i="12"/>
  <c r="BJ197" i="12"/>
  <c r="BI197" i="12"/>
  <c r="BH197" i="12"/>
  <c r="BG197" i="12"/>
  <c r="BF197" i="12"/>
  <c r="BE197" i="12"/>
  <c r="BD197" i="12"/>
  <c r="BC197" i="12"/>
  <c r="BB197" i="12"/>
  <c r="BA197" i="12"/>
  <c r="AZ197" i="12"/>
  <c r="AY197" i="12"/>
  <c r="AX197" i="12"/>
  <c r="AW197" i="12"/>
  <c r="AV197" i="12"/>
  <c r="AU197" i="12"/>
  <c r="AT197" i="12"/>
  <c r="AS197" i="12"/>
  <c r="AR197" i="12"/>
  <c r="AQ197" i="12"/>
  <c r="AP197" i="12"/>
  <c r="AO197" i="12"/>
  <c r="AN197" i="12"/>
  <c r="AM197" i="12"/>
  <c r="AL197" i="12"/>
  <c r="AK197" i="12"/>
  <c r="AJ197" i="12"/>
  <c r="AI197" i="12"/>
  <c r="BL196" i="12"/>
  <c r="BK196" i="12"/>
  <c r="BJ196" i="12"/>
  <c r="BI196" i="12"/>
  <c r="BH196" i="12"/>
  <c r="BG196" i="12"/>
  <c r="BF196" i="12"/>
  <c r="BE196" i="12"/>
  <c r="BD196" i="12"/>
  <c r="BC196" i="12"/>
  <c r="BB196" i="12"/>
  <c r="BA196" i="12"/>
  <c r="AZ196" i="12"/>
  <c r="AY196" i="12"/>
  <c r="AX196" i="12"/>
  <c r="AW196" i="12"/>
  <c r="AV196" i="12"/>
  <c r="AU196" i="12"/>
  <c r="AT196" i="12"/>
  <c r="AS196" i="12"/>
  <c r="AR196" i="12"/>
  <c r="AQ196" i="12"/>
  <c r="AP196" i="12"/>
  <c r="AO196" i="12"/>
  <c r="AN196" i="12"/>
  <c r="AM196" i="12"/>
  <c r="AL196" i="12"/>
  <c r="AK196" i="12"/>
  <c r="AJ196" i="12"/>
  <c r="AI196" i="12"/>
  <c r="BL195" i="12"/>
  <c r="BK195" i="12"/>
  <c r="BJ195" i="12"/>
  <c r="BI195" i="12"/>
  <c r="BH195" i="12"/>
  <c r="BG195" i="12"/>
  <c r="BF195" i="12"/>
  <c r="BE195" i="12"/>
  <c r="BD195" i="12"/>
  <c r="BC195" i="12"/>
  <c r="BB195" i="12"/>
  <c r="BA195" i="12"/>
  <c r="AZ195" i="12"/>
  <c r="AY195" i="12"/>
  <c r="AX195" i="12"/>
  <c r="AW195" i="12"/>
  <c r="AV195" i="12"/>
  <c r="AU195" i="12"/>
  <c r="AT195" i="12"/>
  <c r="AS195" i="12"/>
  <c r="AR195" i="12"/>
  <c r="AQ195" i="12"/>
  <c r="AP195" i="12"/>
  <c r="AO195" i="12"/>
  <c r="AN195" i="12"/>
  <c r="AM195" i="12"/>
  <c r="AL195" i="12"/>
  <c r="AK195" i="12"/>
  <c r="AJ195" i="12"/>
  <c r="AI195" i="12"/>
  <c r="BL194" i="12"/>
  <c r="BK194" i="12"/>
  <c r="BJ194" i="12"/>
  <c r="BI194" i="12"/>
  <c r="BH194" i="12"/>
  <c r="BG194" i="12"/>
  <c r="BF194" i="12"/>
  <c r="BE194" i="12"/>
  <c r="BD194" i="12"/>
  <c r="BC194" i="12"/>
  <c r="BB194" i="12"/>
  <c r="BA194" i="12"/>
  <c r="AZ194" i="12"/>
  <c r="AY194" i="12"/>
  <c r="AX194" i="12"/>
  <c r="AW194" i="12"/>
  <c r="AV194" i="12"/>
  <c r="AU194" i="12"/>
  <c r="AT194" i="12"/>
  <c r="AS194" i="12"/>
  <c r="AR194" i="12"/>
  <c r="AQ194" i="12"/>
  <c r="AP194" i="12"/>
  <c r="AO194" i="12"/>
  <c r="AN194" i="12"/>
  <c r="AM194" i="12"/>
  <c r="AL194" i="12"/>
  <c r="AK194" i="12"/>
  <c r="AJ194" i="12"/>
  <c r="AI194" i="12"/>
  <c r="BL193" i="12"/>
  <c r="BK193" i="12"/>
  <c r="BJ193" i="12"/>
  <c r="BI193" i="12"/>
  <c r="BH193" i="12"/>
  <c r="BG193" i="12"/>
  <c r="BF193" i="12"/>
  <c r="BE193" i="12"/>
  <c r="BD193" i="12"/>
  <c r="BC193" i="12"/>
  <c r="BB193" i="12"/>
  <c r="BA193" i="12"/>
  <c r="AZ193" i="12"/>
  <c r="AY193" i="12"/>
  <c r="AX193" i="12"/>
  <c r="AW193" i="12"/>
  <c r="AV193" i="12"/>
  <c r="AU193" i="12"/>
  <c r="AT193" i="12"/>
  <c r="AS193" i="12"/>
  <c r="AR193" i="12"/>
  <c r="AQ193" i="12"/>
  <c r="AP193" i="12"/>
  <c r="AO193" i="12"/>
  <c r="AN193" i="12"/>
  <c r="AM193" i="12"/>
  <c r="AL193" i="12"/>
  <c r="AK193" i="12"/>
  <c r="AJ193" i="12"/>
  <c r="AI193" i="12"/>
  <c r="BL192" i="12"/>
  <c r="BK192" i="12"/>
  <c r="BJ192" i="12"/>
  <c r="BI192" i="12"/>
  <c r="BH192" i="12"/>
  <c r="BG192" i="12"/>
  <c r="BF192" i="12"/>
  <c r="BE192" i="12"/>
  <c r="BD192" i="12"/>
  <c r="BC192" i="12"/>
  <c r="BB192" i="12"/>
  <c r="BA192" i="12"/>
  <c r="AZ192" i="12"/>
  <c r="AY192" i="12"/>
  <c r="AX192" i="12"/>
  <c r="AW192" i="12"/>
  <c r="AV192" i="12"/>
  <c r="AU192" i="12"/>
  <c r="AT192" i="12"/>
  <c r="AS192" i="12"/>
  <c r="AR192" i="12"/>
  <c r="AQ192" i="12"/>
  <c r="AP192" i="12"/>
  <c r="AO192" i="12"/>
  <c r="AN192" i="12"/>
  <c r="AM192" i="12"/>
  <c r="AL192" i="12"/>
  <c r="AK192" i="12"/>
  <c r="AJ192" i="12"/>
  <c r="AI192" i="12"/>
  <c r="BL191" i="12"/>
  <c r="BK191" i="12"/>
  <c r="BJ191" i="12"/>
  <c r="BI191" i="12"/>
  <c r="BH191" i="12"/>
  <c r="BG191" i="12"/>
  <c r="BF191" i="12"/>
  <c r="BE191" i="12"/>
  <c r="BD191" i="12"/>
  <c r="BC191" i="12"/>
  <c r="BB191" i="12"/>
  <c r="BA191" i="12"/>
  <c r="AZ191" i="12"/>
  <c r="AY191" i="12"/>
  <c r="AX191" i="12"/>
  <c r="AW191" i="12"/>
  <c r="AV191" i="12"/>
  <c r="AU191" i="12"/>
  <c r="AT191" i="12"/>
  <c r="AS191" i="12"/>
  <c r="AR191" i="12"/>
  <c r="AQ191" i="12"/>
  <c r="AP191" i="12"/>
  <c r="AO191" i="12"/>
  <c r="AN191" i="12"/>
  <c r="AM191" i="12"/>
  <c r="AL191" i="12"/>
  <c r="AK191" i="12"/>
  <c r="AJ191" i="12"/>
  <c r="AI191" i="12"/>
  <c r="BL190" i="12"/>
  <c r="BK190" i="12"/>
  <c r="BJ190" i="12"/>
  <c r="BI190" i="12"/>
  <c r="BH190" i="12"/>
  <c r="BG190" i="12"/>
  <c r="BF190" i="12"/>
  <c r="BE190" i="12"/>
  <c r="BD190" i="12"/>
  <c r="BC190" i="12"/>
  <c r="BB190" i="12"/>
  <c r="BA190" i="12"/>
  <c r="AZ190" i="12"/>
  <c r="AY190" i="12"/>
  <c r="AX190" i="12"/>
  <c r="AW190" i="12"/>
  <c r="AV190" i="12"/>
  <c r="AU190" i="12"/>
  <c r="AT190" i="12"/>
  <c r="AS190" i="12"/>
  <c r="AR190" i="12"/>
  <c r="AQ190" i="12"/>
  <c r="AP190" i="12"/>
  <c r="AO190" i="12"/>
  <c r="AN190" i="12"/>
  <c r="AM190" i="12"/>
  <c r="AL190" i="12"/>
  <c r="AK190" i="12"/>
  <c r="AJ190" i="12"/>
  <c r="AI190" i="12"/>
  <c r="BL189" i="12"/>
  <c r="BK189" i="12"/>
  <c r="BJ189" i="12"/>
  <c r="BI189" i="12"/>
  <c r="BH189" i="12"/>
  <c r="BG189" i="12"/>
  <c r="BF189" i="12"/>
  <c r="BE189" i="12"/>
  <c r="BD189" i="12"/>
  <c r="BC189" i="12"/>
  <c r="BB189" i="12"/>
  <c r="BA189" i="12"/>
  <c r="AZ189" i="12"/>
  <c r="AY189" i="12"/>
  <c r="AX189" i="12"/>
  <c r="AW189" i="12"/>
  <c r="AV189" i="12"/>
  <c r="AU189" i="12"/>
  <c r="AT189" i="12"/>
  <c r="AS189" i="12"/>
  <c r="AR189" i="12"/>
  <c r="AQ189" i="12"/>
  <c r="AP189" i="12"/>
  <c r="AO189" i="12"/>
  <c r="AN189" i="12"/>
  <c r="AM189" i="12"/>
  <c r="AL189" i="12"/>
  <c r="AK189" i="12"/>
  <c r="AJ189" i="12"/>
  <c r="AI189" i="12"/>
  <c r="BL188" i="12"/>
  <c r="BK188" i="12"/>
  <c r="BJ188" i="12"/>
  <c r="BI188" i="12"/>
  <c r="BH188" i="12"/>
  <c r="BG188" i="12"/>
  <c r="BF188" i="12"/>
  <c r="BE188" i="12"/>
  <c r="BD188" i="12"/>
  <c r="BC188" i="12"/>
  <c r="BB188" i="12"/>
  <c r="BA188" i="12"/>
  <c r="AZ188" i="12"/>
  <c r="AY188" i="12"/>
  <c r="AX188" i="12"/>
  <c r="AW188" i="12"/>
  <c r="AV188" i="12"/>
  <c r="AU188" i="12"/>
  <c r="AT188" i="12"/>
  <c r="AS188" i="12"/>
  <c r="AR188" i="12"/>
  <c r="AQ188" i="12"/>
  <c r="AP188" i="12"/>
  <c r="AO188" i="12"/>
  <c r="AN188" i="12"/>
  <c r="AM188" i="12"/>
  <c r="AL188" i="12"/>
  <c r="AK188" i="12"/>
  <c r="AJ188" i="12"/>
  <c r="AI188" i="12"/>
  <c r="BL187" i="12"/>
  <c r="BK187" i="12"/>
  <c r="BJ187" i="12"/>
  <c r="BI187" i="12"/>
  <c r="BH187" i="12"/>
  <c r="BG187" i="12"/>
  <c r="BF187" i="12"/>
  <c r="BE187" i="12"/>
  <c r="BD187" i="12"/>
  <c r="BC187" i="12"/>
  <c r="BB187" i="12"/>
  <c r="BA187" i="12"/>
  <c r="AZ187" i="12"/>
  <c r="AY187" i="12"/>
  <c r="AX187" i="12"/>
  <c r="AW187" i="12"/>
  <c r="AV187" i="12"/>
  <c r="AU187" i="12"/>
  <c r="AT187" i="12"/>
  <c r="AS187" i="12"/>
  <c r="AR187" i="12"/>
  <c r="AQ187" i="12"/>
  <c r="AP187" i="12"/>
  <c r="AO187" i="12"/>
  <c r="AN187" i="12"/>
  <c r="AM187" i="12"/>
  <c r="AL187" i="12"/>
  <c r="AK187" i="12"/>
  <c r="AJ187" i="12"/>
  <c r="AI187" i="12"/>
  <c r="BL186" i="12"/>
  <c r="BK186" i="12"/>
  <c r="BJ186" i="12"/>
  <c r="BI186" i="12"/>
  <c r="BH186" i="12"/>
  <c r="BG186" i="12"/>
  <c r="BF186" i="12"/>
  <c r="BE186" i="12"/>
  <c r="BD186" i="12"/>
  <c r="BC186" i="12"/>
  <c r="BB186" i="12"/>
  <c r="BA186" i="12"/>
  <c r="AZ186" i="12"/>
  <c r="AY186" i="12"/>
  <c r="AX186" i="12"/>
  <c r="AW186" i="12"/>
  <c r="AV186" i="12"/>
  <c r="AU186" i="12"/>
  <c r="AT186" i="12"/>
  <c r="AS186" i="12"/>
  <c r="AR186" i="12"/>
  <c r="AQ186" i="12"/>
  <c r="AP186" i="12"/>
  <c r="AO186" i="12"/>
  <c r="AN186" i="12"/>
  <c r="AM186" i="12"/>
  <c r="AL186" i="12"/>
  <c r="AK186" i="12"/>
  <c r="AJ186" i="12"/>
  <c r="AI186" i="12"/>
  <c r="BL185" i="12"/>
  <c r="BK185" i="12"/>
  <c r="BJ185" i="12"/>
  <c r="BI185" i="12"/>
  <c r="BH185" i="12"/>
  <c r="BG185" i="12"/>
  <c r="BF185" i="12"/>
  <c r="BE185" i="12"/>
  <c r="BD185" i="12"/>
  <c r="BC185" i="12"/>
  <c r="BB185" i="12"/>
  <c r="BA185" i="12"/>
  <c r="AZ185" i="12"/>
  <c r="AY185" i="12"/>
  <c r="AX185" i="12"/>
  <c r="AW185" i="12"/>
  <c r="AV185" i="12"/>
  <c r="AU185" i="12"/>
  <c r="AT185" i="12"/>
  <c r="AS185" i="12"/>
  <c r="AR185" i="12"/>
  <c r="AQ185" i="12"/>
  <c r="AP185" i="12"/>
  <c r="AO185" i="12"/>
  <c r="AN185" i="12"/>
  <c r="AM185" i="12"/>
  <c r="AL185" i="12"/>
  <c r="AK185" i="12"/>
  <c r="AJ185" i="12"/>
  <c r="AI185" i="12"/>
  <c r="BL184" i="12"/>
  <c r="BK184" i="12"/>
  <c r="BJ184" i="12"/>
  <c r="BI184" i="12"/>
  <c r="BH184" i="12"/>
  <c r="BG184" i="12"/>
  <c r="BF184" i="12"/>
  <c r="BE184" i="12"/>
  <c r="BD184" i="12"/>
  <c r="BC184" i="12"/>
  <c r="BB184" i="12"/>
  <c r="BA184" i="12"/>
  <c r="AZ184" i="12"/>
  <c r="AY184" i="12"/>
  <c r="AX184" i="12"/>
  <c r="AW184" i="12"/>
  <c r="AV184" i="12"/>
  <c r="AU184" i="12"/>
  <c r="AT184" i="12"/>
  <c r="AS184" i="12"/>
  <c r="AR184" i="12"/>
  <c r="AQ184" i="12"/>
  <c r="AP184" i="12"/>
  <c r="AO184" i="12"/>
  <c r="AN184" i="12"/>
  <c r="AM184" i="12"/>
  <c r="AL184" i="12"/>
  <c r="AK184" i="12"/>
  <c r="AJ184" i="12"/>
  <c r="AI184" i="12"/>
  <c r="BL183" i="12"/>
  <c r="BK183" i="12"/>
  <c r="BJ183" i="12"/>
  <c r="BI183" i="12"/>
  <c r="BH183" i="12"/>
  <c r="BG183" i="12"/>
  <c r="BF183" i="12"/>
  <c r="BE183" i="12"/>
  <c r="BD183" i="12"/>
  <c r="BC183" i="12"/>
  <c r="BB183" i="12"/>
  <c r="BA183" i="12"/>
  <c r="AZ183" i="12"/>
  <c r="AY183" i="12"/>
  <c r="AX183" i="12"/>
  <c r="AW183" i="12"/>
  <c r="AV183" i="12"/>
  <c r="AU183" i="12"/>
  <c r="AT183" i="12"/>
  <c r="AS183" i="12"/>
  <c r="AR183" i="12"/>
  <c r="AQ183" i="12"/>
  <c r="AP183" i="12"/>
  <c r="AO183" i="12"/>
  <c r="AN183" i="12"/>
  <c r="AM183" i="12"/>
  <c r="AL183" i="12"/>
  <c r="AK183" i="12"/>
  <c r="AJ183" i="12"/>
  <c r="AI183" i="12"/>
  <c r="BL182" i="12"/>
  <c r="BK182" i="12"/>
  <c r="BJ182" i="12"/>
  <c r="BI182" i="12"/>
  <c r="BH182" i="12"/>
  <c r="BG182" i="12"/>
  <c r="BF182" i="12"/>
  <c r="BE182" i="12"/>
  <c r="BD182" i="12"/>
  <c r="BC182" i="12"/>
  <c r="BB182" i="12"/>
  <c r="BA182" i="12"/>
  <c r="AZ182" i="12"/>
  <c r="AY182" i="12"/>
  <c r="AX182" i="12"/>
  <c r="AW182" i="12"/>
  <c r="AV182" i="12"/>
  <c r="AU182" i="12"/>
  <c r="AT182" i="12"/>
  <c r="AS182" i="12"/>
  <c r="AR182" i="12"/>
  <c r="AQ182" i="12"/>
  <c r="AP182" i="12"/>
  <c r="AO182" i="12"/>
  <c r="AN182" i="12"/>
  <c r="AM182" i="12"/>
  <c r="AL182" i="12"/>
  <c r="AK182" i="12"/>
  <c r="AJ182" i="12"/>
  <c r="AI182" i="12"/>
  <c r="BL181" i="12"/>
  <c r="BK181" i="12"/>
  <c r="BJ181" i="12"/>
  <c r="BI181" i="12"/>
  <c r="BH181" i="12"/>
  <c r="BG181" i="12"/>
  <c r="BF181" i="12"/>
  <c r="BE181" i="12"/>
  <c r="BD181" i="12"/>
  <c r="BC181" i="12"/>
  <c r="BB181" i="12"/>
  <c r="BA181" i="12"/>
  <c r="AZ181" i="12"/>
  <c r="AY181" i="12"/>
  <c r="AX181" i="12"/>
  <c r="AW181" i="12"/>
  <c r="AV181" i="12"/>
  <c r="AU181" i="12"/>
  <c r="AT181" i="12"/>
  <c r="AS181" i="12"/>
  <c r="AR181" i="12"/>
  <c r="AQ181" i="12"/>
  <c r="AP181" i="12"/>
  <c r="AO181" i="12"/>
  <c r="AN181" i="12"/>
  <c r="AM181" i="12"/>
  <c r="AL181" i="12"/>
  <c r="AK181" i="12"/>
  <c r="AJ181" i="12"/>
  <c r="AI181" i="12"/>
  <c r="BL180" i="12"/>
  <c r="BK180" i="12"/>
  <c r="BJ180" i="12"/>
  <c r="BI180" i="12"/>
  <c r="BH180" i="12"/>
  <c r="BG180" i="12"/>
  <c r="BF180" i="12"/>
  <c r="BE180" i="12"/>
  <c r="BD180" i="12"/>
  <c r="BC180" i="12"/>
  <c r="BB180" i="12"/>
  <c r="BA180" i="12"/>
  <c r="AZ180" i="12"/>
  <c r="AY180" i="12"/>
  <c r="AX180" i="12"/>
  <c r="AW180" i="12"/>
  <c r="AV180" i="12"/>
  <c r="AU180" i="12"/>
  <c r="AT180" i="12"/>
  <c r="AS180" i="12"/>
  <c r="AR180" i="12"/>
  <c r="AQ180" i="12"/>
  <c r="AP180" i="12"/>
  <c r="AO180" i="12"/>
  <c r="AN180" i="12"/>
  <c r="AM180" i="12"/>
  <c r="AL180" i="12"/>
  <c r="AK180" i="12"/>
  <c r="AJ180" i="12"/>
  <c r="AI180" i="12"/>
  <c r="BL179" i="12"/>
  <c r="BK179" i="12"/>
  <c r="BJ179" i="12"/>
  <c r="BI179" i="12"/>
  <c r="BH179" i="12"/>
  <c r="BG179" i="12"/>
  <c r="BF179" i="12"/>
  <c r="BE179" i="12"/>
  <c r="BD179" i="12"/>
  <c r="BC179" i="12"/>
  <c r="BB179" i="12"/>
  <c r="BA179" i="12"/>
  <c r="AZ179" i="12"/>
  <c r="AY179" i="12"/>
  <c r="AX179" i="12"/>
  <c r="AW179" i="12"/>
  <c r="AV179" i="12"/>
  <c r="AU179" i="12"/>
  <c r="AT179" i="12"/>
  <c r="AS179" i="12"/>
  <c r="AR179" i="12"/>
  <c r="AQ179" i="12"/>
  <c r="AP179" i="12"/>
  <c r="AO179" i="12"/>
  <c r="AN179" i="12"/>
  <c r="AM179" i="12"/>
  <c r="AL179" i="12"/>
  <c r="AK179" i="12"/>
  <c r="AJ179" i="12"/>
  <c r="AI179" i="12"/>
  <c r="BL178" i="12"/>
  <c r="BK178" i="12"/>
  <c r="BJ178" i="12"/>
  <c r="BI178" i="12"/>
  <c r="BH178" i="12"/>
  <c r="BG178" i="12"/>
  <c r="BF178" i="12"/>
  <c r="BE178" i="12"/>
  <c r="BD178" i="12"/>
  <c r="BC178" i="12"/>
  <c r="BB178" i="12"/>
  <c r="BA178" i="12"/>
  <c r="AZ178" i="12"/>
  <c r="AY178" i="12"/>
  <c r="AX178" i="12"/>
  <c r="AW178" i="12"/>
  <c r="AV178" i="12"/>
  <c r="AU178" i="12"/>
  <c r="AT178" i="12"/>
  <c r="AS178" i="12"/>
  <c r="AR178" i="12"/>
  <c r="AQ178" i="12"/>
  <c r="AP178" i="12"/>
  <c r="AO178" i="12"/>
  <c r="AN178" i="12"/>
  <c r="AM178" i="12"/>
  <c r="AL178" i="12"/>
  <c r="AK178" i="12"/>
  <c r="AJ178" i="12"/>
  <c r="AI178" i="12"/>
  <c r="BL177" i="12"/>
  <c r="BK177" i="12"/>
  <c r="BJ177" i="12"/>
  <c r="BI177" i="12"/>
  <c r="BH177" i="12"/>
  <c r="BG177" i="12"/>
  <c r="BF177" i="12"/>
  <c r="BE177" i="12"/>
  <c r="BD177" i="12"/>
  <c r="BC177" i="12"/>
  <c r="BB177" i="12"/>
  <c r="BA177" i="12"/>
  <c r="AZ177" i="12"/>
  <c r="AY177" i="12"/>
  <c r="AX177" i="12"/>
  <c r="AW177" i="12"/>
  <c r="AV177" i="12"/>
  <c r="AU177" i="12"/>
  <c r="AT177" i="12"/>
  <c r="AS177" i="12"/>
  <c r="AR177" i="12"/>
  <c r="AQ177" i="12"/>
  <c r="AP177" i="12"/>
  <c r="AO177" i="12"/>
  <c r="AN177" i="12"/>
  <c r="AM177" i="12"/>
  <c r="AL177" i="12"/>
  <c r="AK177" i="12"/>
  <c r="AJ177" i="12"/>
  <c r="AI177" i="12"/>
  <c r="BL176" i="12"/>
  <c r="BK176" i="12"/>
  <c r="BJ176" i="12"/>
  <c r="BI176" i="12"/>
  <c r="BH176" i="12"/>
  <c r="BG176" i="12"/>
  <c r="BF176" i="12"/>
  <c r="BE176" i="12"/>
  <c r="BD176" i="12"/>
  <c r="BC176" i="12"/>
  <c r="BB176" i="12"/>
  <c r="BA176" i="12"/>
  <c r="AZ176" i="12"/>
  <c r="AY176" i="12"/>
  <c r="AX176" i="12"/>
  <c r="AW176" i="12"/>
  <c r="AV176" i="12"/>
  <c r="AU176" i="12"/>
  <c r="AT176" i="12"/>
  <c r="AS176" i="12"/>
  <c r="AR176" i="12"/>
  <c r="AQ176" i="12"/>
  <c r="AP176" i="12"/>
  <c r="AO176" i="12"/>
  <c r="AN176" i="12"/>
  <c r="AM176" i="12"/>
  <c r="AL176" i="12"/>
  <c r="AK176" i="12"/>
  <c r="AJ176" i="12"/>
  <c r="AI176" i="12"/>
  <c r="BL175" i="12"/>
  <c r="BK175" i="12"/>
  <c r="BJ175" i="12"/>
  <c r="BI175" i="12"/>
  <c r="BH175" i="12"/>
  <c r="BG175" i="12"/>
  <c r="BF175" i="12"/>
  <c r="BE175" i="12"/>
  <c r="BD175" i="12"/>
  <c r="BC175" i="12"/>
  <c r="BB175" i="12"/>
  <c r="BA175" i="12"/>
  <c r="AZ175" i="12"/>
  <c r="AY175" i="12"/>
  <c r="AX175" i="12"/>
  <c r="AW175" i="12"/>
  <c r="AV175" i="12"/>
  <c r="AU175" i="12"/>
  <c r="AT175" i="12"/>
  <c r="AS175" i="12"/>
  <c r="AR175" i="12"/>
  <c r="AQ175" i="12"/>
  <c r="AP175" i="12"/>
  <c r="AO175" i="12"/>
  <c r="AN175" i="12"/>
  <c r="AM175" i="12"/>
  <c r="AL175" i="12"/>
  <c r="AK175" i="12"/>
  <c r="AJ175" i="12"/>
  <c r="AI175" i="12"/>
  <c r="BL174" i="12"/>
  <c r="BK174" i="12"/>
  <c r="BJ174" i="12"/>
  <c r="BI174" i="12"/>
  <c r="BH174" i="12"/>
  <c r="BG174" i="12"/>
  <c r="BF174" i="12"/>
  <c r="BE174" i="12"/>
  <c r="BD174" i="12"/>
  <c r="BC174" i="12"/>
  <c r="BB174" i="12"/>
  <c r="BA174" i="12"/>
  <c r="AZ174" i="12"/>
  <c r="AY174" i="12"/>
  <c r="AX174" i="12"/>
  <c r="AW174" i="12"/>
  <c r="AV174" i="12"/>
  <c r="AU174" i="12"/>
  <c r="AT174" i="12"/>
  <c r="AS174" i="12"/>
  <c r="AR174" i="12"/>
  <c r="AQ174" i="12"/>
  <c r="AP174" i="12"/>
  <c r="AO174" i="12"/>
  <c r="AN174" i="12"/>
  <c r="AM174" i="12"/>
  <c r="AL174" i="12"/>
  <c r="AK174" i="12"/>
  <c r="AJ174" i="12"/>
  <c r="AI174" i="12"/>
  <c r="BL173" i="12"/>
  <c r="BK173" i="12"/>
  <c r="BJ173" i="12"/>
  <c r="BI173" i="12"/>
  <c r="BH173" i="12"/>
  <c r="BG173" i="12"/>
  <c r="BF173" i="12"/>
  <c r="BE173" i="12"/>
  <c r="BD173" i="12"/>
  <c r="BC173" i="12"/>
  <c r="BB173" i="12"/>
  <c r="BA173" i="12"/>
  <c r="AZ173" i="12"/>
  <c r="AY173" i="12"/>
  <c r="AX173" i="12"/>
  <c r="AW173" i="12"/>
  <c r="AV173" i="12"/>
  <c r="AU173" i="12"/>
  <c r="AT173" i="12"/>
  <c r="AS173" i="12"/>
  <c r="AR173" i="12"/>
  <c r="AQ173" i="12"/>
  <c r="AP173" i="12"/>
  <c r="AO173" i="12"/>
  <c r="AN173" i="12"/>
  <c r="AM173" i="12"/>
  <c r="AL173" i="12"/>
  <c r="AK173" i="12"/>
  <c r="AJ173" i="12"/>
  <c r="AI173" i="12"/>
  <c r="BL172" i="12"/>
  <c r="BK172" i="12"/>
  <c r="BJ172" i="12"/>
  <c r="BI172" i="12"/>
  <c r="BH172" i="12"/>
  <c r="BG172" i="12"/>
  <c r="BF172" i="12"/>
  <c r="BE172" i="12"/>
  <c r="BD172" i="12"/>
  <c r="BC172" i="12"/>
  <c r="BB172" i="12"/>
  <c r="BA172" i="12"/>
  <c r="AZ172" i="12"/>
  <c r="AY172" i="12"/>
  <c r="AX172" i="12"/>
  <c r="AW172" i="12"/>
  <c r="AV172" i="12"/>
  <c r="AU172" i="12"/>
  <c r="AT172" i="12"/>
  <c r="AS172" i="12"/>
  <c r="AR172" i="12"/>
  <c r="AQ172" i="12"/>
  <c r="AP172" i="12"/>
  <c r="AO172" i="12"/>
  <c r="AN172" i="12"/>
  <c r="AM172" i="12"/>
  <c r="AL172" i="12"/>
  <c r="AK172" i="12"/>
  <c r="AJ172" i="12"/>
  <c r="AI172" i="12"/>
  <c r="BL171" i="12"/>
  <c r="BK171" i="12"/>
  <c r="BJ171" i="12"/>
  <c r="BI171" i="12"/>
  <c r="BH171" i="12"/>
  <c r="BG171" i="12"/>
  <c r="BF171" i="12"/>
  <c r="BE171" i="12"/>
  <c r="BD171" i="12"/>
  <c r="BC171" i="12"/>
  <c r="BB171" i="12"/>
  <c r="BA171" i="12"/>
  <c r="AZ171" i="12"/>
  <c r="AY171" i="12"/>
  <c r="AX171" i="12"/>
  <c r="AW171" i="12"/>
  <c r="AV171" i="12"/>
  <c r="AU171" i="12"/>
  <c r="AT171" i="12"/>
  <c r="AS171" i="12"/>
  <c r="AR171" i="12"/>
  <c r="AQ171" i="12"/>
  <c r="AP171" i="12"/>
  <c r="AO171" i="12"/>
  <c r="AN171" i="12"/>
  <c r="AM171" i="12"/>
  <c r="AL171" i="12"/>
  <c r="AK171" i="12"/>
  <c r="AJ171" i="12"/>
  <c r="AI171" i="12"/>
  <c r="BL170" i="12"/>
  <c r="BK170" i="12"/>
  <c r="BJ170" i="12"/>
  <c r="BI170" i="12"/>
  <c r="BH170" i="12"/>
  <c r="BG170" i="12"/>
  <c r="BF170" i="12"/>
  <c r="BE170" i="12"/>
  <c r="BD170" i="12"/>
  <c r="BC170" i="12"/>
  <c r="BB170" i="12"/>
  <c r="BA170" i="12"/>
  <c r="AZ170" i="12"/>
  <c r="AY170" i="12"/>
  <c r="AX170" i="12"/>
  <c r="AW170" i="12"/>
  <c r="AV170" i="12"/>
  <c r="AU170" i="12"/>
  <c r="AT170" i="12"/>
  <c r="AS170" i="12"/>
  <c r="AR170" i="12"/>
  <c r="AQ170" i="12"/>
  <c r="AP170" i="12"/>
  <c r="AO170" i="12"/>
  <c r="AN170" i="12"/>
  <c r="AM170" i="12"/>
  <c r="AL170" i="12"/>
  <c r="AK170" i="12"/>
  <c r="AJ170" i="12"/>
  <c r="AI170" i="12"/>
  <c r="BL169" i="12"/>
  <c r="BK169" i="12"/>
  <c r="BJ169" i="12"/>
  <c r="BI169" i="12"/>
  <c r="BH169" i="12"/>
  <c r="BG169" i="12"/>
  <c r="BF169" i="12"/>
  <c r="BE169" i="12"/>
  <c r="BD169" i="12"/>
  <c r="BC169" i="12"/>
  <c r="BB169" i="12"/>
  <c r="BA169" i="12"/>
  <c r="AZ169" i="12"/>
  <c r="AY169" i="12"/>
  <c r="AX169" i="12"/>
  <c r="AW169" i="12"/>
  <c r="AV169" i="12"/>
  <c r="AU169" i="12"/>
  <c r="AT169" i="12"/>
  <c r="AS169" i="12"/>
  <c r="AR169" i="12"/>
  <c r="AQ169" i="12"/>
  <c r="AP169" i="12"/>
  <c r="AO169" i="12"/>
  <c r="AN169" i="12"/>
  <c r="AM169" i="12"/>
  <c r="AL169" i="12"/>
  <c r="AK169" i="12"/>
  <c r="AJ169" i="12"/>
  <c r="AI169" i="12"/>
  <c r="AE131" i="12"/>
  <c r="AD131" i="12"/>
  <c r="AC131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AE130" i="12"/>
  <c r="AD130" i="12"/>
  <c r="AC130" i="12"/>
  <c r="AB130" i="12"/>
  <c r="AA130" i="12"/>
  <c r="Z130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AE129" i="12"/>
  <c r="AD129" i="12"/>
  <c r="AC129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AE128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AE127" i="12"/>
  <c r="AD127" i="12"/>
  <c r="AC127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AE126" i="12"/>
  <c r="AD126" i="12"/>
  <c r="AC126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AE125" i="12"/>
  <c r="AD125" i="12"/>
  <c r="AC125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B125" i="12"/>
  <c r="AE124" i="12"/>
  <c r="AD124" i="12"/>
  <c r="AC124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B124" i="12"/>
  <c r="AE123" i="12"/>
  <c r="AD123" i="12"/>
  <c r="AC123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B123" i="12"/>
  <c r="AE122" i="12"/>
  <c r="AD122" i="12"/>
  <c r="AC122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AE120" i="12"/>
  <c r="AD120" i="12"/>
  <c r="AC120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AE119" i="12"/>
  <c r="AD119" i="12"/>
  <c r="AC119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AE118" i="12"/>
  <c r="AD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AE117" i="12"/>
  <c r="AD117" i="12"/>
  <c r="AC117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AE116" i="12"/>
  <c r="AD116" i="12"/>
  <c r="AC116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AE115" i="12"/>
  <c r="AD115" i="12"/>
  <c r="AC115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AE114" i="12"/>
  <c r="AD114" i="12"/>
  <c r="AC114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B114" i="12"/>
  <c r="AE113" i="12"/>
  <c r="AD113" i="12"/>
  <c r="AC113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B113" i="12"/>
  <c r="AE112" i="12"/>
  <c r="AD112" i="12"/>
  <c r="AC112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B112" i="12"/>
  <c r="AE111" i="12"/>
  <c r="AD111" i="12"/>
  <c r="AC111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AE110" i="12"/>
  <c r="AD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AE109" i="12"/>
  <c r="AD109" i="12"/>
  <c r="AC109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AE108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AE107" i="12"/>
  <c r="AD107" i="12"/>
  <c r="AC107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AE106" i="12"/>
  <c r="AD106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AE105" i="12"/>
  <c r="AD105" i="12"/>
  <c r="AC105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AE104" i="12"/>
  <c r="AD104" i="12"/>
  <c r="AC104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B103" i="12"/>
  <c r="AE102" i="12"/>
  <c r="AD102" i="12"/>
  <c r="AC102" i="12"/>
  <c r="AB102" i="12"/>
  <c r="AA102" i="12"/>
  <c r="Z102" i="12"/>
  <c r="Y102" i="12"/>
  <c r="X102" i="12"/>
  <c r="W102" i="12"/>
  <c r="V102" i="12"/>
  <c r="U102" i="12"/>
  <c r="T102" i="12"/>
  <c r="S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B102" i="12"/>
  <c r="BL98" i="12"/>
  <c r="BK98" i="12"/>
  <c r="BJ98" i="12"/>
  <c r="BI98" i="12"/>
  <c r="BH98" i="12"/>
  <c r="BG98" i="12"/>
  <c r="BF98" i="12"/>
  <c r="BE98" i="12"/>
  <c r="BD98" i="12"/>
  <c r="BC98" i="12"/>
  <c r="BB98" i="12"/>
  <c r="BA98" i="12"/>
  <c r="AZ98" i="12"/>
  <c r="AY98" i="12"/>
  <c r="AX98" i="12"/>
  <c r="AW98" i="12"/>
  <c r="AV98" i="12"/>
  <c r="AU98" i="12"/>
  <c r="AT98" i="12"/>
  <c r="AS98" i="12"/>
  <c r="AR98" i="12"/>
  <c r="AQ98" i="12"/>
  <c r="AP98" i="12"/>
  <c r="AO98" i="12"/>
  <c r="AN98" i="12"/>
  <c r="AM98" i="12"/>
  <c r="AL98" i="12"/>
  <c r="AK98" i="12"/>
  <c r="AJ98" i="12"/>
  <c r="AI98" i="12"/>
  <c r="BL97" i="12"/>
  <c r="BK97" i="12"/>
  <c r="BJ97" i="12"/>
  <c r="BI97" i="12"/>
  <c r="BH97" i="12"/>
  <c r="BG97" i="12"/>
  <c r="BF97" i="12"/>
  <c r="BE97" i="12"/>
  <c r="BD97" i="12"/>
  <c r="BC97" i="12"/>
  <c r="BB97" i="12"/>
  <c r="BA97" i="12"/>
  <c r="AZ97" i="12"/>
  <c r="AY97" i="12"/>
  <c r="AX97" i="12"/>
  <c r="AW97" i="12"/>
  <c r="AV97" i="12"/>
  <c r="AU97" i="12"/>
  <c r="AT97" i="12"/>
  <c r="AS97" i="12"/>
  <c r="AR97" i="12"/>
  <c r="AQ97" i="12"/>
  <c r="AP97" i="12"/>
  <c r="AO97" i="12"/>
  <c r="AN97" i="12"/>
  <c r="AM97" i="12"/>
  <c r="AL97" i="12"/>
  <c r="AK97" i="12"/>
  <c r="AJ97" i="12"/>
  <c r="AI97" i="12"/>
  <c r="BL96" i="12"/>
  <c r="BK96" i="12"/>
  <c r="BJ96" i="12"/>
  <c r="BI96" i="12"/>
  <c r="BH96" i="12"/>
  <c r="BG96" i="12"/>
  <c r="BF96" i="12"/>
  <c r="BE96" i="12"/>
  <c r="BD96" i="12"/>
  <c r="BC96" i="12"/>
  <c r="BB96" i="12"/>
  <c r="BA96" i="12"/>
  <c r="AZ96" i="12"/>
  <c r="AY96" i="12"/>
  <c r="AX96" i="12"/>
  <c r="AW96" i="12"/>
  <c r="AV96" i="12"/>
  <c r="AU96" i="12"/>
  <c r="AT96" i="12"/>
  <c r="AS96" i="12"/>
  <c r="AR96" i="12"/>
  <c r="AQ96" i="12"/>
  <c r="AP96" i="12"/>
  <c r="AO96" i="12"/>
  <c r="AN96" i="12"/>
  <c r="AM96" i="12"/>
  <c r="AL96" i="12"/>
  <c r="AK96" i="12"/>
  <c r="AJ96" i="12"/>
  <c r="AI96" i="12"/>
  <c r="BL95" i="12"/>
  <c r="BK95" i="12"/>
  <c r="BJ95" i="12"/>
  <c r="BI95" i="12"/>
  <c r="BH95" i="12"/>
  <c r="BG95" i="12"/>
  <c r="BF95" i="12"/>
  <c r="BE95" i="12"/>
  <c r="BD95" i="12"/>
  <c r="BC95" i="12"/>
  <c r="BB95" i="12"/>
  <c r="BA95" i="12"/>
  <c r="AZ95" i="12"/>
  <c r="AY95" i="12"/>
  <c r="AX95" i="12"/>
  <c r="AW95" i="12"/>
  <c r="AV95" i="12"/>
  <c r="AU95" i="12"/>
  <c r="AT95" i="12"/>
  <c r="AS95" i="12"/>
  <c r="AR95" i="12"/>
  <c r="AQ95" i="12"/>
  <c r="AP95" i="12"/>
  <c r="AO95" i="12"/>
  <c r="AN95" i="12"/>
  <c r="AM95" i="12"/>
  <c r="AL95" i="12"/>
  <c r="AK95" i="12"/>
  <c r="AJ95" i="12"/>
  <c r="AI95" i="12"/>
  <c r="BL94" i="12"/>
  <c r="BK94" i="12"/>
  <c r="BJ94" i="12"/>
  <c r="BI94" i="12"/>
  <c r="BH94" i="12"/>
  <c r="BG94" i="12"/>
  <c r="BF94" i="12"/>
  <c r="BE94" i="12"/>
  <c r="BD94" i="12"/>
  <c r="BC94" i="12"/>
  <c r="BB94" i="12"/>
  <c r="BA94" i="12"/>
  <c r="AZ94" i="12"/>
  <c r="AY94" i="12"/>
  <c r="AX94" i="12"/>
  <c r="AW94" i="12"/>
  <c r="AV94" i="12"/>
  <c r="AU94" i="12"/>
  <c r="AT94" i="12"/>
  <c r="AS94" i="12"/>
  <c r="AR94" i="12"/>
  <c r="AQ94" i="12"/>
  <c r="AP94" i="12"/>
  <c r="AO94" i="12"/>
  <c r="AN94" i="12"/>
  <c r="AM94" i="12"/>
  <c r="AL94" i="12"/>
  <c r="AK94" i="12"/>
  <c r="AJ94" i="12"/>
  <c r="AI94" i="12"/>
  <c r="BL93" i="12"/>
  <c r="BK93" i="12"/>
  <c r="BJ93" i="12"/>
  <c r="BI93" i="12"/>
  <c r="BH93" i="12"/>
  <c r="BG93" i="12"/>
  <c r="BF93" i="12"/>
  <c r="BE93" i="12"/>
  <c r="BD93" i="12"/>
  <c r="BC93" i="12"/>
  <c r="BB93" i="12"/>
  <c r="BA93" i="12"/>
  <c r="AZ93" i="12"/>
  <c r="AY93" i="12"/>
  <c r="AX93" i="12"/>
  <c r="AW93" i="12"/>
  <c r="AV93" i="12"/>
  <c r="AU93" i="12"/>
  <c r="AT93" i="12"/>
  <c r="AS93" i="12"/>
  <c r="AR93" i="12"/>
  <c r="AQ93" i="12"/>
  <c r="AP93" i="12"/>
  <c r="AO93" i="12"/>
  <c r="AN93" i="12"/>
  <c r="AM93" i="12"/>
  <c r="AL93" i="12"/>
  <c r="AK93" i="12"/>
  <c r="AJ93" i="12"/>
  <c r="AI93" i="12"/>
  <c r="BL92" i="12"/>
  <c r="BK92" i="12"/>
  <c r="BJ92" i="12"/>
  <c r="BI92" i="12"/>
  <c r="BH92" i="12"/>
  <c r="BG92" i="12"/>
  <c r="BF92" i="12"/>
  <c r="BE92" i="12"/>
  <c r="BD92" i="12"/>
  <c r="BC92" i="12"/>
  <c r="BB92" i="12"/>
  <c r="BA92" i="12"/>
  <c r="AZ92" i="12"/>
  <c r="AY92" i="12"/>
  <c r="AX92" i="12"/>
  <c r="AW92" i="12"/>
  <c r="AV92" i="12"/>
  <c r="AU92" i="12"/>
  <c r="AT92" i="12"/>
  <c r="AS92" i="12"/>
  <c r="AR92" i="12"/>
  <c r="AQ92" i="12"/>
  <c r="AP92" i="12"/>
  <c r="AO92" i="12"/>
  <c r="AN92" i="12"/>
  <c r="AM92" i="12"/>
  <c r="AL92" i="12"/>
  <c r="AK92" i="12"/>
  <c r="AJ92" i="12"/>
  <c r="AI92" i="12"/>
  <c r="BL91" i="12"/>
  <c r="BK91" i="12"/>
  <c r="BJ91" i="12"/>
  <c r="BI91" i="12"/>
  <c r="BH91" i="12"/>
  <c r="BG91" i="12"/>
  <c r="BF91" i="12"/>
  <c r="BE91" i="12"/>
  <c r="BD91" i="12"/>
  <c r="BC91" i="12"/>
  <c r="BB91" i="12"/>
  <c r="BA91" i="12"/>
  <c r="AZ91" i="12"/>
  <c r="AY91" i="12"/>
  <c r="AX91" i="12"/>
  <c r="AW91" i="12"/>
  <c r="AV91" i="12"/>
  <c r="AU91" i="12"/>
  <c r="AT91" i="12"/>
  <c r="AS91" i="12"/>
  <c r="AR91" i="12"/>
  <c r="AQ91" i="12"/>
  <c r="AP91" i="12"/>
  <c r="AO91" i="12"/>
  <c r="AN91" i="12"/>
  <c r="AM91" i="12"/>
  <c r="AL91" i="12"/>
  <c r="AK91" i="12"/>
  <c r="AJ91" i="12"/>
  <c r="AI91" i="12"/>
  <c r="BL90" i="12"/>
  <c r="BK90" i="12"/>
  <c r="BJ90" i="12"/>
  <c r="BI90" i="12"/>
  <c r="BH90" i="12"/>
  <c r="BG90" i="12"/>
  <c r="BF90" i="12"/>
  <c r="BE90" i="12"/>
  <c r="BD90" i="12"/>
  <c r="BC90" i="12"/>
  <c r="BB90" i="12"/>
  <c r="BA90" i="12"/>
  <c r="AZ90" i="12"/>
  <c r="AY90" i="12"/>
  <c r="AX90" i="12"/>
  <c r="AW90" i="12"/>
  <c r="AV90" i="12"/>
  <c r="AU90" i="12"/>
  <c r="AT90" i="12"/>
  <c r="AS90" i="12"/>
  <c r="AR90" i="12"/>
  <c r="AQ90" i="12"/>
  <c r="AP90" i="12"/>
  <c r="AO90" i="12"/>
  <c r="AN90" i="12"/>
  <c r="AM90" i="12"/>
  <c r="AL90" i="12"/>
  <c r="AK90" i="12"/>
  <c r="AJ90" i="12"/>
  <c r="AI90" i="12"/>
  <c r="BL89" i="12"/>
  <c r="BK89" i="12"/>
  <c r="BJ89" i="12"/>
  <c r="BI89" i="12"/>
  <c r="BH89" i="12"/>
  <c r="BG89" i="12"/>
  <c r="BF89" i="12"/>
  <c r="BE89" i="12"/>
  <c r="BD89" i="12"/>
  <c r="BC89" i="12"/>
  <c r="BB89" i="12"/>
  <c r="BA89" i="12"/>
  <c r="AZ89" i="12"/>
  <c r="AY89" i="12"/>
  <c r="AX89" i="12"/>
  <c r="AW89" i="12"/>
  <c r="AV89" i="12"/>
  <c r="AU89" i="12"/>
  <c r="AT89" i="12"/>
  <c r="AS89" i="12"/>
  <c r="AR89" i="12"/>
  <c r="AQ89" i="12"/>
  <c r="AP89" i="12"/>
  <c r="AO89" i="12"/>
  <c r="AN89" i="12"/>
  <c r="AM89" i="12"/>
  <c r="AL89" i="12"/>
  <c r="AK89" i="12"/>
  <c r="AJ89" i="12"/>
  <c r="AI89" i="12"/>
  <c r="BL88" i="12"/>
  <c r="BK88" i="12"/>
  <c r="BJ88" i="12"/>
  <c r="BI88" i="12"/>
  <c r="BH88" i="12"/>
  <c r="BG88" i="12"/>
  <c r="BF88" i="12"/>
  <c r="BE88" i="12"/>
  <c r="BD88" i="12"/>
  <c r="BC88" i="12"/>
  <c r="BB88" i="12"/>
  <c r="BA88" i="12"/>
  <c r="AZ88" i="12"/>
  <c r="AY88" i="12"/>
  <c r="AX88" i="12"/>
  <c r="AW88" i="12"/>
  <c r="AV88" i="12"/>
  <c r="AU88" i="12"/>
  <c r="AT88" i="12"/>
  <c r="AS88" i="12"/>
  <c r="AR88" i="12"/>
  <c r="AQ88" i="12"/>
  <c r="AP88" i="12"/>
  <c r="AO88" i="12"/>
  <c r="AN88" i="12"/>
  <c r="AM88" i="12"/>
  <c r="AL88" i="12"/>
  <c r="AK88" i="12"/>
  <c r="AJ88" i="12"/>
  <c r="AI88" i="12"/>
  <c r="BL87" i="12"/>
  <c r="BK87" i="12"/>
  <c r="BJ87" i="12"/>
  <c r="BI87" i="12"/>
  <c r="BH87" i="12"/>
  <c r="BG87" i="12"/>
  <c r="BF87" i="12"/>
  <c r="BE87" i="12"/>
  <c r="BD87" i="12"/>
  <c r="BC87" i="12"/>
  <c r="BB87" i="12"/>
  <c r="BA87" i="12"/>
  <c r="AZ87" i="12"/>
  <c r="AY87" i="12"/>
  <c r="AX87" i="12"/>
  <c r="AW87" i="12"/>
  <c r="AV87" i="12"/>
  <c r="AU87" i="12"/>
  <c r="AT87" i="12"/>
  <c r="AS87" i="12"/>
  <c r="AR87" i="12"/>
  <c r="AQ87" i="12"/>
  <c r="AP87" i="12"/>
  <c r="AO87" i="12"/>
  <c r="AN87" i="12"/>
  <c r="AM87" i="12"/>
  <c r="AL87" i="12"/>
  <c r="AK87" i="12"/>
  <c r="AJ87" i="12"/>
  <c r="AI87" i="12"/>
  <c r="BL86" i="12"/>
  <c r="BK86" i="12"/>
  <c r="BJ86" i="12"/>
  <c r="BI86" i="12"/>
  <c r="BH86" i="12"/>
  <c r="BG86" i="12"/>
  <c r="BF86" i="12"/>
  <c r="BE86" i="12"/>
  <c r="BD86" i="12"/>
  <c r="BC86" i="12"/>
  <c r="BB86" i="12"/>
  <c r="BA86" i="12"/>
  <c r="AZ86" i="12"/>
  <c r="AY86" i="12"/>
  <c r="AX86" i="12"/>
  <c r="AW86" i="12"/>
  <c r="AV86" i="12"/>
  <c r="AU86" i="12"/>
  <c r="AT86" i="12"/>
  <c r="AS86" i="12"/>
  <c r="AR86" i="12"/>
  <c r="AQ86" i="12"/>
  <c r="AP86" i="12"/>
  <c r="AO86" i="12"/>
  <c r="AN86" i="12"/>
  <c r="AM86" i="12"/>
  <c r="AL86" i="12"/>
  <c r="AK86" i="12"/>
  <c r="AJ86" i="12"/>
  <c r="AI86" i="12"/>
  <c r="BL85" i="12"/>
  <c r="BK85" i="12"/>
  <c r="BJ85" i="12"/>
  <c r="BI85" i="12"/>
  <c r="BH85" i="12"/>
  <c r="BG85" i="12"/>
  <c r="BF85" i="12"/>
  <c r="BE85" i="12"/>
  <c r="BD85" i="12"/>
  <c r="BC85" i="12"/>
  <c r="BB85" i="12"/>
  <c r="BA85" i="12"/>
  <c r="AZ85" i="12"/>
  <c r="AY85" i="12"/>
  <c r="AX85" i="12"/>
  <c r="AW85" i="12"/>
  <c r="AV85" i="12"/>
  <c r="AU85" i="12"/>
  <c r="AT85" i="12"/>
  <c r="AS85" i="12"/>
  <c r="AR85" i="12"/>
  <c r="AQ85" i="12"/>
  <c r="AP85" i="12"/>
  <c r="AO85" i="12"/>
  <c r="AN85" i="12"/>
  <c r="AM85" i="12"/>
  <c r="AL85" i="12"/>
  <c r="AK85" i="12"/>
  <c r="AJ85" i="12"/>
  <c r="AI85" i="12"/>
  <c r="BL84" i="12"/>
  <c r="BK84" i="12"/>
  <c r="BJ84" i="12"/>
  <c r="BI84" i="12"/>
  <c r="BH84" i="12"/>
  <c r="BG84" i="12"/>
  <c r="BF84" i="12"/>
  <c r="BE84" i="12"/>
  <c r="BD84" i="12"/>
  <c r="BC84" i="12"/>
  <c r="BB84" i="12"/>
  <c r="BA84" i="12"/>
  <c r="AZ84" i="12"/>
  <c r="AY84" i="12"/>
  <c r="AX84" i="12"/>
  <c r="AW84" i="12"/>
  <c r="AV84" i="12"/>
  <c r="AU84" i="12"/>
  <c r="AT84" i="12"/>
  <c r="AS84" i="12"/>
  <c r="AR84" i="12"/>
  <c r="AQ84" i="12"/>
  <c r="AP84" i="12"/>
  <c r="AO84" i="12"/>
  <c r="AN84" i="12"/>
  <c r="AM84" i="12"/>
  <c r="AL84" i="12"/>
  <c r="AK84" i="12"/>
  <c r="AJ84" i="12"/>
  <c r="AI84" i="12"/>
  <c r="BL83" i="12"/>
  <c r="BK83" i="12"/>
  <c r="BJ83" i="12"/>
  <c r="BI83" i="12"/>
  <c r="BH83" i="12"/>
  <c r="BG83" i="12"/>
  <c r="BF83" i="12"/>
  <c r="BE83" i="12"/>
  <c r="BD83" i="12"/>
  <c r="BC83" i="12"/>
  <c r="BB83" i="12"/>
  <c r="BA83" i="12"/>
  <c r="AZ83" i="12"/>
  <c r="AY83" i="12"/>
  <c r="AX83" i="12"/>
  <c r="AW83" i="12"/>
  <c r="AV83" i="12"/>
  <c r="AU83" i="12"/>
  <c r="AT83" i="12"/>
  <c r="AS83" i="12"/>
  <c r="AR83" i="12"/>
  <c r="AQ83" i="12"/>
  <c r="AP83" i="12"/>
  <c r="AO83" i="12"/>
  <c r="AN83" i="12"/>
  <c r="AM83" i="12"/>
  <c r="AL83" i="12"/>
  <c r="AK83" i="12"/>
  <c r="AJ83" i="12"/>
  <c r="AI83" i="12"/>
  <c r="BL82" i="12"/>
  <c r="BK82" i="12"/>
  <c r="BJ82" i="12"/>
  <c r="BI82" i="12"/>
  <c r="BH82" i="12"/>
  <c r="BG82" i="12"/>
  <c r="BF82" i="12"/>
  <c r="BE82" i="12"/>
  <c r="BD82" i="12"/>
  <c r="BC82" i="12"/>
  <c r="BB82" i="12"/>
  <c r="BA82" i="12"/>
  <c r="AZ82" i="12"/>
  <c r="AY82" i="12"/>
  <c r="AX82" i="12"/>
  <c r="AW82" i="12"/>
  <c r="AV82" i="12"/>
  <c r="AU82" i="12"/>
  <c r="AT82" i="12"/>
  <c r="AS82" i="12"/>
  <c r="AR82" i="12"/>
  <c r="AQ82" i="12"/>
  <c r="AP82" i="12"/>
  <c r="AO82" i="12"/>
  <c r="AN82" i="12"/>
  <c r="AM82" i="12"/>
  <c r="AL82" i="12"/>
  <c r="AK82" i="12"/>
  <c r="AJ82" i="12"/>
  <c r="AI82" i="12"/>
  <c r="BL81" i="12"/>
  <c r="BK81" i="12"/>
  <c r="BJ81" i="12"/>
  <c r="BI81" i="12"/>
  <c r="BH81" i="12"/>
  <c r="BG81" i="12"/>
  <c r="BF81" i="12"/>
  <c r="BE81" i="12"/>
  <c r="BD81" i="12"/>
  <c r="BC81" i="12"/>
  <c r="BB81" i="12"/>
  <c r="BA81" i="12"/>
  <c r="AZ81" i="12"/>
  <c r="AY81" i="12"/>
  <c r="AX81" i="12"/>
  <c r="AW81" i="12"/>
  <c r="AV81" i="12"/>
  <c r="AU81" i="12"/>
  <c r="AT81" i="12"/>
  <c r="AS81" i="12"/>
  <c r="AR81" i="12"/>
  <c r="AQ81" i="12"/>
  <c r="AP81" i="12"/>
  <c r="AO81" i="12"/>
  <c r="AN81" i="12"/>
  <c r="AM81" i="12"/>
  <c r="AL81" i="12"/>
  <c r="AK81" i="12"/>
  <c r="AJ81" i="12"/>
  <c r="AI81" i="12"/>
  <c r="BL80" i="12"/>
  <c r="BK80" i="12"/>
  <c r="BJ80" i="12"/>
  <c r="BI80" i="12"/>
  <c r="BH80" i="12"/>
  <c r="BG80" i="12"/>
  <c r="BF80" i="12"/>
  <c r="BE80" i="12"/>
  <c r="BD80" i="12"/>
  <c r="BC80" i="12"/>
  <c r="BB80" i="12"/>
  <c r="BA80" i="12"/>
  <c r="AZ80" i="12"/>
  <c r="AY80" i="12"/>
  <c r="AX80" i="12"/>
  <c r="AW80" i="12"/>
  <c r="AV80" i="12"/>
  <c r="AU80" i="12"/>
  <c r="AT80" i="12"/>
  <c r="AS80" i="12"/>
  <c r="AR80" i="12"/>
  <c r="AQ80" i="12"/>
  <c r="AP80" i="12"/>
  <c r="AO80" i="12"/>
  <c r="AN80" i="12"/>
  <c r="AM80" i="12"/>
  <c r="AL80" i="12"/>
  <c r="AK80" i="12"/>
  <c r="AJ80" i="12"/>
  <c r="AI80" i="12"/>
  <c r="BL79" i="12"/>
  <c r="BK79" i="12"/>
  <c r="BJ79" i="12"/>
  <c r="BI79" i="12"/>
  <c r="BH79" i="12"/>
  <c r="BG79" i="12"/>
  <c r="BF79" i="12"/>
  <c r="BE79" i="12"/>
  <c r="BD79" i="12"/>
  <c r="BC79" i="12"/>
  <c r="BB79" i="12"/>
  <c r="BA79" i="12"/>
  <c r="AZ79" i="12"/>
  <c r="AY79" i="12"/>
  <c r="AX79" i="12"/>
  <c r="AW79" i="12"/>
  <c r="AV79" i="12"/>
  <c r="AU79" i="12"/>
  <c r="AT79" i="12"/>
  <c r="AS79" i="12"/>
  <c r="AR79" i="12"/>
  <c r="AQ79" i="12"/>
  <c r="AP79" i="12"/>
  <c r="AO79" i="12"/>
  <c r="AN79" i="12"/>
  <c r="AM79" i="12"/>
  <c r="AL79" i="12"/>
  <c r="AK79" i="12"/>
  <c r="AJ79" i="12"/>
  <c r="AI79" i="12"/>
  <c r="BL78" i="12"/>
  <c r="BK78" i="12"/>
  <c r="BJ78" i="12"/>
  <c r="BI78" i="12"/>
  <c r="BH78" i="12"/>
  <c r="BG78" i="12"/>
  <c r="BF78" i="12"/>
  <c r="BE78" i="12"/>
  <c r="BD78" i="12"/>
  <c r="BC78" i="12"/>
  <c r="BB78" i="12"/>
  <c r="BA78" i="12"/>
  <c r="AZ78" i="12"/>
  <c r="AY78" i="12"/>
  <c r="AX78" i="12"/>
  <c r="AW78" i="12"/>
  <c r="AV78" i="12"/>
  <c r="AU78" i="12"/>
  <c r="AT78" i="12"/>
  <c r="AS78" i="12"/>
  <c r="AR78" i="12"/>
  <c r="AQ78" i="12"/>
  <c r="AP78" i="12"/>
  <c r="AO78" i="12"/>
  <c r="AN78" i="12"/>
  <c r="AM78" i="12"/>
  <c r="AL78" i="12"/>
  <c r="AK78" i="12"/>
  <c r="AJ78" i="12"/>
  <c r="AI78" i="12"/>
  <c r="BL77" i="12"/>
  <c r="BK77" i="12"/>
  <c r="BJ77" i="12"/>
  <c r="BI77" i="12"/>
  <c r="BH77" i="12"/>
  <c r="BG77" i="12"/>
  <c r="BF77" i="12"/>
  <c r="BE77" i="12"/>
  <c r="BD77" i="12"/>
  <c r="BC77" i="12"/>
  <c r="BB77" i="12"/>
  <c r="BA77" i="12"/>
  <c r="AZ77" i="12"/>
  <c r="AY77" i="12"/>
  <c r="AX77" i="12"/>
  <c r="AW77" i="12"/>
  <c r="AV77" i="12"/>
  <c r="AU77" i="12"/>
  <c r="AT77" i="12"/>
  <c r="AS77" i="12"/>
  <c r="AR77" i="12"/>
  <c r="AQ77" i="12"/>
  <c r="AP77" i="12"/>
  <c r="AO77" i="12"/>
  <c r="AN77" i="12"/>
  <c r="AM77" i="12"/>
  <c r="AL77" i="12"/>
  <c r="AK77" i="12"/>
  <c r="AJ77" i="12"/>
  <c r="AI77" i="12"/>
  <c r="BL76" i="12"/>
  <c r="BK76" i="12"/>
  <c r="BJ76" i="12"/>
  <c r="BI76" i="12"/>
  <c r="BH76" i="12"/>
  <c r="BG76" i="12"/>
  <c r="BF76" i="12"/>
  <c r="BE76" i="12"/>
  <c r="BD76" i="12"/>
  <c r="BC76" i="12"/>
  <c r="BB76" i="12"/>
  <c r="BA76" i="12"/>
  <c r="AZ76" i="12"/>
  <c r="AY76" i="12"/>
  <c r="AX76" i="12"/>
  <c r="AW76" i="12"/>
  <c r="AV76" i="12"/>
  <c r="AU76" i="12"/>
  <c r="AT76" i="12"/>
  <c r="AS76" i="12"/>
  <c r="AR76" i="12"/>
  <c r="AQ76" i="12"/>
  <c r="AP76" i="12"/>
  <c r="AO76" i="12"/>
  <c r="AN76" i="12"/>
  <c r="AM76" i="12"/>
  <c r="AL76" i="12"/>
  <c r="AK76" i="12"/>
  <c r="AJ76" i="12"/>
  <c r="AI76" i="12"/>
  <c r="BL75" i="12"/>
  <c r="BK75" i="12"/>
  <c r="BJ75" i="12"/>
  <c r="BI75" i="12"/>
  <c r="BH75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T75" i="12"/>
  <c r="AS75" i="12"/>
  <c r="AR75" i="12"/>
  <c r="AQ75" i="12"/>
  <c r="AP75" i="12"/>
  <c r="AO75" i="12"/>
  <c r="AN75" i="12"/>
  <c r="AM75" i="12"/>
  <c r="AL75" i="12"/>
  <c r="AK75" i="12"/>
  <c r="AJ75" i="12"/>
  <c r="AI75" i="12"/>
  <c r="BL74" i="12"/>
  <c r="BK74" i="12"/>
  <c r="BJ74" i="12"/>
  <c r="BI74" i="12"/>
  <c r="BH74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T74" i="12"/>
  <c r="AS74" i="12"/>
  <c r="AR74" i="12"/>
  <c r="AQ74" i="12"/>
  <c r="AP74" i="12"/>
  <c r="AO74" i="12"/>
  <c r="AN74" i="12"/>
  <c r="AM74" i="12"/>
  <c r="AL74" i="12"/>
  <c r="AK74" i="12"/>
  <c r="AJ74" i="12"/>
  <c r="AI74" i="12"/>
  <c r="BL73" i="12"/>
  <c r="BK73" i="12"/>
  <c r="BJ73" i="12"/>
  <c r="BI73" i="12"/>
  <c r="BH73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T73" i="12"/>
  <c r="AS73" i="12"/>
  <c r="AR73" i="12"/>
  <c r="AQ73" i="12"/>
  <c r="AP73" i="12"/>
  <c r="AO73" i="12"/>
  <c r="AN73" i="12"/>
  <c r="AM73" i="12"/>
  <c r="AL73" i="12"/>
  <c r="AK73" i="12"/>
  <c r="AJ73" i="12"/>
  <c r="AI73" i="12"/>
  <c r="BL72" i="12"/>
  <c r="BK72" i="12"/>
  <c r="BJ72" i="12"/>
  <c r="BI72" i="12"/>
  <c r="BH72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T72" i="12"/>
  <c r="AS72" i="12"/>
  <c r="AR72" i="12"/>
  <c r="AQ72" i="12"/>
  <c r="AP72" i="12"/>
  <c r="AO72" i="12"/>
  <c r="AN72" i="12"/>
  <c r="AM72" i="12"/>
  <c r="AL72" i="12"/>
  <c r="AK72" i="12"/>
  <c r="AJ72" i="12"/>
  <c r="AI72" i="12"/>
  <c r="BL71" i="12"/>
  <c r="BK71" i="12"/>
  <c r="BJ71" i="12"/>
  <c r="BI71" i="12"/>
  <c r="BH71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BL70" i="12"/>
  <c r="BK70" i="12"/>
  <c r="BJ70" i="12"/>
  <c r="BI70" i="12"/>
  <c r="BH70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T70" i="12"/>
  <c r="AS70" i="12"/>
  <c r="AR70" i="12"/>
  <c r="AQ70" i="12"/>
  <c r="AP70" i="12"/>
  <c r="AO70" i="12"/>
  <c r="AN70" i="12"/>
  <c r="AM70" i="12"/>
  <c r="AL70" i="12"/>
  <c r="AK70" i="12"/>
  <c r="AJ70" i="12"/>
  <c r="AI70" i="12"/>
  <c r="BL69" i="12"/>
  <c r="BK69" i="12"/>
  <c r="BJ69" i="12"/>
  <c r="BI69" i="12"/>
  <c r="BH69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T69" i="12"/>
  <c r="AS69" i="12"/>
  <c r="AR69" i="12"/>
  <c r="AQ69" i="12"/>
  <c r="AP69" i="12"/>
  <c r="AO69" i="12"/>
  <c r="AN69" i="12"/>
  <c r="AM69" i="12"/>
  <c r="AL69" i="12"/>
  <c r="AK69" i="12"/>
  <c r="AJ69" i="12"/>
  <c r="AI69" i="12"/>
  <c r="CR65" i="12"/>
  <c r="CQ65" i="12"/>
  <c r="CP65" i="12"/>
  <c r="CO65" i="12"/>
  <c r="CN65" i="12"/>
  <c r="CM65" i="12"/>
  <c r="CL65" i="12"/>
  <c r="CK65" i="12"/>
  <c r="CJ65" i="12"/>
  <c r="CI65" i="12"/>
  <c r="CH65" i="12"/>
  <c r="CG65" i="12"/>
  <c r="CF65" i="12"/>
  <c r="CE65" i="12"/>
  <c r="CD65" i="12"/>
  <c r="CC65" i="12"/>
  <c r="CB65" i="12"/>
  <c r="CA65" i="12"/>
  <c r="BZ65" i="12"/>
  <c r="BY65" i="12"/>
  <c r="BX65" i="12"/>
  <c r="BW65" i="12"/>
  <c r="BV65" i="12"/>
  <c r="BU65" i="12"/>
  <c r="BT65" i="12"/>
  <c r="BS65" i="12"/>
  <c r="BR65" i="12"/>
  <c r="BQ65" i="12"/>
  <c r="BP65" i="12"/>
  <c r="BO65" i="12"/>
  <c r="BL65" i="12"/>
  <c r="BK65" i="12"/>
  <c r="BJ65" i="12"/>
  <c r="BI65" i="12"/>
  <c r="BH65" i="12"/>
  <c r="BG65" i="12"/>
  <c r="BF65" i="12"/>
  <c r="BE65" i="12"/>
  <c r="BD65" i="12"/>
  <c r="BC65" i="12"/>
  <c r="BB65" i="12"/>
  <c r="BA65" i="12"/>
  <c r="AZ65" i="12"/>
  <c r="AY65" i="12"/>
  <c r="AX65" i="12"/>
  <c r="AW65" i="12"/>
  <c r="AV65" i="12"/>
  <c r="AU65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CR64" i="12"/>
  <c r="CQ64" i="12"/>
  <c r="CP64" i="12"/>
  <c r="CO64" i="12"/>
  <c r="CN64" i="12"/>
  <c r="CM64" i="12"/>
  <c r="CL64" i="12"/>
  <c r="CK64" i="12"/>
  <c r="CJ64" i="12"/>
  <c r="CI64" i="12"/>
  <c r="CH64" i="12"/>
  <c r="CG64" i="12"/>
  <c r="CF64" i="12"/>
  <c r="CE64" i="12"/>
  <c r="CD64" i="12"/>
  <c r="CC64" i="12"/>
  <c r="CB64" i="12"/>
  <c r="CA64" i="12"/>
  <c r="BZ64" i="12"/>
  <c r="BY64" i="12"/>
  <c r="BX64" i="12"/>
  <c r="BW64" i="12"/>
  <c r="BV64" i="12"/>
  <c r="BU64" i="12"/>
  <c r="BT64" i="12"/>
  <c r="BS64" i="12"/>
  <c r="BR64" i="12"/>
  <c r="BQ64" i="12"/>
  <c r="BP64" i="12"/>
  <c r="BO64" i="12"/>
  <c r="BL64" i="12"/>
  <c r="BK64" i="12"/>
  <c r="BJ64" i="12"/>
  <c r="BI64" i="12"/>
  <c r="BH64" i="12"/>
  <c r="BG64" i="12"/>
  <c r="BF64" i="12"/>
  <c r="BE64" i="12"/>
  <c r="BD64" i="12"/>
  <c r="BC64" i="12"/>
  <c r="BB64" i="12"/>
  <c r="BA64" i="12"/>
  <c r="AZ64" i="12"/>
  <c r="AY64" i="12"/>
  <c r="AX64" i="12"/>
  <c r="AW64" i="12"/>
  <c r="AV64" i="12"/>
  <c r="AU64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CR63" i="12"/>
  <c r="CQ63" i="12"/>
  <c r="CP63" i="12"/>
  <c r="CO63" i="12"/>
  <c r="CN63" i="12"/>
  <c r="CM63" i="12"/>
  <c r="CL63" i="12"/>
  <c r="CK63" i="12"/>
  <c r="CJ63" i="12"/>
  <c r="CI63" i="12"/>
  <c r="CH63" i="12"/>
  <c r="CG63" i="12"/>
  <c r="CF63" i="12"/>
  <c r="CE63" i="12"/>
  <c r="CD63" i="12"/>
  <c r="CC63" i="12"/>
  <c r="CB63" i="12"/>
  <c r="CA63" i="12"/>
  <c r="BZ63" i="12"/>
  <c r="BY63" i="12"/>
  <c r="BX63" i="12"/>
  <c r="BW63" i="12"/>
  <c r="BV63" i="12"/>
  <c r="BU63" i="12"/>
  <c r="BT63" i="12"/>
  <c r="BS63" i="12"/>
  <c r="BR63" i="12"/>
  <c r="BQ63" i="12"/>
  <c r="BP63" i="12"/>
  <c r="BO63" i="12"/>
  <c r="BL63" i="12"/>
  <c r="BK63" i="12"/>
  <c r="BJ63" i="12"/>
  <c r="BI63" i="12"/>
  <c r="BH63" i="12"/>
  <c r="BG63" i="12"/>
  <c r="BF63" i="12"/>
  <c r="BE63" i="12"/>
  <c r="BD63" i="12"/>
  <c r="BC63" i="12"/>
  <c r="BB63" i="12"/>
  <c r="BA63" i="12"/>
  <c r="AZ63" i="12"/>
  <c r="AY63" i="12"/>
  <c r="AX63" i="12"/>
  <c r="AW63" i="12"/>
  <c r="AV63" i="12"/>
  <c r="AU63" i="12"/>
  <c r="AT63" i="12"/>
  <c r="AS63" i="12"/>
  <c r="AR63" i="12"/>
  <c r="AQ63" i="12"/>
  <c r="AP63" i="12"/>
  <c r="AO63" i="12"/>
  <c r="AN63" i="12"/>
  <c r="AM63" i="12"/>
  <c r="AL63" i="12"/>
  <c r="AK63" i="12"/>
  <c r="AJ63" i="12"/>
  <c r="AI63" i="12"/>
  <c r="CR62" i="12"/>
  <c r="CQ62" i="12"/>
  <c r="CP62" i="12"/>
  <c r="CO62" i="12"/>
  <c r="CN62" i="12"/>
  <c r="CM62" i="12"/>
  <c r="CL62" i="12"/>
  <c r="CK62" i="12"/>
  <c r="CJ62" i="12"/>
  <c r="CI62" i="12"/>
  <c r="CH62" i="12"/>
  <c r="CG62" i="12"/>
  <c r="CF62" i="12"/>
  <c r="CE62" i="12"/>
  <c r="CD62" i="12"/>
  <c r="CC62" i="12"/>
  <c r="CB62" i="12"/>
  <c r="CA62" i="12"/>
  <c r="BZ62" i="12"/>
  <c r="BY62" i="12"/>
  <c r="BX62" i="12"/>
  <c r="BW62" i="12"/>
  <c r="BV62" i="12"/>
  <c r="BU62" i="12"/>
  <c r="BT62" i="12"/>
  <c r="BS62" i="12"/>
  <c r="BR62" i="12"/>
  <c r="BQ62" i="12"/>
  <c r="BP62" i="12"/>
  <c r="BO62" i="12"/>
  <c r="BL62" i="12"/>
  <c r="BK62" i="12"/>
  <c r="BJ62" i="12"/>
  <c r="BI62" i="12"/>
  <c r="BH62" i="12"/>
  <c r="BG62" i="12"/>
  <c r="BF62" i="12"/>
  <c r="BE62" i="12"/>
  <c r="BD62" i="12"/>
  <c r="BC62" i="12"/>
  <c r="BB62" i="12"/>
  <c r="BA62" i="12"/>
  <c r="AZ62" i="12"/>
  <c r="AY62" i="12"/>
  <c r="AX62" i="12"/>
  <c r="AW62" i="12"/>
  <c r="AV62" i="12"/>
  <c r="AU62" i="12"/>
  <c r="AT62" i="12"/>
  <c r="AS62" i="12"/>
  <c r="AR62" i="12"/>
  <c r="AQ62" i="12"/>
  <c r="AP62" i="12"/>
  <c r="AO62" i="12"/>
  <c r="AN62" i="12"/>
  <c r="AM62" i="12"/>
  <c r="AL62" i="12"/>
  <c r="AK62" i="12"/>
  <c r="AJ62" i="12"/>
  <c r="AI62" i="12"/>
  <c r="CR61" i="12"/>
  <c r="CQ61" i="12"/>
  <c r="CP61" i="12"/>
  <c r="CO61" i="12"/>
  <c r="CN61" i="12"/>
  <c r="CM61" i="12"/>
  <c r="CL61" i="12"/>
  <c r="CK61" i="12"/>
  <c r="CJ61" i="12"/>
  <c r="CI61" i="12"/>
  <c r="CH61" i="12"/>
  <c r="CG61" i="12"/>
  <c r="CF61" i="12"/>
  <c r="CE61" i="12"/>
  <c r="CD61" i="12"/>
  <c r="CC61" i="12"/>
  <c r="CB61" i="12"/>
  <c r="CA61" i="12"/>
  <c r="BZ61" i="12"/>
  <c r="BY61" i="12"/>
  <c r="BX61" i="12"/>
  <c r="BW61" i="12"/>
  <c r="BV61" i="12"/>
  <c r="BU61" i="12"/>
  <c r="BT61" i="12"/>
  <c r="BS61" i="12"/>
  <c r="BR61" i="12"/>
  <c r="BQ61" i="12"/>
  <c r="BP61" i="12"/>
  <c r="BO61" i="12"/>
  <c r="BL61" i="12"/>
  <c r="BK61" i="12"/>
  <c r="BJ61" i="12"/>
  <c r="BI61" i="12"/>
  <c r="BH61" i="12"/>
  <c r="BG61" i="12"/>
  <c r="BF61" i="12"/>
  <c r="BE61" i="12"/>
  <c r="BD61" i="12"/>
  <c r="BC61" i="12"/>
  <c r="BB61" i="12"/>
  <c r="BA61" i="12"/>
  <c r="AZ61" i="12"/>
  <c r="AY61" i="12"/>
  <c r="AX61" i="12"/>
  <c r="AW61" i="12"/>
  <c r="AV61" i="12"/>
  <c r="AU61" i="12"/>
  <c r="AT61" i="12"/>
  <c r="AS61" i="12"/>
  <c r="AR61" i="12"/>
  <c r="AQ61" i="12"/>
  <c r="AP61" i="12"/>
  <c r="AO61" i="12"/>
  <c r="AN61" i="12"/>
  <c r="AM61" i="12"/>
  <c r="AL61" i="12"/>
  <c r="AK61" i="12"/>
  <c r="AJ61" i="12"/>
  <c r="AI61" i="12"/>
  <c r="CR60" i="12"/>
  <c r="CQ60" i="12"/>
  <c r="CP60" i="12"/>
  <c r="CO60" i="12"/>
  <c r="CN60" i="12"/>
  <c r="CM60" i="12"/>
  <c r="CL60" i="12"/>
  <c r="CK60" i="12"/>
  <c r="CJ60" i="12"/>
  <c r="CI60" i="12"/>
  <c r="CH60" i="12"/>
  <c r="CG60" i="12"/>
  <c r="CF60" i="12"/>
  <c r="CE60" i="12"/>
  <c r="CD60" i="12"/>
  <c r="CC60" i="12"/>
  <c r="CB60" i="12"/>
  <c r="CA60" i="12"/>
  <c r="BZ60" i="12"/>
  <c r="BY60" i="12"/>
  <c r="BX60" i="12"/>
  <c r="BW60" i="12"/>
  <c r="BV60" i="12"/>
  <c r="BU60" i="12"/>
  <c r="BT60" i="12"/>
  <c r="BS60" i="12"/>
  <c r="BR60" i="12"/>
  <c r="BQ60" i="12"/>
  <c r="BP60" i="12"/>
  <c r="BO60" i="12"/>
  <c r="BL60" i="12"/>
  <c r="BK60" i="12"/>
  <c r="BJ60" i="12"/>
  <c r="BI60" i="12"/>
  <c r="BH60" i="12"/>
  <c r="BG60" i="12"/>
  <c r="BF60" i="12"/>
  <c r="BE60" i="12"/>
  <c r="BD60" i="12"/>
  <c r="BC60" i="12"/>
  <c r="BB60" i="12"/>
  <c r="BA60" i="12"/>
  <c r="AZ60" i="12"/>
  <c r="AY60" i="12"/>
  <c r="AX60" i="12"/>
  <c r="AW60" i="12"/>
  <c r="AV60" i="12"/>
  <c r="AU60" i="12"/>
  <c r="AT60" i="12"/>
  <c r="AS60" i="12"/>
  <c r="AR60" i="12"/>
  <c r="AQ60" i="12"/>
  <c r="AP60" i="12"/>
  <c r="AO60" i="12"/>
  <c r="AN60" i="12"/>
  <c r="AM60" i="12"/>
  <c r="AL60" i="12"/>
  <c r="AK60" i="12"/>
  <c r="AJ60" i="12"/>
  <c r="AI60" i="12"/>
  <c r="CR59" i="12"/>
  <c r="CQ59" i="12"/>
  <c r="CP59" i="12"/>
  <c r="CO59" i="12"/>
  <c r="CN59" i="12"/>
  <c r="CM59" i="12"/>
  <c r="CL59" i="12"/>
  <c r="CK59" i="12"/>
  <c r="CJ59" i="12"/>
  <c r="CI59" i="12"/>
  <c r="CH59" i="12"/>
  <c r="CG59" i="12"/>
  <c r="CF59" i="12"/>
  <c r="CE59" i="12"/>
  <c r="CD59" i="12"/>
  <c r="CC59" i="12"/>
  <c r="CB59" i="12"/>
  <c r="CA59" i="12"/>
  <c r="BZ59" i="12"/>
  <c r="BY59" i="12"/>
  <c r="BX59" i="12"/>
  <c r="BW59" i="12"/>
  <c r="BV59" i="12"/>
  <c r="BU59" i="12"/>
  <c r="BT59" i="12"/>
  <c r="BS59" i="12"/>
  <c r="BR59" i="12"/>
  <c r="BQ59" i="12"/>
  <c r="BP59" i="12"/>
  <c r="BO59" i="12"/>
  <c r="BL59" i="12"/>
  <c r="BK59" i="12"/>
  <c r="BJ59" i="12"/>
  <c r="BI59" i="12"/>
  <c r="BH59" i="12"/>
  <c r="BG59" i="12"/>
  <c r="BF59" i="12"/>
  <c r="BE59" i="12"/>
  <c r="BD59" i="12"/>
  <c r="BC59" i="12"/>
  <c r="BB59" i="12"/>
  <c r="BA59" i="12"/>
  <c r="AZ59" i="12"/>
  <c r="AY59" i="12"/>
  <c r="AX59" i="12"/>
  <c r="AW59" i="12"/>
  <c r="AV59" i="12"/>
  <c r="AU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CR58" i="12"/>
  <c r="CQ58" i="12"/>
  <c r="CP58" i="12"/>
  <c r="CO58" i="12"/>
  <c r="CN58" i="12"/>
  <c r="CM58" i="12"/>
  <c r="CL58" i="12"/>
  <c r="CK58" i="12"/>
  <c r="CJ58" i="12"/>
  <c r="CI58" i="12"/>
  <c r="CH58" i="12"/>
  <c r="CG58" i="12"/>
  <c r="CF58" i="12"/>
  <c r="CE58" i="12"/>
  <c r="CD58" i="12"/>
  <c r="CC58" i="12"/>
  <c r="CB58" i="12"/>
  <c r="CA58" i="12"/>
  <c r="BZ58" i="12"/>
  <c r="BY58" i="12"/>
  <c r="BX58" i="12"/>
  <c r="BW58" i="12"/>
  <c r="BV58" i="12"/>
  <c r="BU58" i="12"/>
  <c r="BT58" i="12"/>
  <c r="BS58" i="12"/>
  <c r="BR58" i="12"/>
  <c r="BQ58" i="12"/>
  <c r="BP58" i="12"/>
  <c r="BO58" i="12"/>
  <c r="BL58" i="12"/>
  <c r="BK58" i="12"/>
  <c r="BJ58" i="12"/>
  <c r="BI58" i="12"/>
  <c r="BH58" i="12"/>
  <c r="BG58" i="12"/>
  <c r="BF58" i="12"/>
  <c r="BE58" i="12"/>
  <c r="BD58" i="12"/>
  <c r="BC58" i="12"/>
  <c r="BB58" i="12"/>
  <c r="BA58" i="12"/>
  <c r="AZ58" i="12"/>
  <c r="AY58" i="12"/>
  <c r="AX58" i="12"/>
  <c r="AW58" i="12"/>
  <c r="AV58" i="12"/>
  <c r="AU58" i="12"/>
  <c r="AT58" i="12"/>
  <c r="AS58" i="12"/>
  <c r="AR58" i="12"/>
  <c r="AQ58" i="12"/>
  <c r="AP58" i="12"/>
  <c r="AO58" i="12"/>
  <c r="AN58" i="12"/>
  <c r="AM58" i="12"/>
  <c r="AL58" i="12"/>
  <c r="AK58" i="12"/>
  <c r="AJ58" i="12"/>
  <c r="AI58" i="12"/>
  <c r="CR57" i="12"/>
  <c r="CQ57" i="12"/>
  <c r="CP57" i="12"/>
  <c r="CO57" i="12"/>
  <c r="CN57" i="12"/>
  <c r="CM57" i="12"/>
  <c r="CL57" i="12"/>
  <c r="CK57" i="12"/>
  <c r="CJ57" i="12"/>
  <c r="CI57" i="12"/>
  <c r="CH57" i="12"/>
  <c r="CG57" i="12"/>
  <c r="CF57" i="12"/>
  <c r="CE57" i="12"/>
  <c r="CD57" i="12"/>
  <c r="CC57" i="12"/>
  <c r="CB57" i="12"/>
  <c r="CA57" i="12"/>
  <c r="BZ57" i="12"/>
  <c r="BY57" i="12"/>
  <c r="BX57" i="12"/>
  <c r="BW57" i="12"/>
  <c r="BV57" i="12"/>
  <c r="BU57" i="12"/>
  <c r="BT57" i="12"/>
  <c r="BS57" i="12"/>
  <c r="BR57" i="12"/>
  <c r="BQ57" i="12"/>
  <c r="BP57" i="12"/>
  <c r="BO57" i="12"/>
  <c r="BL57" i="12"/>
  <c r="BK57" i="12"/>
  <c r="BJ57" i="12"/>
  <c r="BI57" i="12"/>
  <c r="BH57" i="12"/>
  <c r="BG57" i="12"/>
  <c r="BF57" i="12"/>
  <c r="BE57" i="12"/>
  <c r="BD57" i="12"/>
  <c r="BC57" i="12"/>
  <c r="BB57" i="12"/>
  <c r="BA57" i="12"/>
  <c r="AZ57" i="12"/>
  <c r="AY57" i="12"/>
  <c r="AX57" i="12"/>
  <c r="AW57" i="12"/>
  <c r="AV57" i="12"/>
  <c r="AU57" i="12"/>
  <c r="AT57" i="12"/>
  <c r="AS57" i="12"/>
  <c r="AR57" i="12"/>
  <c r="AQ57" i="12"/>
  <c r="AP57" i="12"/>
  <c r="AO57" i="12"/>
  <c r="AN57" i="12"/>
  <c r="AM57" i="12"/>
  <c r="AL57" i="12"/>
  <c r="AK57" i="12"/>
  <c r="AJ57" i="12"/>
  <c r="AI57" i="12"/>
  <c r="CR56" i="12"/>
  <c r="CQ56" i="12"/>
  <c r="CP56" i="12"/>
  <c r="CO56" i="12"/>
  <c r="CN56" i="12"/>
  <c r="CM56" i="12"/>
  <c r="CL56" i="12"/>
  <c r="CK56" i="12"/>
  <c r="CJ56" i="12"/>
  <c r="CI56" i="12"/>
  <c r="CH56" i="12"/>
  <c r="CG56" i="12"/>
  <c r="CF56" i="12"/>
  <c r="CE56" i="12"/>
  <c r="CD56" i="12"/>
  <c r="CC56" i="12"/>
  <c r="CB56" i="12"/>
  <c r="CA56" i="12"/>
  <c r="BZ56" i="12"/>
  <c r="BY56" i="12"/>
  <c r="BX56" i="12"/>
  <c r="BW56" i="12"/>
  <c r="BV56" i="12"/>
  <c r="BU56" i="12"/>
  <c r="BT56" i="12"/>
  <c r="BS56" i="12"/>
  <c r="BR56" i="12"/>
  <c r="BQ56" i="12"/>
  <c r="BP56" i="12"/>
  <c r="BO56" i="12"/>
  <c r="BL56" i="12"/>
  <c r="BK56" i="12"/>
  <c r="BJ56" i="12"/>
  <c r="BI56" i="12"/>
  <c r="BH56" i="12"/>
  <c r="BG56" i="12"/>
  <c r="BF56" i="12"/>
  <c r="BE56" i="12"/>
  <c r="BD56" i="12"/>
  <c r="BC56" i="12"/>
  <c r="BB56" i="12"/>
  <c r="BA56" i="12"/>
  <c r="AZ56" i="12"/>
  <c r="AY56" i="12"/>
  <c r="AX56" i="12"/>
  <c r="AW56" i="12"/>
  <c r="AV56" i="12"/>
  <c r="AU56" i="12"/>
  <c r="AT56" i="12"/>
  <c r="AS56" i="12"/>
  <c r="AR56" i="12"/>
  <c r="AQ56" i="12"/>
  <c r="AP56" i="12"/>
  <c r="AO56" i="12"/>
  <c r="AN56" i="12"/>
  <c r="AM56" i="12"/>
  <c r="AL56" i="12"/>
  <c r="AK56" i="12"/>
  <c r="AJ56" i="12"/>
  <c r="AI56" i="12"/>
  <c r="CR55" i="12"/>
  <c r="CQ55" i="12"/>
  <c r="CP55" i="12"/>
  <c r="CO55" i="12"/>
  <c r="CN55" i="12"/>
  <c r="CM55" i="12"/>
  <c r="CL55" i="12"/>
  <c r="CK55" i="12"/>
  <c r="CJ55" i="12"/>
  <c r="CI55" i="12"/>
  <c r="CH55" i="12"/>
  <c r="CG55" i="12"/>
  <c r="CF55" i="12"/>
  <c r="CE55" i="12"/>
  <c r="CD55" i="12"/>
  <c r="CC55" i="12"/>
  <c r="CB55" i="12"/>
  <c r="CA55" i="12"/>
  <c r="BZ55" i="12"/>
  <c r="BY55" i="12"/>
  <c r="BX55" i="12"/>
  <c r="BW55" i="12"/>
  <c r="BV55" i="12"/>
  <c r="BU55" i="12"/>
  <c r="BT55" i="12"/>
  <c r="BS55" i="12"/>
  <c r="BR55" i="12"/>
  <c r="BQ55" i="12"/>
  <c r="BP55" i="12"/>
  <c r="BO55" i="12"/>
  <c r="BL55" i="12"/>
  <c r="BK55" i="12"/>
  <c r="BJ55" i="12"/>
  <c r="BI55" i="12"/>
  <c r="BH55" i="12"/>
  <c r="BG55" i="12"/>
  <c r="BF55" i="12"/>
  <c r="BE55" i="12"/>
  <c r="BD55" i="12"/>
  <c r="BC55" i="12"/>
  <c r="BB55" i="12"/>
  <c r="BA55" i="12"/>
  <c r="AZ55" i="12"/>
  <c r="AY55" i="12"/>
  <c r="AX55" i="12"/>
  <c r="AW55" i="12"/>
  <c r="AV55" i="12"/>
  <c r="AU55" i="12"/>
  <c r="AT55" i="12"/>
  <c r="AS55" i="12"/>
  <c r="AR55" i="12"/>
  <c r="AQ55" i="12"/>
  <c r="AP55" i="12"/>
  <c r="AO55" i="12"/>
  <c r="AN55" i="12"/>
  <c r="AM55" i="12"/>
  <c r="AL55" i="12"/>
  <c r="AK55" i="12"/>
  <c r="AJ55" i="12"/>
  <c r="AI55" i="12"/>
  <c r="CR54" i="12"/>
  <c r="CQ54" i="12"/>
  <c r="CP54" i="12"/>
  <c r="CO54" i="12"/>
  <c r="CN54" i="12"/>
  <c r="CM54" i="12"/>
  <c r="CL54" i="12"/>
  <c r="CK54" i="12"/>
  <c r="CJ54" i="12"/>
  <c r="CI54" i="12"/>
  <c r="CH54" i="12"/>
  <c r="CG54" i="12"/>
  <c r="CF54" i="12"/>
  <c r="CE54" i="12"/>
  <c r="CD54" i="12"/>
  <c r="CC54" i="12"/>
  <c r="CB54" i="12"/>
  <c r="CA54" i="12"/>
  <c r="BZ54" i="12"/>
  <c r="BY54" i="12"/>
  <c r="BX54" i="12"/>
  <c r="BW54" i="12"/>
  <c r="BV54" i="12"/>
  <c r="BU54" i="12"/>
  <c r="BT54" i="12"/>
  <c r="BS54" i="12"/>
  <c r="BR54" i="12"/>
  <c r="BQ54" i="12"/>
  <c r="BP54" i="12"/>
  <c r="BO54" i="12"/>
  <c r="BL54" i="12"/>
  <c r="BK54" i="12"/>
  <c r="BJ54" i="12"/>
  <c r="BI54" i="12"/>
  <c r="BH54" i="12"/>
  <c r="BG54" i="12"/>
  <c r="BF54" i="12"/>
  <c r="BE54" i="12"/>
  <c r="BD54" i="12"/>
  <c r="BC54" i="12"/>
  <c r="BB54" i="12"/>
  <c r="BA54" i="12"/>
  <c r="AZ54" i="12"/>
  <c r="AY54" i="12"/>
  <c r="AX54" i="12"/>
  <c r="AW54" i="12"/>
  <c r="AV54" i="12"/>
  <c r="AU54" i="12"/>
  <c r="AT54" i="12"/>
  <c r="AS54" i="12"/>
  <c r="AR54" i="12"/>
  <c r="AQ54" i="12"/>
  <c r="AP54" i="12"/>
  <c r="AO54" i="12"/>
  <c r="AN54" i="12"/>
  <c r="AM54" i="12"/>
  <c r="AL54" i="12"/>
  <c r="AK54" i="12"/>
  <c r="AJ54" i="12"/>
  <c r="AI54" i="12"/>
  <c r="CR53" i="12"/>
  <c r="CQ53" i="12"/>
  <c r="CP53" i="12"/>
  <c r="CO53" i="12"/>
  <c r="CN53" i="12"/>
  <c r="CM53" i="12"/>
  <c r="CL53" i="12"/>
  <c r="CK53" i="12"/>
  <c r="CJ53" i="12"/>
  <c r="CI53" i="12"/>
  <c r="CH53" i="12"/>
  <c r="CG53" i="12"/>
  <c r="CF53" i="12"/>
  <c r="CE53" i="12"/>
  <c r="CD53" i="12"/>
  <c r="CC53" i="12"/>
  <c r="CB53" i="12"/>
  <c r="CA53" i="12"/>
  <c r="BZ53" i="12"/>
  <c r="BY53" i="12"/>
  <c r="BX53" i="12"/>
  <c r="BW53" i="12"/>
  <c r="BV53" i="12"/>
  <c r="BU53" i="12"/>
  <c r="BT53" i="12"/>
  <c r="BS53" i="12"/>
  <c r="BR53" i="12"/>
  <c r="BQ53" i="12"/>
  <c r="BP53" i="12"/>
  <c r="BO53" i="12"/>
  <c r="BL53" i="12"/>
  <c r="BK53" i="12"/>
  <c r="BJ53" i="12"/>
  <c r="BI53" i="12"/>
  <c r="BH53" i="12"/>
  <c r="BG53" i="12"/>
  <c r="BF53" i="12"/>
  <c r="BE53" i="12"/>
  <c r="BD53" i="12"/>
  <c r="BC53" i="12"/>
  <c r="BB53" i="12"/>
  <c r="BA53" i="12"/>
  <c r="AZ53" i="12"/>
  <c r="AY53" i="12"/>
  <c r="AX53" i="12"/>
  <c r="AW53" i="12"/>
  <c r="AV53" i="12"/>
  <c r="AU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CR52" i="12"/>
  <c r="CQ52" i="12"/>
  <c r="CP52" i="12"/>
  <c r="CO52" i="12"/>
  <c r="CN52" i="12"/>
  <c r="CM52" i="12"/>
  <c r="CL52" i="12"/>
  <c r="CK52" i="12"/>
  <c r="CJ52" i="12"/>
  <c r="CI52" i="12"/>
  <c r="CH52" i="12"/>
  <c r="CG52" i="12"/>
  <c r="CF52" i="12"/>
  <c r="CE52" i="12"/>
  <c r="CD52" i="12"/>
  <c r="CC52" i="12"/>
  <c r="CB52" i="12"/>
  <c r="CA52" i="12"/>
  <c r="BZ52" i="12"/>
  <c r="BY52" i="12"/>
  <c r="BX52" i="12"/>
  <c r="BW52" i="12"/>
  <c r="BV52" i="12"/>
  <c r="BU52" i="12"/>
  <c r="BT52" i="12"/>
  <c r="BS52" i="12"/>
  <c r="BR52" i="12"/>
  <c r="BQ52" i="12"/>
  <c r="BP52" i="12"/>
  <c r="BO52" i="12"/>
  <c r="BL52" i="12"/>
  <c r="BK52" i="12"/>
  <c r="BJ52" i="12"/>
  <c r="BI52" i="12"/>
  <c r="BH52" i="12"/>
  <c r="BG52" i="12"/>
  <c r="BF52" i="12"/>
  <c r="BE52" i="12"/>
  <c r="BD52" i="12"/>
  <c r="BC52" i="12"/>
  <c r="BB52" i="12"/>
  <c r="BA52" i="12"/>
  <c r="AZ52" i="12"/>
  <c r="AY52" i="12"/>
  <c r="AX52" i="12"/>
  <c r="AW52" i="12"/>
  <c r="AV52" i="12"/>
  <c r="AU52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CR51" i="12"/>
  <c r="CQ51" i="12"/>
  <c r="CP51" i="12"/>
  <c r="CO51" i="12"/>
  <c r="CN51" i="12"/>
  <c r="CM51" i="12"/>
  <c r="CL51" i="12"/>
  <c r="CK51" i="12"/>
  <c r="CJ51" i="12"/>
  <c r="CI51" i="12"/>
  <c r="CH51" i="12"/>
  <c r="CG51" i="12"/>
  <c r="CF51" i="12"/>
  <c r="CE51" i="12"/>
  <c r="CD51" i="12"/>
  <c r="CC51" i="12"/>
  <c r="CB51" i="12"/>
  <c r="CA51" i="12"/>
  <c r="BZ51" i="12"/>
  <c r="BY51" i="12"/>
  <c r="BX51" i="12"/>
  <c r="BW51" i="12"/>
  <c r="BV51" i="12"/>
  <c r="BU51" i="12"/>
  <c r="BT51" i="12"/>
  <c r="BS51" i="12"/>
  <c r="BR51" i="12"/>
  <c r="BQ51" i="12"/>
  <c r="BP51" i="12"/>
  <c r="BO51" i="12"/>
  <c r="BL51" i="12"/>
  <c r="BK51" i="12"/>
  <c r="BJ51" i="12"/>
  <c r="BI51" i="12"/>
  <c r="BH51" i="12"/>
  <c r="BG51" i="12"/>
  <c r="BF51" i="12"/>
  <c r="BE51" i="12"/>
  <c r="BD51" i="12"/>
  <c r="BC51" i="12"/>
  <c r="BB51" i="12"/>
  <c r="BA51" i="12"/>
  <c r="AZ51" i="12"/>
  <c r="AY51" i="12"/>
  <c r="AX51" i="12"/>
  <c r="AW51" i="12"/>
  <c r="AV51" i="12"/>
  <c r="AU51" i="12"/>
  <c r="AT51" i="12"/>
  <c r="AS51" i="12"/>
  <c r="AR51" i="12"/>
  <c r="AQ51" i="12"/>
  <c r="AP51" i="12"/>
  <c r="AO51" i="12"/>
  <c r="AN51" i="12"/>
  <c r="AM51" i="12"/>
  <c r="AL51" i="12"/>
  <c r="AK51" i="12"/>
  <c r="AJ51" i="12"/>
  <c r="AI51" i="12"/>
  <c r="CR50" i="12"/>
  <c r="CQ50" i="12"/>
  <c r="CP50" i="12"/>
  <c r="CO50" i="12"/>
  <c r="CN50" i="12"/>
  <c r="CM50" i="12"/>
  <c r="CL50" i="12"/>
  <c r="CK50" i="12"/>
  <c r="CJ50" i="12"/>
  <c r="CI50" i="12"/>
  <c r="CH50" i="12"/>
  <c r="CG50" i="12"/>
  <c r="CF50" i="12"/>
  <c r="CE50" i="12"/>
  <c r="CD50" i="12"/>
  <c r="CC50" i="12"/>
  <c r="CB50" i="12"/>
  <c r="CA50" i="12"/>
  <c r="BZ50" i="12"/>
  <c r="BY50" i="12"/>
  <c r="BX50" i="12"/>
  <c r="BW50" i="12"/>
  <c r="BV50" i="12"/>
  <c r="BU50" i="12"/>
  <c r="BT50" i="12"/>
  <c r="BS50" i="12"/>
  <c r="BR50" i="12"/>
  <c r="BQ50" i="12"/>
  <c r="BP50" i="12"/>
  <c r="BO50" i="12"/>
  <c r="BL50" i="12"/>
  <c r="BK50" i="12"/>
  <c r="BJ50" i="12"/>
  <c r="BI50" i="12"/>
  <c r="BH50" i="12"/>
  <c r="BG50" i="12"/>
  <c r="BF50" i="12"/>
  <c r="BE50" i="12"/>
  <c r="BD50" i="12"/>
  <c r="BC50" i="12"/>
  <c r="BB50" i="12"/>
  <c r="BA50" i="12"/>
  <c r="AZ50" i="12"/>
  <c r="AY50" i="12"/>
  <c r="AX50" i="12"/>
  <c r="AW50" i="12"/>
  <c r="AV50" i="12"/>
  <c r="AU50" i="12"/>
  <c r="AT50" i="12"/>
  <c r="AS50" i="12"/>
  <c r="AR50" i="12"/>
  <c r="AQ50" i="12"/>
  <c r="AP50" i="12"/>
  <c r="AO50" i="12"/>
  <c r="AN50" i="12"/>
  <c r="AM50" i="12"/>
  <c r="AL50" i="12"/>
  <c r="AK50" i="12"/>
  <c r="AJ50" i="12"/>
  <c r="AI50" i="12"/>
  <c r="CR49" i="12"/>
  <c r="CQ49" i="12"/>
  <c r="CP49" i="12"/>
  <c r="CO49" i="12"/>
  <c r="CN49" i="12"/>
  <c r="CM49" i="12"/>
  <c r="CL49" i="12"/>
  <c r="CK49" i="12"/>
  <c r="CJ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BV49" i="12"/>
  <c r="BU49" i="12"/>
  <c r="BT49" i="12"/>
  <c r="BS49" i="12"/>
  <c r="BR49" i="12"/>
  <c r="BQ49" i="12"/>
  <c r="BP49" i="12"/>
  <c r="BO49" i="12"/>
  <c r="BL49" i="12"/>
  <c r="BK49" i="12"/>
  <c r="BJ49" i="12"/>
  <c r="BI49" i="12"/>
  <c r="BH49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CR48" i="12"/>
  <c r="CQ48" i="12"/>
  <c r="CP48" i="12"/>
  <c r="CO48" i="12"/>
  <c r="CN48" i="12"/>
  <c r="CM48" i="12"/>
  <c r="CL48" i="12"/>
  <c r="CK48" i="12"/>
  <c r="CJ48" i="12"/>
  <c r="CI48" i="12"/>
  <c r="CH48" i="12"/>
  <c r="CG48" i="12"/>
  <c r="CF48" i="12"/>
  <c r="CE48" i="12"/>
  <c r="CD48" i="12"/>
  <c r="CC48" i="12"/>
  <c r="CB48" i="12"/>
  <c r="CA48" i="12"/>
  <c r="BZ48" i="12"/>
  <c r="BY48" i="12"/>
  <c r="BX48" i="12"/>
  <c r="BW48" i="12"/>
  <c r="BV48" i="12"/>
  <c r="BU48" i="12"/>
  <c r="BT48" i="12"/>
  <c r="BS48" i="12"/>
  <c r="BR48" i="12"/>
  <c r="BQ48" i="12"/>
  <c r="BP48" i="12"/>
  <c r="BO48" i="12"/>
  <c r="BL48" i="12"/>
  <c r="BK48" i="12"/>
  <c r="BJ48" i="12"/>
  <c r="BI48" i="12"/>
  <c r="BH48" i="12"/>
  <c r="BG48" i="12"/>
  <c r="BF48" i="12"/>
  <c r="BE48" i="12"/>
  <c r="BD48" i="12"/>
  <c r="BC48" i="12"/>
  <c r="BB48" i="12"/>
  <c r="BA48" i="12"/>
  <c r="AZ48" i="12"/>
  <c r="AY48" i="12"/>
  <c r="AX48" i="12"/>
  <c r="AW48" i="12"/>
  <c r="AV48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CR47" i="12"/>
  <c r="CQ47" i="12"/>
  <c r="CP47" i="12"/>
  <c r="CO47" i="12"/>
  <c r="CN47" i="12"/>
  <c r="CM47" i="12"/>
  <c r="CL47" i="12"/>
  <c r="CK47" i="12"/>
  <c r="CJ47" i="12"/>
  <c r="CI47" i="12"/>
  <c r="CH47" i="12"/>
  <c r="CG47" i="12"/>
  <c r="CF47" i="12"/>
  <c r="CE47" i="12"/>
  <c r="CD47" i="12"/>
  <c r="CC47" i="12"/>
  <c r="CB47" i="12"/>
  <c r="CA47" i="12"/>
  <c r="BZ47" i="12"/>
  <c r="BY47" i="12"/>
  <c r="BX47" i="12"/>
  <c r="BW47" i="12"/>
  <c r="BV47" i="12"/>
  <c r="BU47" i="12"/>
  <c r="BT47" i="12"/>
  <c r="BS47" i="12"/>
  <c r="BR47" i="12"/>
  <c r="BQ47" i="12"/>
  <c r="BP47" i="12"/>
  <c r="BO47" i="12"/>
  <c r="BL47" i="12"/>
  <c r="BK47" i="12"/>
  <c r="BJ47" i="12"/>
  <c r="BI47" i="12"/>
  <c r="BH47" i="12"/>
  <c r="BG47" i="12"/>
  <c r="BF47" i="12"/>
  <c r="BE47" i="12"/>
  <c r="BD47" i="12"/>
  <c r="BC47" i="12"/>
  <c r="BB47" i="12"/>
  <c r="BA47" i="12"/>
  <c r="AZ47" i="12"/>
  <c r="AY47" i="12"/>
  <c r="AX47" i="12"/>
  <c r="AW47" i="12"/>
  <c r="AV47" i="12"/>
  <c r="AU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CR46" i="12"/>
  <c r="CQ46" i="12"/>
  <c r="CP46" i="12"/>
  <c r="CO46" i="12"/>
  <c r="CN46" i="12"/>
  <c r="CM46" i="12"/>
  <c r="CL46" i="12"/>
  <c r="CK46" i="12"/>
  <c r="CJ46" i="12"/>
  <c r="CI46" i="12"/>
  <c r="CH46" i="12"/>
  <c r="CG46" i="12"/>
  <c r="CF46" i="12"/>
  <c r="CE46" i="12"/>
  <c r="CD46" i="12"/>
  <c r="CC46" i="12"/>
  <c r="CB46" i="12"/>
  <c r="CA46" i="12"/>
  <c r="BZ46" i="12"/>
  <c r="BY46" i="12"/>
  <c r="BX46" i="12"/>
  <c r="BW46" i="12"/>
  <c r="BV46" i="12"/>
  <c r="BU46" i="12"/>
  <c r="BT46" i="12"/>
  <c r="BS46" i="12"/>
  <c r="BR46" i="12"/>
  <c r="BQ46" i="12"/>
  <c r="BP46" i="12"/>
  <c r="BO46" i="12"/>
  <c r="BL46" i="12"/>
  <c r="BK46" i="12"/>
  <c r="BJ46" i="12"/>
  <c r="BI46" i="12"/>
  <c r="BH46" i="12"/>
  <c r="BG46" i="12"/>
  <c r="BF46" i="12"/>
  <c r="BE46" i="12"/>
  <c r="BD46" i="12"/>
  <c r="BC46" i="12"/>
  <c r="BB46" i="12"/>
  <c r="BA46" i="12"/>
  <c r="AZ46" i="12"/>
  <c r="AY46" i="12"/>
  <c r="AX46" i="12"/>
  <c r="AW46" i="12"/>
  <c r="AV46" i="12"/>
  <c r="AU46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CR45" i="12"/>
  <c r="CQ45" i="12"/>
  <c r="CP45" i="12"/>
  <c r="CO45" i="12"/>
  <c r="CN45" i="12"/>
  <c r="CM45" i="12"/>
  <c r="CL45" i="12"/>
  <c r="CK45" i="12"/>
  <c r="CJ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BV45" i="12"/>
  <c r="BU45" i="12"/>
  <c r="BT45" i="12"/>
  <c r="BS45" i="12"/>
  <c r="BR45" i="12"/>
  <c r="BQ45" i="12"/>
  <c r="BP45" i="12"/>
  <c r="BO45" i="12"/>
  <c r="BL45" i="12"/>
  <c r="BK45" i="12"/>
  <c r="BJ45" i="12"/>
  <c r="BI45" i="12"/>
  <c r="BH45" i="12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CR44" i="12"/>
  <c r="CQ44" i="12"/>
  <c r="CP44" i="12"/>
  <c r="CO44" i="12"/>
  <c r="CN44" i="12"/>
  <c r="CM44" i="12"/>
  <c r="CL44" i="12"/>
  <c r="CK44" i="12"/>
  <c r="CJ44" i="12"/>
  <c r="CI44" i="12"/>
  <c r="CH44" i="12"/>
  <c r="CG44" i="12"/>
  <c r="CF44" i="12"/>
  <c r="CE44" i="12"/>
  <c r="CD44" i="12"/>
  <c r="CC44" i="12"/>
  <c r="CB44" i="12"/>
  <c r="CA44" i="12"/>
  <c r="BZ44" i="12"/>
  <c r="BY44" i="12"/>
  <c r="BX44" i="12"/>
  <c r="BW44" i="12"/>
  <c r="BV44" i="12"/>
  <c r="BU44" i="12"/>
  <c r="BT44" i="12"/>
  <c r="BS44" i="12"/>
  <c r="BR44" i="12"/>
  <c r="BQ44" i="12"/>
  <c r="BP44" i="12"/>
  <c r="BO44" i="12"/>
  <c r="BL44" i="12"/>
  <c r="BK44" i="12"/>
  <c r="BJ44" i="12"/>
  <c r="BI44" i="12"/>
  <c r="BH44" i="12"/>
  <c r="BG44" i="12"/>
  <c r="BF44" i="12"/>
  <c r="BE44" i="12"/>
  <c r="BD44" i="12"/>
  <c r="BC44" i="12"/>
  <c r="BB44" i="12"/>
  <c r="BA44" i="12"/>
  <c r="AZ44" i="12"/>
  <c r="AY44" i="12"/>
  <c r="AX44" i="12"/>
  <c r="AW44" i="12"/>
  <c r="AV44" i="12"/>
  <c r="AU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CR43" i="12"/>
  <c r="CQ43" i="12"/>
  <c r="CP43" i="12"/>
  <c r="CO43" i="12"/>
  <c r="CN43" i="12"/>
  <c r="CM43" i="12"/>
  <c r="CL43" i="12"/>
  <c r="CK43" i="12"/>
  <c r="CJ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V43" i="12"/>
  <c r="BU43" i="12"/>
  <c r="BT43" i="12"/>
  <c r="BS43" i="12"/>
  <c r="BR43" i="12"/>
  <c r="BQ43" i="12"/>
  <c r="BP43" i="12"/>
  <c r="BO43" i="12"/>
  <c r="BL43" i="12"/>
  <c r="BK43" i="12"/>
  <c r="BJ43" i="12"/>
  <c r="BI43" i="12"/>
  <c r="BH43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CR42" i="12"/>
  <c r="CQ42" i="12"/>
  <c r="CP42" i="12"/>
  <c r="CO42" i="12"/>
  <c r="CN42" i="12"/>
  <c r="CM42" i="12"/>
  <c r="CL42" i="12"/>
  <c r="CK42" i="12"/>
  <c r="CJ42" i="12"/>
  <c r="CI42" i="12"/>
  <c r="CH42" i="12"/>
  <c r="CG42" i="12"/>
  <c r="CF42" i="12"/>
  <c r="CE42" i="12"/>
  <c r="CD42" i="12"/>
  <c r="CC42" i="12"/>
  <c r="CB42" i="12"/>
  <c r="CA42" i="12"/>
  <c r="BZ42" i="12"/>
  <c r="BY42" i="12"/>
  <c r="BX42" i="12"/>
  <c r="BW42" i="12"/>
  <c r="BV42" i="12"/>
  <c r="BU42" i="12"/>
  <c r="BT42" i="12"/>
  <c r="BS42" i="12"/>
  <c r="BR42" i="12"/>
  <c r="BQ42" i="12"/>
  <c r="BP42" i="12"/>
  <c r="BO42" i="12"/>
  <c r="BL42" i="12"/>
  <c r="BK42" i="12"/>
  <c r="BJ42" i="12"/>
  <c r="BI42" i="12"/>
  <c r="BH42" i="12"/>
  <c r="BG42" i="12"/>
  <c r="BF42" i="12"/>
  <c r="BE42" i="12"/>
  <c r="BD42" i="12"/>
  <c r="BC42" i="12"/>
  <c r="BB42" i="12"/>
  <c r="BA42" i="12"/>
  <c r="AZ42" i="12"/>
  <c r="AY42" i="12"/>
  <c r="AX42" i="12"/>
  <c r="AW42" i="12"/>
  <c r="AV42" i="12"/>
  <c r="AU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CR41" i="12"/>
  <c r="CQ41" i="12"/>
  <c r="CP41" i="12"/>
  <c r="CO41" i="12"/>
  <c r="CN41" i="12"/>
  <c r="CM41" i="12"/>
  <c r="CL41" i="12"/>
  <c r="CK41" i="12"/>
  <c r="CJ41" i="12"/>
  <c r="CI41" i="12"/>
  <c r="CH41" i="12"/>
  <c r="CG41" i="12"/>
  <c r="CF41" i="12"/>
  <c r="CE41" i="12"/>
  <c r="CD41" i="12"/>
  <c r="CC41" i="12"/>
  <c r="CB41" i="12"/>
  <c r="CA41" i="12"/>
  <c r="BZ41" i="12"/>
  <c r="BY41" i="12"/>
  <c r="BX41" i="12"/>
  <c r="BW41" i="12"/>
  <c r="BV41" i="12"/>
  <c r="BU41" i="12"/>
  <c r="BT41" i="12"/>
  <c r="BS41" i="12"/>
  <c r="BR41" i="12"/>
  <c r="BQ41" i="12"/>
  <c r="BP41" i="12"/>
  <c r="BO41" i="12"/>
  <c r="BL41" i="12"/>
  <c r="BK41" i="12"/>
  <c r="BJ41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CR40" i="12"/>
  <c r="CQ40" i="12"/>
  <c r="CP40" i="12"/>
  <c r="CO40" i="12"/>
  <c r="CN40" i="12"/>
  <c r="CM40" i="12"/>
  <c r="CL40" i="12"/>
  <c r="CK40" i="12"/>
  <c r="CJ40" i="12"/>
  <c r="CI40" i="12"/>
  <c r="CH40" i="12"/>
  <c r="CG40" i="12"/>
  <c r="CF40" i="12"/>
  <c r="CE40" i="12"/>
  <c r="CD40" i="12"/>
  <c r="CC40" i="12"/>
  <c r="CB40" i="12"/>
  <c r="CA40" i="12"/>
  <c r="BZ40" i="12"/>
  <c r="BY40" i="12"/>
  <c r="BX40" i="12"/>
  <c r="BW40" i="12"/>
  <c r="BV40" i="12"/>
  <c r="BU40" i="12"/>
  <c r="BT40" i="12"/>
  <c r="BS40" i="12"/>
  <c r="BR40" i="12"/>
  <c r="BQ40" i="12"/>
  <c r="BP40" i="12"/>
  <c r="BO40" i="12"/>
  <c r="BL40" i="12"/>
  <c r="BK40" i="12"/>
  <c r="BJ40" i="12"/>
  <c r="BI40" i="12"/>
  <c r="BH40" i="12"/>
  <c r="BG40" i="12"/>
  <c r="BF40" i="12"/>
  <c r="BE40" i="12"/>
  <c r="BD40" i="12"/>
  <c r="BC40" i="12"/>
  <c r="BB40" i="12"/>
  <c r="BA40" i="12"/>
  <c r="AZ40" i="12"/>
  <c r="AY40" i="12"/>
  <c r="AX40" i="12"/>
  <c r="AW40" i="12"/>
  <c r="AV40" i="12"/>
  <c r="AU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CR39" i="12"/>
  <c r="CQ39" i="12"/>
  <c r="CP39" i="12"/>
  <c r="CO39" i="12"/>
  <c r="CN39" i="12"/>
  <c r="CM39" i="12"/>
  <c r="CL39" i="12"/>
  <c r="CK39" i="12"/>
  <c r="CJ39" i="12"/>
  <c r="CI39" i="12"/>
  <c r="CH39" i="12"/>
  <c r="CG39" i="12"/>
  <c r="CF39" i="12"/>
  <c r="CE39" i="12"/>
  <c r="CD39" i="12"/>
  <c r="CC39" i="12"/>
  <c r="CB39" i="12"/>
  <c r="CA39" i="12"/>
  <c r="BZ39" i="12"/>
  <c r="BY39" i="12"/>
  <c r="BX39" i="12"/>
  <c r="BW39" i="12"/>
  <c r="BV39" i="12"/>
  <c r="BU39" i="12"/>
  <c r="BT39" i="12"/>
  <c r="BS39" i="12"/>
  <c r="BR39" i="12"/>
  <c r="BQ39" i="12"/>
  <c r="BP39" i="12"/>
  <c r="BO39" i="12"/>
  <c r="BL39" i="12"/>
  <c r="BK39" i="12"/>
  <c r="BJ39" i="12"/>
  <c r="BI39" i="12"/>
  <c r="BH39" i="12"/>
  <c r="BG39" i="12"/>
  <c r="BF39" i="12"/>
  <c r="BE39" i="12"/>
  <c r="BD39" i="12"/>
  <c r="BC39" i="12"/>
  <c r="BB39" i="12"/>
  <c r="BA39" i="12"/>
  <c r="AZ39" i="12"/>
  <c r="AY39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CR38" i="12"/>
  <c r="CQ38" i="12"/>
  <c r="CP38" i="12"/>
  <c r="CO38" i="12"/>
  <c r="CN38" i="12"/>
  <c r="CM38" i="12"/>
  <c r="CL38" i="12"/>
  <c r="CK38" i="12"/>
  <c r="CJ38" i="12"/>
  <c r="CI38" i="12"/>
  <c r="CH38" i="12"/>
  <c r="CG38" i="12"/>
  <c r="CF38" i="12"/>
  <c r="CE38" i="12"/>
  <c r="CD38" i="12"/>
  <c r="CC38" i="12"/>
  <c r="CB38" i="12"/>
  <c r="CA38" i="12"/>
  <c r="BZ38" i="12"/>
  <c r="BY38" i="12"/>
  <c r="BX38" i="12"/>
  <c r="BW38" i="12"/>
  <c r="BV38" i="12"/>
  <c r="BU38" i="12"/>
  <c r="BT38" i="12"/>
  <c r="BS38" i="12"/>
  <c r="BR38" i="12"/>
  <c r="BQ38" i="12"/>
  <c r="BP38" i="12"/>
  <c r="BO38" i="12"/>
  <c r="BL38" i="12"/>
  <c r="BK38" i="12"/>
  <c r="BJ38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AU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CR37" i="12"/>
  <c r="CQ37" i="12"/>
  <c r="CP37" i="12"/>
  <c r="CO37" i="12"/>
  <c r="CN37" i="12"/>
  <c r="CM37" i="12"/>
  <c r="CL37" i="12"/>
  <c r="CK37" i="12"/>
  <c r="CJ37" i="12"/>
  <c r="CI37" i="12"/>
  <c r="CH37" i="12"/>
  <c r="CG37" i="12"/>
  <c r="CF37" i="12"/>
  <c r="CE37" i="12"/>
  <c r="CD37" i="12"/>
  <c r="CC37" i="12"/>
  <c r="CB37" i="12"/>
  <c r="CA37" i="12"/>
  <c r="BZ37" i="12"/>
  <c r="BY37" i="12"/>
  <c r="BX37" i="12"/>
  <c r="BW37" i="12"/>
  <c r="BV37" i="12"/>
  <c r="BU37" i="12"/>
  <c r="BT37" i="12"/>
  <c r="BS37" i="12"/>
  <c r="BR37" i="12"/>
  <c r="BQ37" i="12"/>
  <c r="BP37" i="12"/>
  <c r="BO37" i="12"/>
  <c r="BL37" i="12"/>
  <c r="BK37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CR36" i="12"/>
  <c r="CQ36" i="12"/>
  <c r="CP36" i="12"/>
  <c r="CO36" i="12"/>
  <c r="CN36" i="12"/>
  <c r="CM36" i="12"/>
  <c r="CL36" i="12"/>
  <c r="CK36" i="12"/>
  <c r="CJ36" i="12"/>
  <c r="CI36" i="12"/>
  <c r="CH36" i="12"/>
  <c r="CG36" i="12"/>
  <c r="CF36" i="12"/>
  <c r="CE36" i="12"/>
  <c r="CD36" i="12"/>
  <c r="CC36" i="12"/>
  <c r="CB36" i="12"/>
  <c r="CA36" i="12"/>
  <c r="BZ36" i="12"/>
  <c r="BY36" i="12"/>
  <c r="BX36" i="12"/>
  <c r="BW36" i="12"/>
  <c r="BV36" i="12"/>
  <c r="BU36" i="12"/>
  <c r="BT36" i="12"/>
  <c r="BS36" i="12"/>
  <c r="BR36" i="12"/>
  <c r="BQ36" i="12"/>
  <c r="BP36" i="12"/>
  <c r="BO36" i="12"/>
  <c r="BL36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F36" i="12"/>
  <c r="CR32" i="12"/>
  <c r="CQ32" i="12"/>
  <c r="CP32" i="12"/>
  <c r="CO32" i="12"/>
  <c r="CN32" i="12"/>
  <c r="CM32" i="12"/>
  <c r="CL32" i="12"/>
  <c r="CK32" i="12"/>
  <c r="CJ32" i="12"/>
  <c r="CI32" i="12"/>
  <c r="CH32" i="12"/>
  <c r="CG32" i="12"/>
  <c r="CF32" i="12"/>
  <c r="CE32" i="12"/>
  <c r="CD32" i="12"/>
  <c r="CC32" i="12"/>
  <c r="CB32" i="12"/>
  <c r="CA32" i="12"/>
  <c r="BZ32" i="12"/>
  <c r="BY32" i="12"/>
  <c r="BX32" i="12"/>
  <c r="BW32" i="12"/>
  <c r="BV32" i="12"/>
  <c r="BU32" i="12"/>
  <c r="BT32" i="12"/>
  <c r="BS32" i="12"/>
  <c r="BR32" i="12"/>
  <c r="BQ32" i="12"/>
  <c r="BP32" i="12"/>
  <c r="BO32" i="12"/>
  <c r="BL32" i="12"/>
  <c r="BK32" i="12"/>
  <c r="BJ32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CR31" i="12"/>
  <c r="CQ31" i="12"/>
  <c r="CP31" i="12"/>
  <c r="CO31" i="12"/>
  <c r="CN31" i="12"/>
  <c r="CM31" i="12"/>
  <c r="CL31" i="12"/>
  <c r="CK31" i="12"/>
  <c r="CJ31" i="12"/>
  <c r="CI31" i="12"/>
  <c r="CH31" i="12"/>
  <c r="CG31" i="12"/>
  <c r="CF31" i="12"/>
  <c r="CE31" i="12"/>
  <c r="CD31" i="12"/>
  <c r="CC31" i="12"/>
  <c r="CB31" i="12"/>
  <c r="CA31" i="12"/>
  <c r="BZ31" i="12"/>
  <c r="BY31" i="12"/>
  <c r="BX31" i="12"/>
  <c r="BW31" i="12"/>
  <c r="BV31" i="12"/>
  <c r="BU31" i="12"/>
  <c r="BT31" i="12"/>
  <c r="BS31" i="12"/>
  <c r="BR31" i="12"/>
  <c r="BQ31" i="12"/>
  <c r="BP31" i="12"/>
  <c r="BO31" i="12"/>
  <c r="BL31" i="12"/>
  <c r="BK31" i="12"/>
  <c r="BJ31" i="12"/>
  <c r="BI31" i="12"/>
  <c r="BH31" i="12"/>
  <c r="BG31" i="12"/>
  <c r="BF31" i="12"/>
  <c r="BE31" i="12"/>
  <c r="BD31" i="12"/>
  <c r="BC31" i="12"/>
  <c r="BB31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CR30" i="12"/>
  <c r="CQ30" i="12"/>
  <c r="CP30" i="12"/>
  <c r="CO30" i="12"/>
  <c r="CN30" i="12"/>
  <c r="CM30" i="12"/>
  <c r="CL30" i="12"/>
  <c r="CK30" i="12"/>
  <c r="CJ30" i="12"/>
  <c r="CI30" i="12"/>
  <c r="CH30" i="12"/>
  <c r="CG30" i="12"/>
  <c r="CF30" i="12"/>
  <c r="CE30" i="12"/>
  <c r="CD30" i="12"/>
  <c r="CC30" i="12"/>
  <c r="CB30" i="12"/>
  <c r="CA30" i="12"/>
  <c r="BZ30" i="12"/>
  <c r="BY30" i="12"/>
  <c r="BX30" i="12"/>
  <c r="BW30" i="12"/>
  <c r="BV30" i="12"/>
  <c r="BU30" i="12"/>
  <c r="BT30" i="12"/>
  <c r="BS30" i="12"/>
  <c r="BR30" i="12"/>
  <c r="BQ30" i="12"/>
  <c r="BP30" i="12"/>
  <c r="BO30" i="12"/>
  <c r="BL30" i="12"/>
  <c r="BK30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CR29" i="12"/>
  <c r="CQ29" i="12"/>
  <c r="CP29" i="12"/>
  <c r="CO29" i="12"/>
  <c r="CN29" i="12"/>
  <c r="CM29" i="12"/>
  <c r="CL29" i="12"/>
  <c r="CK29" i="12"/>
  <c r="CJ29" i="12"/>
  <c r="CI29" i="12"/>
  <c r="CH29" i="12"/>
  <c r="CG29" i="12"/>
  <c r="CF29" i="12"/>
  <c r="CE29" i="12"/>
  <c r="CD29" i="12"/>
  <c r="CC29" i="12"/>
  <c r="CB29" i="12"/>
  <c r="CA29" i="12"/>
  <c r="BZ29" i="12"/>
  <c r="BY29" i="12"/>
  <c r="BX29" i="12"/>
  <c r="BW29" i="12"/>
  <c r="BV29" i="12"/>
  <c r="BU29" i="12"/>
  <c r="BT29" i="12"/>
  <c r="BS29" i="12"/>
  <c r="BR29" i="12"/>
  <c r="BQ29" i="12"/>
  <c r="BP29" i="12"/>
  <c r="BO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CC28" i="12"/>
  <c r="CB28" i="12"/>
  <c r="CA28" i="12"/>
  <c r="BZ28" i="12"/>
  <c r="BY28" i="12"/>
  <c r="BX28" i="12"/>
  <c r="BW28" i="12"/>
  <c r="BV28" i="12"/>
  <c r="BU28" i="12"/>
  <c r="BT28" i="12"/>
  <c r="BS28" i="12"/>
  <c r="BR28" i="12"/>
  <c r="BQ28" i="12"/>
  <c r="BP28" i="12"/>
  <c r="BO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CR27" i="12"/>
  <c r="CQ27" i="12"/>
  <c r="CP27" i="12"/>
  <c r="CO27" i="12"/>
  <c r="CN27" i="12"/>
  <c r="CM27" i="12"/>
  <c r="CL27" i="12"/>
  <c r="CK27" i="12"/>
  <c r="CJ27" i="12"/>
  <c r="CI27" i="12"/>
  <c r="CH27" i="12"/>
  <c r="CG27" i="12"/>
  <c r="CF27" i="12"/>
  <c r="CE27" i="12"/>
  <c r="CD27" i="12"/>
  <c r="CC27" i="12"/>
  <c r="CB27" i="12"/>
  <c r="CA27" i="12"/>
  <c r="BZ27" i="12"/>
  <c r="BY27" i="12"/>
  <c r="BX27" i="12"/>
  <c r="BW27" i="12"/>
  <c r="BV27" i="12"/>
  <c r="BU27" i="12"/>
  <c r="BT27" i="12"/>
  <c r="BS27" i="12"/>
  <c r="BR27" i="12"/>
  <c r="BQ27" i="12"/>
  <c r="BP27" i="12"/>
  <c r="BO27" i="12"/>
  <c r="BL27" i="12"/>
  <c r="BK27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CR26" i="12"/>
  <c r="CQ26" i="12"/>
  <c r="CP26" i="12"/>
  <c r="CO26" i="12"/>
  <c r="CN26" i="12"/>
  <c r="CM26" i="12"/>
  <c r="CL26" i="12"/>
  <c r="CK26" i="12"/>
  <c r="CJ26" i="12"/>
  <c r="CI26" i="12"/>
  <c r="CH26" i="12"/>
  <c r="CG26" i="12"/>
  <c r="CF26" i="12"/>
  <c r="CE26" i="12"/>
  <c r="CD26" i="12"/>
  <c r="CC26" i="12"/>
  <c r="CB26" i="12"/>
  <c r="CA26" i="12"/>
  <c r="BZ26" i="12"/>
  <c r="BY26" i="12"/>
  <c r="BX26" i="12"/>
  <c r="BW26" i="12"/>
  <c r="BV26" i="12"/>
  <c r="BU26" i="12"/>
  <c r="BT26" i="12"/>
  <c r="BS26" i="12"/>
  <c r="BR26" i="12"/>
  <c r="BQ26" i="12"/>
  <c r="BP26" i="12"/>
  <c r="BO26" i="12"/>
  <c r="BL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CR24" i="12"/>
  <c r="CQ24" i="12"/>
  <c r="CP24" i="12"/>
  <c r="CO24" i="12"/>
  <c r="CN24" i="12"/>
  <c r="CM24" i="12"/>
  <c r="CL24" i="12"/>
  <c r="CK24" i="12"/>
  <c r="CJ24" i="12"/>
  <c r="CI24" i="12"/>
  <c r="CH24" i="12"/>
  <c r="CG24" i="12"/>
  <c r="CF24" i="12"/>
  <c r="CE24" i="12"/>
  <c r="CD24" i="12"/>
  <c r="CC24" i="12"/>
  <c r="CB24" i="12"/>
  <c r="CA24" i="12"/>
  <c r="BZ24" i="12"/>
  <c r="BY24" i="12"/>
  <c r="BX24" i="12"/>
  <c r="BW24" i="12"/>
  <c r="BV24" i="12"/>
  <c r="BU24" i="12"/>
  <c r="BT24" i="12"/>
  <c r="BS24" i="12"/>
  <c r="BR24" i="12"/>
  <c r="BQ24" i="12"/>
  <c r="BP24" i="12"/>
  <c r="BO24" i="12"/>
  <c r="BL24" i="12"/>
  <c r="BK24" i="12"/>
  <c r="BJ24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CR23" i="12"/>
  <c r="CQ23" i="12"/>
  <c r="CP23" i="12"/>
  <c r="CO23" i="12"/>
  <c r="CN23" i="12"/>
  <c r="CM23" i="12"/>
  <c r="CL23" i="12"/>
  <c r="CK23" i="12"/>
  <c r="CJ23" i="12"/>
  <c r="CI23" i="12"/>
  <c r="CH23" i="12"/>
  <c r="CG23" i="12"/>
  <c r="CF23" i="12"/>
  <c r="CE23" i="12"/>
  <c r="CD23" i="12"/>
  <c r="CC23" i="12"/>
  <c r="CB23" i="12"/>
  <c r="CA23" i="12"/>
  <c r="BZ23" i="12"/>
  <c r="BY23" i="12"/>
  <c r="BX23" i="12"/>
  <c r="BW23" i="12"/>
  <c r="BV23" i="12"/>
  <c r="BU23" i="12"/>
  <c r="BT23" i="12"/>
  <c r="BS23" i="12"/>
  <c r="BR23" i="12"/>
  <c r="BQ23" i="12"/>
  <c r="BP23" i="12"/>
  <c r="BO23" i="12"/>
  <c r="BL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CR22" i="12"/>
  <c r="CQ22" i="12"/>
  <c r="CP22" i="12"/>
  <c r="CO22" i="12"/>
  <c r="CN22" i="12"/>
  <c r="CM22" i="12"/>
  <c r="CL22" i="12"/>
  <c r="CK22" i="12"/>
  <c r="CJ22" i="12"/>
  <c r="CI22" i="12"/>
  <c r="CH22" i="12"/>
  <c r="CG22" i="12"/>
  <c r="CF22" i="12"/>
  <c r="CE22" i="12"/>
  <c r="CD22" i="12"/>
  <c r="CC22" i="12"/>
  <c r="CB22" i="12"/>
  <c r="CA22" i="12"/>
  <c r="BZ22" i="12"/>
  <c r="BY22" i="12"/>
  <c r="BX22" i="12"/>
  <c r="BW22" i="12"/>
  <c r="BV22" i="12"/>
  <c r="BU22" i="12"/>
  <c r="BT22" i="12"/>
  <c r="BS22" i="12"/>
  <c r="BR22" i="12"/>
  <c r="BQ22" i="12"/>
  <c r="BP22" i="12"/>
  <c r="BO22" i="12"/>
  <c r="BL22" i="12"/>
  <c r="BK22" i="12"/>
  <c r="BJ22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CR21" i="12"/>
  <c r="CQ21" i="12"/>
  <c r="CP21" i="12"/>
  <c r="CO21" i="12"/>
  <c r="CN21" i="12"/>
  <c r="CM21" i="12"/>
  <c r="CL21" i="12"/>
  <c r="CK21" i="12"/>
  <c r="CJ21" i="12"/>
  <c r="CI21" i="12"/>
  <c r="CH21" i="12"/>
  <c r="CG21" i="12"/>
  <c r="CF21" i="12"/>
  <c r="CE21" i="12"/>
  <c r="CD21" i="12"/>
  <c r="CC21" i="12"/>
  <c r="CB21" i="12"/>
  <c r="CA21" i="12"/>
  <c r="BZ21" i="12"/>
  <c r="BY21" i="12"/>
  <c r="BX21" i="12"/>
  <c r="BW21" i="12"/>
  <c r="BV21" i="12"/>
  <c r="BU21" i="12"/>
  <c r="BT21" i="12"/>
  <c r="BS21" i="12"/>
  <c r="BR21" i="12"/>
  <c r="BQ21" i="12"/>
  <c r="BP21" i="12"/>
  <c r="BO21" i="12"/>
  <c r="BL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CR19" i="12"/>
  <c r="CQ19" i="12"/>
  <c r="CP19" i="12"/>
  <c r="CO19" i="12"/>
  <c r="CN19" i="12"/>
  <c r="CM19" i="12"/>
  <c r="CL19" i="12"/>
  <c r="CK19" i="12"/>
  <c r="CJ19" i="12"/>
  <c r="CI19" i="12"/>
  <c r="CH19" i="12"/>
  <c r="CG19" i="12"/>
  <c r="CF19" i="12"/>
  <c r="CE19" i="12"/>
  <c r="CD19" i="12"/>
  <c r="CC19" i="12"/>
  <c r="CB19" i="12"/>
  <c r="CA19" i="12"/>
  <c r="BZ19" i="12"/>
  <c r="BY19" i="12"/>
  <c r="BX19" i="12"/>
  <c r="BW19" i="12"/>
  <c r="BV19" i="12"/>
  <c r="BU19" i="12"/>
  <c r="BT19" i="12"/>
  <c r="BS19" i="12"/>
  <c r="BR19" i="12"/>
  <c r="BQ19" i="12"/>
  <c r="BP19" i="12"/>
  <c r="BO19" i="12"/>
  <c r="BL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CR18" i="12"/>
  <c r="CQ18" i="12"/>
  <c r="CP18" i="12"/>
  <c r="CO18" i="12"/>
  <c r="CN18" i="12"/>
  <c r="CM18" i="12"/>
  <c r="CL18" i="12"/>
  <c r="CK18" i="12"/>
  <c r="CJ18" i="12"/>
  <c r="CI18" i="12"/>
  <c r="CH18" i="12"/>
  <c r="CG18" i="12"/>
  <c r="CF18" i="12"/>
  <c r="CE18" i="12"/>
  <c r="CD18" i="12"/>
  <c r="CC18" i="12"/>
  <c r="CB18" i="12"/>
  <c r="CA18" i="12"/>
  <c r="BZ18" i="12"/>
  <c r="BY18" i="12"/>
  <c r="BX18" i="12"/>
  <c r="BW18" i="12"/>
  <c r="BV18" i="12"/>
  <c r="BU18" i="12"/>
  <c r="BT18" i="12"/>
  <c r="BS18" i="12"/>
  <c r="BR18" i="12"/>
  <c r="BQ18" i="12"/>
  <c r="BP18" i="12"/>
  <c r="BO18" i="12"/>
  <c r="BL18" i="12"/>
  <c r="BK18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CR17" i="12"/>
  <c r="CQ17" i="12"/>
  <c r="CP17" i="12"/>
  <c r="CO17" i="12"/>
  <c r="CN17" i="12"/>
  <c r="CM17" i="12"/>
  <c r="CL17" i="12"/>
  <c r="CK17" i="12"/>
  <c r="CJ17" i="12"/>
  <c r="CI17" i="12"/>
  <c r="CH17" i="12"/>
  <c r="CG17" i="12"/>
  <c r="CF17" i="12"/>
  <c r="CE17" i="12"/>
  <c r="CD17" i="12"/>
  <c r="CC17" i="12"/>
  <c r="CB17" i="12"/>
  <c r="CA17" i="12"/>
  <c r="BZ17" i="12"/>
  <c r="BY17" i="12"/>
  <c r="BX17" i="12"/>
  <c r="BW17" i="12"/>
  <c r="BV17" i="12"/>
  <c r="BU17" i="12"/>
  <c r="BT17" i="12"/>
  <c r="BS17" i="12"/>
  <c r="BR17" i="12"/>
  <c r="BQ17" i="12"/>
  <c r="BP17" i="12"/>
  <c r="BO17" i="12"/>
  <c r="BL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CR15" i="12"/>
  <c r="CQ15" i="12"/>
  <c r="CP15" i="12"/>
  <c r="CO15" i="12"/>
  <c r="CN15" i="12"/>
  <c r="CM15" i="12"/>
  <c r="CL15" i="12"/>
  <c r="CK15" i="12"/>
  <c r="CJ15" i="12"/>
  <c r="CI15" i="12"/>
  <c r="CH15" i="12"/>
  <c r="CG15" i="12"/>
  <c r="CF15" i="12"/>
  <c r="CE15" i="12"/>
  <c r="CD15" i="12"/>
  <c r="CC15" i="12"/>
  <c r="CB15" i="12"/>
  <c r="CA15" i="12"/>
  <c r="BZ15" i="12"/>
  <c r="BY15" i="12"/>
  <c r="BX15" i="12"/>
  <c r="BW15" i="12"/>
  <c r="BV15" i="12"/>
  <c r="BU15" i="12"/>
  <c r="BT15" i="12"/>
  <c r="BS15" i="12"/>
  <c r="BR15" i="12"/>
  <c r="BQ15" i="12"/>
  <c r="BP15" i="12"/>
  <c r="BO15" i="12"/>
  <c r="BL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CR14" i="12"/>
  <c r="CQ14" i="12"/>
  <c r="CP14" i="12"/>
  <c r="CO14" i="12"/>
  <c r="CN14" i="12"/>
  <c r="CM14" i="12"/>
  <c r="CL14" i="12"/>
  <c r="CK14" i="12"/>
  <c r="CJ14" i="12"/>
  <c r="CI14" i="12"/>
  <c r="CH14" i="12"/>
  <c r="CG14" i="12"/>
  <c r="CF14" i="12"/>
  <c r="CE14" i="12"/>
  <c r="CD14" i="12"/>
  <c r="CC14" i="12"/>
  <c r="CB14" i="12"/>
  <c r="CA14" i="12"/>
  <c r="BZ14" i="12"/>
  <c r="BY14" i="12"/>
  <c r="BX14" i="12"/>
  <c r="BW14" i="12"/>
  <c r="BV14" i="12"/>
  <c r="BU14" i="12"/>
  <c r="BT14" i="12"/>
  <c r="BS14" i="12"/>
  <c r="BR14" i="12"/>
  <c r="BQ14" i="12"/>
  <c r="BP14" i="12"/>
  <c r="BO14" i="12"/>
  <c r="BL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CR13" i="12"/>
  <c r="CQ13" i="12"/>
  <c r="CP13" i="12"/>
  <c r="CO13" i="12"/>
  <c r="CN13" i="12"/>
  <c r="CM13" i="12"/>
  <c r="CL13" i="12"/>
  <c r="CK13" i="12"/>
  <c r="CJ13" i="12"/>
  <c r="CI13" i="12"/>
  <c r="CH13" i="12"/>
  <c r="CG13" i="12"/>
  <c r="CF13" i="12"/>
  <c r="CE13" i="12"/>
  <c r="CD13" i="12"/>
  <c r="CC13" i="12"/>
  <c r="CB13" i="12"/>
  <c r="CA13" i="12"/>
  <c r="BZ13" i="12"/>
  <c r="BY13" i="12"/>
  <c r="BX13" i="12"/>
  <c r="BW13" i="12"/>
  <c r="BV13" i="12"/>
  <c r="BU13" i="12"/>
  <c r="BT13" i="12"/>
  <c r="BS13" i="12"/>
  <c r="BR13" i="12"/>
  <c r="BQ13" i="12"/>
  <c r="BP13" i="12"/>
  <c r="BO13" i="12"/>
  <c r="BL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CR12" i="12"/>
  <c r="CQ12" i="12"/>
  <c r="CP12" i="12"/>
  <c r="CO12" i="12"/>
  <c r="CN12" i="12"/>
  <c r="CM12" i="12"/>
  <c r="CL12" i="12"/>
  <c r="CK12" i="12"/>
  <c r="CJ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V12" i="12"/>
  <c r="BU12" i="12"/>
  <c r="BT12" i="12"/>
  <c r="BS12" i="12"/>
  <c r="BR12" i="12"/>
  <c r="BQ12" i="12"/>
  <c r="BP12" i="12"/>
  <c r="BO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CR11" i="12"/>
  <c r="CQ11" i="12"/>
  <c r="CP11" i="12"/>
  <c r="CO11" i="12"/>
  <c r="CN11" i="12"/>
  <c r="CM11" i="12"/>
  <c r="CL11" i="12"/>
  <c r="CK11" i="12"/>
  <c r="CJ11" i="12"/>
  <c r="CI11" i="12"/>
  <c r="CH11" i="12"/>
  <c r="CG11" i="12"/>
  <c r="CF11" i="12"/>
  <c r="CE11" i="12"/>
  <c r="CD11" i="12"/>
  <c r="CC11" i="12"/>
  <c r="CB11" i="12"/>
  <c r="CA11" i="12"/>
  <c r="BZ11" i="12"/>
  <c r="BY11" i="12"/>
  <c r="BX11" i="12"/>
  <c r="BW11" i="12"/>
  <c r="BV11" i="12"/>
  <c r="BU11" i="12"/>
  <c r="BT11" i="12"/>
  <c r="BS11" i="12"/>
  <c r="BR11" i="12"/>
  <c r="BQ11" i="12"/>
  <c r="BP11" i="12"/>
  <c r="BO11" i="12"/>
  <c r="BL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CR10" i="12"/>
  <c r="CQ10" i="12"/>
  <c r="CP10" i="12"/>
  <c r="CO10" i="12"/>
  <c r="CN10" i="12"/>
  <c r="CM10" i="12"/>
  <c r="CL10" i="12"/>
  <c r="CK10" i="12"/>
  <c r="CJ10" i="12"/>
  <c r="CI10" i="12"/>
  <c r="CH10" i="12"/>
  <c r="CG10" i="12"/>
  <c r="CF10" i="12"/>
  <c r="CE10" i="12"/>
  <c r="CD10" i="12"/>
  <c r="CC10" i="12"/>
  <c r="CB10" i="12"/>
  <c r="CA10" i="12"/>
  <c r="BZ10" i="12"/>
  <c r="BY10" i="12"/>
  <c r="BX10" i="12"/>
  <c r="BW10" i="12"/>
  <c r="BV10" i="12"/>
  <c r="BU10" i="12"/>
  <c r="BT10" i="12"/>
  <c r="BS10" i="12"/>
  <c r="BR10" i="12"/>
  <c r="BQ10" i="12"/>
  <c r="BP10" i="12"/>
  <c r="BO10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CR9" i="12"/>
  <c r="CQ9" i="12"/>
  <c r="CP9" i="12"/>
  <c r="CO9" i="12"/>
  <c r="CN9" i="12"/>
  <c r="CM9" i="12"/>
  <c r="CL9" i="12"/>
  <c r="CK9" i="12"/>
  <c r="CJ9" i="12"/>
  <c r="CI9" i="12"/>
  <c r="CH9" i="12"/>
  <c r="CG9" i="12"/>
  <c r="CF9" i="12"/>
  <c r="CE9" i="12"/>
  <c r="CD9" i="12"/>
  <c r="CC9" i="12"/>
  <c r="CB9" i="12"/>
  <c r="CA9" i="12"/>
  <c r="BZ9" i="12"/>
  <c r="BY9" i="12"/>
  <c r="BX9" i="12"/>
  <c r="BW9" i="12"/>
  <c r="BV9" i="12"/>
  <c r="BU9" i="12"/>
  <c r="BT9" i="12"/>
  <c r="BS9" i="12"/>
  <c r="BR9" i="12"/>
  <c r="BQ9" i="12"/>
  <c r="BP9" i="12"/>
  <c r="BO9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CR8" i="12"/>
  <c r="CQ8" i="12"/>
  <c r="CP8" i="12"/>
  <c r="CO8" i="12"/>
  <c r="CN8" i="12"/>
  <c r="CM8" i="12"/>
  <c r="CL8" i="12"/>
  <c r="CK8" i="12"/>
  <c r="CJ8" i="12"/>
  <c r="CI8" i="12"/>
  <c r="CH8" i="12"/>
  <c r="CG8" i="12"/>
  <c r="CF8" i="12"/>
  <c r="CE8" i="12"/>
  <c r="CD8" i="12"/>
  <c r="CC8" i="12"/>
  <c r="CB8" i="12"/>
  <c r="CA8" i="12"/>
  <c r="BZ8" i="12"/>
  <c r="BY8" i="12"/>
  <c r="BX8" i="12"/>
  <c r="BW8" i="12"/>
  <c r="BV8" i="12"/>
  <c r="BU8" i="12"/>
  <c r="BT8" i="12"/>
  <c r="BS8" i="12"/>
  <c r="BR8" i="12"/>
  <c r="BQ8" i="12"/>
  <c r="BP8" i="12"/>
  <c r="BO8" i="12"/>
  <c r="BL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CR7" i="12"/>
  <c r="CQ7" i="12"/>
  <c r="CP7" i="12"/>
  <c r="CO7" i="12"/>
  <c r="CN7" i="12"/>
  <c r="CM7" i="12"/>
  <c r="CL7" i="12"/>
  <c r="CK7" i="12"/>
  <c r="CJ7" i="12"/>
  <c r="CI7" i="12"/>
  <c r="CH7" i="12"/>
  <c r="CG7" i="12"/>
  <c r="CF7" i="12"/>
  <c r="CE7" i="12"/>
  <c r="CD7" i="12"/>
  <c r="CC7" i="12"/>
  <c r="CB7" i="12"/>
  <c r="CA7" i="12"/>
  <c r="BZ7" i="12"/>
  <c r="BY7" i="12"/>
  <c r="BX7" i="12"/>
  <c r="BW7" i="12"/>
  <c r="BV7" i="12"/>
  <c r="BU7" i="12"/>
  <c r="BT7" i="12"/>
  <c r="BS7" i="12"/>
  <c r="BR7" i="12"/>
  <c r="BQ7" i="12"/>
  <c r="BP7" i="12"/>
  <c r="BO7" i="12"/>
  <c r="BL7" i="12"/>
  <c r="BK7" i="12"/>
  <c r="BJ7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CR5" i="12"/>
  <c r="CQ5" i="12"/>
  <c r="CP5" i="12"/>
  <c r="CO5" i="12"/>
  <c r="CN5" i="12"/>
  <c r="CM5" i="12"/>
  <c r="CL5" i="12"/>
  <c r="CK5" i="12"/>
  <c r="CJ5" i="12"/>
  <c r="CI5" i="12"/>
  <c r="CH5" i="12"/>
  <c r="CG5" i="12"/>
  <c r="CF5" i="12"/>
  <c r="CE5" i="12"/>
  <c r="CD5" i="12"/>
  <c r="CC5" i="12"/>
  <c r="CB5" i="12"/>
  <c r="CA5" i="12"/>
  <c r="BZ5" i="12"/>
  <c r="BY5" i="12"/>
  <c r="BX5" i="12"/>
  <c r="BW5" i="12"/>
  <c r="BV5" i="12"/>
  <c r="BU5" i="12"/>
  <c r="BT5" i="12"/>
  <c r="BS5" i="12"/>
  <c r="BR5" i="12"/>
  <c r="BQ5" i="12"/>
  <c r="BP5" i="12"/>
  <c r="BO5" i="12"/>
  <c r="BL5" i="12"/>
  <c r="BK5" i="12"/>
  <c r="BJ5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CR4" i="12"/>
  <c r="CQ4" i="12"/>
  <c r="CP4" i="12"/>
  <c r="CO4" i="12"/>
  <c r="CN4" i="12"/>
  <c r="CM4" i="12"/>
  <c r="CL4" i="12"/>
  <c r="CK4" i="12"/>
  <c r="CJ4" i="12"/>
  <c r="CI4" i="12"/>
  <c r="CH4" i="12"/>
  <c r="CG4" i="12"/>
  <c r="CF4" i="12"/>
  <c r="CE4" i="12"/>
  <c r="CD4" i="12"/>
  <c r="CC4" i="12"/>
  <c r="CB4" i="12"/>
  <c r="CA4" i="12"/>
  <c r="BZ4" i="12"/>
  <c r="BY4" i="12"/>
  <c r="BX4" i="12"/>
  <c r="BW4" i="12"/>
  <c r="BV4" i="12"/>
  <c r="BU4" i="12"/>
  <c r="BT4" i="12"/>
  <c r="BS4" i="12"/>
  <c r="BR4" i="12"/>
  <c r="BQ4" i="12"/>
  <c r="BP4" i="12"/>
  <c r="BO4" i="12"/>
  <c r="BL4" i="12"/>
  <c r="BK4" i="12"/>
  <c r="BJ4" i="12"/>
  <c r="BI4" i="12"/>
  <c r="BH4" i="12"/>
  <c r="BG4" i="12"/>
  <c r="BF4" i="12"/>
  <c r="BE4" i="12"/>
  <c r="BD4" i="12"/>
  <c r="BC4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CR3" i="12"/>
  <c r="CQ3" i="12"/>
  <c r="CP3" i="12"/>
  <c r="CO3" i="12"/>
  <c r="CN3" i="12"/>
  <c r="CM3" i="12"/>
  <c r="CL3" i="12"/>
  <c r="CK3" i="12"/>
  <c r="CJ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V3" i="12"/>
  <c r="BU3" i="12"/>
  <c r="BT3" i="12"/>
  <c r="BS3" i="12"/>
  <c r="BR3" i="12"/>
  <c r="BQ3" i="12"/>
  <c r="BP3" i="12"/>
  <c r="BO3" i="12"/>
  <c r="BL3" i="12"/>
  <c r="BK3" i="12"/>
  <c r="BJ3" i="12"/>
  <c r="BI3" i="12"/>
  <c r="BH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F3" i="12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N82" i="8"/>
  <c r="M82" i="8"/>
  <c r="L82" i="8"/>
  <c r="K82" i="8"/>
  <c r="J82" i="8"/>
  <c r="I82" i="8"/>
  <c r="H82" i="8"/>
  <c r="G82" i="8"/>
  <c r="F82" i="8"/>
  <c r="E82" i="8"/>
  <c r="D82" i="8"/>
  <c r="C82" i="8"/>
  <c r="M81" i="8"/>
  <c r="L81" i="8"/>
  <c r="K81" i="8"/>
  <c r="J81" i="8"/>
  <c r="I81" i="8"/>
  <c r="H81" i="8"/>
  <c r="G81" i="8"/>
  <c r="F81" i="8"/>
  <c r="E81" i="8"/>
  <c r="D81" i="8"/>
  <c r="C81" i="8"/>
  <c r="L80" i="8"/>
  <c r="K80" i="8"/>
  <c r="J80" i="8"/>
  <c r="I80" i="8"/>
  <c r="H80" i="8"/>
  <c r="G80" i="8"/>
  <c r="F80" i="8"/>
  <c r="E80" i="8"/>
  <c r="D80" i="8"/>
  <c r="C80" i="8"/>
  <c r="K79" i="8"/>
  <c r="J79" i="8"/>
  <c r="I79" i="8"/>
  <c r="H79" i="8"/>
  <c r="G79" i="8"/>
  <c r="F79" i="8"/>
  <c r="E79" i="8"/>
  <c r="D79" i="8"/>
  <c r="C79" i="8"/>
  <c r="J78" i="8"/>
  <c r="I78" i="8"/>
  <c r="H78" i="8"/>
  <c r="G78" i="8"/>
  <c r="F78" i="8"/>
  <c r="E78" i="8"/>
  <c r="D78" i="8"/>
  <c r="C78" i="8"/>
  <c r="I77" i="8"/>
  <c r="H77" i="8"/>
  <c r="G77" i="8"/>
  <c r="F77" i="8"/>
  <c r="E77" i="8"/>
  <c r="D77" i="8"/>
  <c r="C77" i="8"/>
  <c r="H76" i="8"/>
  <c r="G76" i="8"/>
  <c r="F76" i="8"/>
  <c r="E76" i="8"/>
  <c r="D76" i="8"/>
  <c r="C76" i="8"/>
  <c r="G75" i="8"/>
  <c r="F75" i="8"/>
  <c r="E75" i="8"/>
  <c r="D75" i="8"/>
  <c r="C75" i="8"/>
  <c r="F74" i="8"/>
  <c r="E74" i="8"/>
  <c r="D74" i="8"/>
  <c r="C74" i="8"/>
  <c r="E73" i="8"/>
  <c r="D73" i="8"/>
  <c r="C73" i="8"/>
  <c r="D72" i="8"/>
  <c r="C72" i="8"/>
  <c r="C71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C35" i="8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N82" i="7"/>
  <c r="M82" i="7"/>
  <c r="L82" i="7"/>
  <c r="K82" i="7"/>
  <c r="J82" i="7"/>
  <c r="I82" i="7"/>
  <c r="H82" i="7"/>
  <c r="G82" i="7"/>
  <c r="F82" i="7"/>
  <c r="E82" i="7"/>
  <c r="D82" i="7"/>
  <c r="C82" i="7"/>
  <c r="M81" i="7"/>
  <c r="L81" i="7"/>
  <c r="K81" i="7"/>
  <c r="J81" i="7"/>
  <c r="I81" i="7"/>
  <c r="H81" i="7"/>
  <c r="G81" i="7"/>
  <c r="F81" i="7"/>
  <c r="E81" i="7"/>
  <c r="D81" i="7"/>
  <c r="C81" i="7"/>
  <c r="L80" i="7"/>
  <c r="K80" i="7"/>
  <c r="J80" i="7"/>
  <c r="I80" i="7"/>
  <c r="H80" i="7"/>
  <c r="G80" i="7"/>
  <c r="F80" i="7"/>
  <c r="E80" i="7"/>
  <c r="D80" i="7"/>
  <c r="C80" i="7"/>
  <c r="K79" i="7"/>
  <c r="J79" i="7"/>
  <c r="I79" i="7"/>
  <c r="H79" i="7"/>
  <c r="G79" i="7"/>
  <c r="F79" i="7"/>
  <c r="E79" i="7"/>
  <c r="D79" i="7"/>
  <c r="C79" i="7"/>
  <c r="J78" i="7"/>
  <c r="I78" i="7"/>
  <c r="H78" i="7"/>
  <c r="G78" i="7"/>
  <c r="F78" i="7"/>
  <c r="E78" i="7"/>
  <c r="D78" i="7"/>
  <c r="C78" i="7"/>
  <c r="I77" i="7"/>
  <c r="H77" i="7"/>
  <c r="G77" i="7"/>
  <c r="F77" i="7"/>
  <c r="E77" i="7"/>
  <c r="D77" i="7"/>
  <c r="C77" i="7"/>
  <c r="H76" i="7"/>
  <c r="G76" i="7"/>
  <c r="F76" i="7"/>
  <c r="E76" i="7"/>
  <c r="D76" i="7"/>
  <c r="C76" i="7"/>
  <c r="G75" i="7"/>
  <c r="F75" i="7"/>
  <c r="E75" i="7"/>
  <c r="D75" i="7"/>
  <c r="C75" i="7"/>
  <c r="F74" i="7"/>
  <c r="E74" i="7"/>
  <c r="D74" i="7"/>
  <c r="C74" i="7"/>
  <c r="E73" i="7"/>
  <c r="D73" i="7"/>
  <c r="C73" i="7"/>
  <c r="D72" i="7"/>
  <c r="C72" i="7"/>
  <c r="C71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D35" i="7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C35" i="14"/>
</calcChain>
</file>

<file path=xl/sharedStrings.xml><?xml version="1.0" encoding="utf-8"?>
<sst xmlns="http://schemas.openxmlformats.org/spreadsheetml/2006/main" count="2262" uniqueCount="88">
  <si>
    <t>Location conditions</t>
  </si>
  <si>
    <t>Intercity adjacency takes 1 and vice versa 0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</si>
  <si>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</si>
  <si>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</si>
  <si>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</si>
  <si>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</si>
  <si>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</si>
  <si>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</si>
  <si>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</si>
  <si>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</si>
  <si>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</si>
  <si>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</si>
  <si>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Luohe</t>
  </si>
  <si>
    <t>Sanmenxia</t>
  </si>
  <si>
    <t>Nanyang</t>
  </si>
  <si>
    <t>Shangqiu</t>
  </si>
  <si>
    <t>Xinyang</t>
  </si>
  <si>
    <t>Zhoukou</t>
  </si>
  <si>
    <t>Zhumadian</t>
  </si>
  <si>
    <t>Jiyuan</t>
  </si>
  <si>
    <t>Xingtai</t>
  </si>
  <si>
    <t>Handan</t>
  </si>
  <si>
    <t>Changzhi</t>
  </si>
  <si>
    <t>Jincheng</t>
  </si>
  <si>
    <t>Yuncheng</t>
  </si>
  <si>
    <t>Liaocheng</t>
  </si>
  <si>
    <t>Heze</t>
  </si>
  <si>
    <t>Huaibei</t>
  </si>
  <si>
    <t>Bozhou</t>
  </si>
  <si>
    <t>Suzhou</t>
  </si>
  <si>
    <t>Bengbu</t>
  </si>
  <si>
    <t>Fuyang</t>
  </si>
  <si>
    <t>City influence</t>
  </si>
  <si>
    <t>Number of times city is in the News</t>
  </si>
  <si>
    <t>mean</t>
  </si>
  <si>
    <t>Information flow</t>
  </si>
  <si>
    <t>Baidu search index for intercity people</t>
  </si>
  <si>
    <t>traffic flow</t>
  </si>
  <si>
    <t>Passenger buses, ordinary train, and high-speed train schedules</t>
  </si>
  <si>
    <t xml:space="preserve">high-speed train </t>
  </si>
  <si>
    <t>ordinary train</t>
  </si>
  <si>
    <t>Passenger buses</t>
  </si>
  <si>
    <t>Finally</t>
  </si>
  <si>
    <t>Comprehensive</t>
  </si>
  <si>
    <r>
      <rPr>
        <sz val="11"/>
        <color theme="1"/>
        <rFont val="宋体"/>
        <charset val="134"/>
      </rPr>
      <t>郑州市</t>
    </r>
  </si>
  <si>
    <r>
      <rPr>
        <sz val="11"/>
        <color theme="1"/>
        <rFont val="宋体"/>
        <charset val="134"/>
      </rPr>
      <t>开封市</t>
    </r>
  </si>
  <si>
    <r>
      <rPr>
        <sz val="11"/>
        <color theme="1"/>
        <rFont val="宋体"/>
        <charset val="134"/>
      </rPr>
      <t>洛阳市</t>
    </r>
  </si>
  <si>
    <r>
      <rPr>
        <sz val="11"/>
        <color theme="1"/>
        <rFont val="宋体"/>
        <charset val="134"/>
      </rPr>
      <t>平顶山市</t>
    </r>
  </si>
  <si>
    <r>
      <rPr>
        <sz val="11"/>
        <color theme="1"/>
        <rFont val="宋体"/>
        <charset val="134"/>
      </rPr>
      <t>安阳市</t>
    </r>
  </si>
  <si>
    <r>
      <rPr>
        <sz val="11"/>
        <color theme="1"/>
        <rFont val="宋体"/>
        <charset val="134"/>
      </rPr>
      <t>鹤壁市</t>
    </r>
  </si>
  <si>
    <r>
      <rPr>
        <sz val="11"/>
        <color theme="1"/>
        <rFont val="宋体"/>
        <charset val="134"/>
      </rPr>
      <t>新乡市</t>
    </r>
  </si>
  <si>
    <r>
      <rPr>
        <sz val="11"/>
        <color theme="1"/>
        <rFont val="宋体"/>
        <charset val="134"/>
      </rPr>
      <t>焦作市</t>
    </r>
  </si>
  <si>
    <r>
      <rPr>
        <sz val="11"/>
        <color theme="1"/>
        <rFont val="宋体"/>
        <charset val="134"/>
      </rPr>
      <t>濮阳市</t>
    </r>
  </si>
  <si>
    <r>
      <rPr>
        <sz val="11"/>
        <color theme="1"/>
        <rFont val="宋体"/>
        <charset val="134"/>
      </rPr>
      <t>许昌市</t>
    </r>
  </si>
  <si>
    <r>
      <rPr>
        <sz val="11"/>
        <color theme="1"/>
        <rFont val="宋体"/>
        <charset val="134"/>
      </rPr>
      <t>漯河市</t>
    </r>
  </si>
  <si>
    <r>
      <rPr>
        <sz val="11"/>
        <color theme="1"/>
        <rFont val="宋体"/>
        <charset val="134"/>
      </rPr>
      <t>三门峡市</t>
    </r>
  </si>
  <si>
    <r>
      <rPr>
        <sz val="11"/>
        <color theme="1"/>
        <rFont val="宋体"/>
        <charset val="134"/>
      </rPr>
      <t>南阳市</t>
    </r>
  </si>
  <si>
    <r>
      <rPr>
        <sz val="11"/>
        <color theme="1"/>
        <rFont val="宋体"/>
        <charset val="134"/>
      </rPr>
      <t>商丘市</t>
    </r>
  </si>
  <si>
    <r>
      <rPr>
        <sz val="11"/>
        <color theme="1"/>
        <rFont val="宋体"/>
        <charset val="134"/>
      </rPr>
      <t>信阳市</t>
    </r>
  </si>
  <si>
    <r>
      <rPr>
        <sz val="11"/>
        <color theme="1"/>
        <rFont val="宋体"/>
        <charset val="134"/>
      </rPr>
      <t>周口市</t>
    </r>
  </si>
  <si>
    <r>
      <rPr>
        <sz val="11"/>
        <color theme="1"/>
        <rFont val="宋体"/>
        <charset val="134"/>
      </rPr>
      <t>驻马店市</t>
    </r>
  </si>
  <si>
    <r>
      <rPr>
        <sz val="11"/>
        <color theme="1"/>
        <rFont val="宋体"/>
        <charset val="134"/>
      </rPr>
      <t>济源市</t>
    </r>
  </si>
  <si>
    <r>
      <rPr>
        <sz val="11"/>
        <color theme="1"/>
        <rFont val="宋体"/>
        <charset val="134"/>
      </rPr>
      <t>邢台市</t>
    </r>
  </si>
  <si>
    <r>
      <rPr>
        <sz val="11"/>
        <color theme="1"/>
        <rFont val="宋体"/>
        <charset val="134"/>
      </rPr>
      <t>邯郸市</t>
    </r>
  </si>
  <si>
    <r>
      <rPr>
        <sz val="11"/>
        <color theme="1"/>
        <rFont val="宋体"/>
        <charset val="134"/>
      </rPr>
      <t>长治市</t>
    </r>
  </si>
  <si>
    <r>
      <rPr>
        <sz val="11"/>
        <color theme="1"/>
        <rFont val="宋体"/>
        <charset val="134"/>
      </rPr>
      <t>晋城市</t>
    </r>
  </si>
  <si>
    <r>
      <rPr>
        <sz val="11"/>
        <color theme="1"/>
        <rFont val="宋体"/>
        <charset val="134"/>
      </rPr>
      <t>运城市</t>
    </r>
  </si>
  <si>
    <r>
      <rPr>
        <sz val="11"/>
        <color theme="1"/>
        <rFont val="宋体"/>
        <charset val="134"/>
      </rPr>
      <t>聊城市</t>
    </r>
  </si>
  <si>
    <r>
      <rPr>
        <sz val="11"/>
        <color theme="1"/>
        <rFont val="宋体"/>
        <charset val="134"/>
      </rPr>
      <t>菏泽市</t>
    </r>
  </si>
  <si>
    <r>
      <rPr>
        <sz val="11"/>
        <color theme="1"/>
        <rFont val="宋体"/>
        <charset val="134"/>
      </rPr>
      <t>淮北市</t>
    </r>
  </si>
  <si>
    <r>
      <rPr>
        <sz val="11"/>
        <color theme="1"/>
        <rFont val="宋体"/>
        <charset val="134"/>
      </rPr>
      <t>亳州市</t>
    </r>
  </si>
  <si>
    <r>
      <rPr>
        <sz val="11"/>
        <color theme="1"/>
        <rFont val="宋体"/>
        <charset val="134"/>
      </rPr>
      <t>宿州市</t>
    </r>
  </si>
  <si>
    <r>
      <rPr>
        <sz val="11"/>
        <color theme="1"/>
        <rFont val="宋体"/>
        <charset val="134"/>
      </rPr>
      <t>蚌埠市</t>
    </r>
  </si>
  <si>
    <r>
      <rPr>
        <sz val="11"/>
        <color theme="1"/>
        <rFont val="宋体"/>
        <charset val="134"/>
      </rPr>
      <t>阜阳市</t>
    </r>
  </si>
  <si>
    <t>Industrial structure</t>
  </si>
  <si>
    <r>
      <t>P</t>
    </r>
    <r>
      <rPr>
        <sz val="9"/>
        <color rgb="FF000000"/>
        <rFont val="Times New Roman"/>
        <family val="1"/>
      </rPr>
      <t>ercentage of added value of the tertiary industry in GDP</t>
    </r>
  </si>
  <si>
    <t>0.0151803209853504</t>
  </si>
  <si>
    <t>Technological innovation</t>
  </si>
  <si>
    <t>Number of patents published per 10,000 people</t>
  </si>
  <si>
    <t>Environmental quality</t>
  </si>
  <si>
    <r>
      <t>PM</t>
    </r>
    <r>
      <rPr>
        <vertAlign val="subscript"/>
        <sz val="9"/>
        <color rgb="FF000000"/>
        <rFont val="Times New Roman"/>
        <family val="1"/>
      </rPr>
      <t>2.5</t>
    </r>
    <r>
      <rPr>
        <sz val="9"/>
        <color rgb="FF000000"/>
        <rFont val="Times New Roman"/>
        <family val="1"/>
      </rPr>
      <t xml:space="preserve"> concentration in the air</t>
    </r>
  </si>
  <si>
    <r>
      <t>Urban</t>
    </r>
    <r>
      <rPr>
        <sz val="10.5"/>
        <color theme="1"/>
        <rFont val="Times New Roman"/>
        <family val="1"/>
      </rPr>
      <t>–</t>
    </r>
    <r>
      <rPr>
        <sz val="9"/>
        <color theme="1"/>
        <rFont val="Times New Roman"/>
        <family val="1"/>
      </rPr>
      <t>rural gap</t>
    </r>
  </si>
  <si>
    <t>Ratio of income levels of urban and rural residents</t>
  </si>
  <si>
    <t>Governmental regulation</t>
  </si>
  <si>
    <r>
      <t>P</t>
    </r>
    <r>
      <rPr>
        <sz val="9"/>
        <color rgb="FF000000"/>
        <rFont val="Times New Roman"/>
        <family val="1"/>
      </rPr>
      <t xml:space="preserve">ercentage of government fiscal expenditure relative </t>
    </r>
    <r>
      <rPr>
        <sz val="9"/>
        <color rgb="FF000000"/>
        <rFont val="Times New Roman"/>
        <family val="1"/>
      </rPr>
      <t>in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GDP</t>
    </r>
  </si>
  <si>
    <t>阜阳市</t>
  </si>
  <si>
    <t>Urban Comprehensive Quality</t>
  </si>
  <si>
    <t>Level of integrated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</si>
</sst>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1"/>
      <color theme="1"/>
      <name val="宋体"/>
      <charset val="134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vertAlign val="subscript"/>
      <sz val="9"/>
      <color rgb="FF000000"/>
      <name val="Times New Roman"/>
      <family val="1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>
      <alignment vertical="center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7" fillId="4" borderId="0" xfId="0" applyFont="1" applyFill="1">
      <alignment vertical="center"/>
    </xf>
    <xf numFmtId="0" fontId="1" fillId="0" borderId="0" xfId="0" quotePrefix="1" applyFont="1">
      <alignment vertical="center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zoomScale="70" zoomScaleNormal="70" workbookViewId="0">
      <selection activeCell="F1" sqref="F1"/>
    </sheetView>
  </sheetViews>
  <sheetFormatPr defaultColWidth="8.88671875" defaultRowHeight="14.4" x14ac:dyDescent="0.25"/>
  <cols>
    <col min="1" max="31" width="8.88671875" style="1"/>
  </cols>
  <sheetData>
    <row r="1" spans="1:31" ht="48" x14ac:dyDescent="0.25">
      <c r="A1" s="14" t="s">
        <v>0</v>
      </c>
      <c r="B1" s="15" t="s">
        <v>1</v>
      </c>
    </row>
    <row r="2" spans="1:31" x14ac:dyDescent="0.2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spans="1:31" x14ac:dyDescent="0.25">
      <c r="A3" s="3" t="s">
        <v>2</v>
      </c>
      <c r="B3" s="12">
        <v>0</v>
      </c>
      <c r="C3" s="1">
        <v>1</v>
      </c>
      <c r="D3" s="1">
        <v>1</v>
      </c>
      <c r="E3" s="1">
        <v>1</v>
      </c>
      <c r="F3" s="1">
        <v>0</v>
      </c>
      <c r="G3" s="1">
        <v>0</v>
      </c>
      <c r="H3" s="1">
        <v>1</v>
      </c>
      <c r="I3" s="1">
        <v>1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 x14ac:dyDescent="0.25">
      <c r="A4" s="3" t="s">
        <v>3</v>
      </c>
      <c r="B4" s="1">
        <v>1</v>
      </c>
      <c r="C4" s="12">
        <v>0</v>
      </c>
      <c r="D4" s="1">
        <v>1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 x14ac:dyDescent="0.25">
      <c r="A5" s="3" t="s">
        <v>4</v>
      </c>
      <c r="B5" s="1">
        <v>1</v>
      </c>
      <c r="C5" s="1">
        <v>1</v>
      </c>
      <c r="D5" s="12">
        <v>0</v>
      </c>
      <c r="E5" s="1">
        <v>1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 spans="1:31" x14ac:dyDescent="0.25">
      <c r="A6" s="3" t="s">
        <v>5</v>
      </c>
      <c r="B6" s="1">
        <v>1</v>
      </c>
      <c r="C6" s="1">
        <v>0</v>
      </c>
      <c r="D6" s="1">
        <v>1</v>
      </c>
      <c r="E6" s="12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25">
      <c r="A7" s="3" t="s">
        <v>6</v>
      </c>
      <c r="B7" s="1">
        <v>0</v>
      </c>
      <c r="C7" s="1">
        <v>0</v>
      </c>
      <c r="D7" s="1">
        <v>0</v>
      </c>
      <c r="E7" s="1">
        <v>0</v>
      </c>
      <c r="F7" s="12">
        <v>0</v>
      </c>
      <c r="G7" s="1">
        <v>1</v>
      </c>
      <c r="H7" s="1">
        <v>1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 x14ac:dyDescent="0.25">
      <c r="A8" s="3" t="s">
        <v>7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2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 x14ac:dyDescent="0.25">
      <c r="A9" s="3" t="s">
        <v>8</v>
      </c>
      <c r="B9" s="1">
        <v>1</v>
      </c>
      <c r="C9" s="1">
        <v>1</v>
      </c>
      <c r="D9" s="1">
        <v>0</v>
      </c>
      <c r="E9" s="1">
        <v>0</v>
      </c>
      <c r="F9" s="1">
        <v>1</v>
      </c>
      <c r="G9" s="1">
        <v>1</v>
      </c>
      <c r="H9" s="12">
        <v>0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 x14ac:dyDescent="0.25">
      <c r="A10" s="3" t="s">
        <v>9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2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 x14ac:dyDescent="0.25">
      <c r="A11" s="3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1</v>
      </c>
      <c r="I11" s="1">
        <v>0</v>
      </c>
      <c r="J11" s="12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1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 x14ac:dyDescent="0.25">
      <c r="A12" s="3" t="s">
        <v>11</v>
      </c>
      <c r="B12" s="1">
        <v>1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2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x14ac:dyDescent="0.25">
      <c r="A13" s="3" t="s">
        <v>12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2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 x14ac:dyDescent="0.25">
      <c r="A14" s="3" t="s">
        <v>13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2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25">
      <c r="A15" s="3" t="s">
        <v>14</v>
      </c>
      <c r="B15" s="1">
        <v>0</v>
      </c>
      <c r="C15" s="1">
        <v>0</v>
      </c>
      <c r="D15" s="1">
        <v>1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2">
        <v>0</v>
      </c>
      <c r="O15" s="1">
        <v>0</v>
      </c>
      <c r="P15" s="1">
        <v>1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 x14ac:dyDescent="0.25">
      <c r="A16" s="3" t="s">
        <v>15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2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1</v>
      </c>
      <c r="AB16" s="1">
        <v>1</v>
      </c>
      <c r="AC16" s="1">
        <v>1</v>
      </c>
      <c r="AD16" s="1">
        <v>0</v>
      </c>
      <c r="AE16" s="1">
        <v>0</v>
      </c>
    </row>
    <row r="17" spans="1:31" x14ac:dyDescent="0.25">
      <c r="A17" s="3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2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</row>
    <row r="18" spans="1:31" x14ac:dyDescent="0.25">
      <c r="A18" s="3" t="s">
        <v>17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1</v>
      </c>
      <c r="M18" s="1">
        <v>0</v>
      </c>
      <c r="N18" s="1">
        <v>0</v>
      </c>
      <c r="O18" s="1">
        <v>1</v>
      </c>
      <c r="P18" s="1">
        <v>0</v>
      </c>
      <c r="Q18" s="12">
        <v>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  <c r="AE18" s="1">
        <v>1</v>
      </c>
    </row>
    <row r="19" spans="1:31" x14ac:dyDescent="0.25">
      <c r="A19" s="3" t="s">
        <v>18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1</v>
      </c>
      <c r="O19" s="1">
        <v>0</v>
      </c>
      <c r="P19" s="1">
        <v>1</v>
      </c>
      <c r="Q19" s="1">
        <v>1</v>
      </c>
      <c r="R19" s="12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</row>
    <row r="20" spans="1:31" x14ac:dyDescent="0.25">
      <c r="A20" s="3" t="s">
        <v>19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2">
        <v>0</v>
      </c>
      <c r="T20" s="1">
        <v>0</v>
      </c>
      <c r="U20" s="1">
        <v>0</v>
      </c>
      <c r="V20" s="1">
        <v>0</v>
      </c>
      <c r="W20" s="1">
        <v>1</v>
      </c>
      <c r="X20" s="1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25">
      <c r="A21" s="3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2">
        <v>0</v>
      </c>
      <c r="U21" s="1">
        <v>1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25">
      <c r="A22" s="3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2">
        <v>0</v>
      </c>
      <c r="V22" s="1">
        <v>1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 x14ac:dyDescent="0.25">
      <c r="A23" s="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2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 spans="1:31" x14ac:dyDescent="0.25">
      <c r="A24" s="3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0</v>
      </c>
      <c r="U24" s="1">
        <v>0</v>
      </c>
      <c r="V24" s="1">
        <v>1</v>
      </c>
      <c r="W24" s="12">
        <v>0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 x14ac:dyDescent="0.25">
      <c r="A25" s="3" t="s">
        <v>24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0</v>
      </c>
      <c r="V25" s="1">
        <v>0</v>
      </c>
      <c r="W25" s="1">
        <v>1</v>
      </c>
      <c r="X25" s="12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25">
      <c r="A26" s="3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1</v>
      </c>
      <c r="V26" s="1">
        <v>0</v>
      </c>
      <c r="W26" s="1">
        <v>0</v>
      </c>
      <c r="X26" s="1">
        <v>0</v>
      </c>
      <c r="Y26" s="12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 x14ac:dyDescent="0.25">
      <c r="A27" s="3" t="s">
        <v>26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2">
        <v>0</v>
      </c>
      <c r="AA27" s="1">
        <v>0</v>
      </c>
      <c r="AB27" s="1">
        <v>0</v>
      </c>
      <c r="AC27" s="1">
        <v>1</v>
      </c>
      <c r="AD27" s="1">
        <v>0</v>
      </c>
      <c r="AE27" s="1">
        <v>0</v>
      </c>
    </row>
    <row r="28" spans="1:31" x14ac:dyDescent="0.25">
      <c r="A28" s="3" t="s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2">
        <v>0</v>
      </c>
      <c r="AB28" s="1">
        <v>1</v>
      </c>
      <c r="AC28" s="1">
        <v>1</v>
      </c>
      <c r="AD28" s="1">
        <v>1</v>
      </c>
      <c r="AE28" s="1">
        <v>0</v>
      </c>
    </row>
    <row r="29" spans="1:31" x14ac:dyDescent="0.25">
      <c r="A29" s="3" t="s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2">
        <v>0</v>
      </c>
      <c r="AC29" s="1">
        <v>0</v>
      </c>
      <c r="AD29" s="1">
        <v>1</v>
      </c>
      <c r="AE29" s="1">
        <v>1</v>
      </c>
    </row>
    <row r="30" spans="1:31" x14ac:dyDescent="0.25">
      <c r="A30" s="3" t="s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</v>
      </c>
      <c r="AA30" s="1">
        <v>1</v>
      </c>
      <c r="AB30" s="1">
        <v>0</v>
      </c>
      <c r="AC30" s="12">
        <v>0</v>
      </c>
      <c r="AD30" s="1">
        <v>1</v>
      </c>
      <c r="AE30" s="1">
        <v>0</v>
      </c>
    </row>
    <row r="31" spans="1:31" x14ac:dyDescent="0.25">
      <c r="A31" s="3" t="s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</v>
      </c>
      <c r="AB31" s="1">
        <v>1</v>
      </c>
      <c r="AC31" s="1">
        <v>1</v>
      </c>
      <c r="AD31" s="12">
        <v>0</v>
      </c>
      <c r="AE31" s="1">
        <v>0</v>
      </c>
    </row>
    <row r="32" spans="1:31" x14ac:dyDescent="0.25">
      <c r="A32" s="3" t="s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1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  <c r="AE32" s="12">
        <v>0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9"/>
  <sheetViews>
    <sheetView zoomScale="85" zoomScaleNormal="85" workbookViewId="0">
      <selection activeCell="H1" sqref="H1"/>
    </sheetView>
  </sheetViews>
  <sheetFormatPr defaultColWidth="9" defaultRowHeight="14.4" x14ac:dyDescent="0.25"/>
  <cols>
    <col min="1" max="1" width="13.109375" style="1" customWidth="1"/>
    <col min="2" max="31" width="6.6640625" style="1" customWidth="1"/>
  </cols>
  <sheetData>
    <row r="1" spans="1:31" ht="60" x14ac:dyDescent="0.25">
      <c r="A1" s="5" t="s">
        <v>32</v>
      </c>
      <c r="B1" s="6" t="s">
        <v>33</v>
      </c>
    </row>
    <row r="2" spans="1:31" x14ac:dyDescent="0.2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spans="1:31" x14ac:dyDescent="0.25">
      <c r="A3" s="3" t="s">
        <v>2</v>
      </c>
      <c r="B3" s="7">
        <v>0</v>
      </c>
      <c r="C3" s="1">
        <v>530</v>
      </c>
      <c r="D3" s="1">
        <v>490</v>
      </c>
      <c r="E3" s="1">
        <v>586</v>
      </c>
      <c r="F3" s="1">
        <v>559</v>
      </c>
      <c r="G3" s="1">
        <v>580</v>
      </c>
      <c r="H3" s="1">
        <v>541</v>
      </c>
      <c r="I3" s="1">
        <v>547</v>
      </c>
      <c r="J3" s="1">
        <v>570</v>
      </c>
      <c r="K3" s="1">
        <v>577</v>
      </c>
      <c r="L3" s="1">
        <v>581</v>
      </c>
      <c r="M3" s="1">
        <v>560</v>
      </c>
      <c r="N3" s="1">
        <v>529</v>
      </c>
      <c r="O3" s="1">
        <v>573</v>
      </c>
      <c r="P3" s="1">
        <v>555</v>
      </c>
      <c r="Q3" s="1">
        <v>562</v>
      </c>
      <c r="R3" s="1">
        <v>558</v>
      </c>
      <c r="S3" s="1">
        <v>568</v>
      </c>
      <c r="T3" s="1">
        <v>486</v>
      </c>
      <c r="U3" s="1">
        <v>474</v>
      </c>
      <c r="V3" s="1">
        <v>573</v>
      </c>
      <c r="W3" s="1">
        <v>571</v>
      </c>
      <c r="X3" s="1">
        <v>548</v>
      </c>
      <c r="Y3" s="1">
        <v>567</v>
      </c>
      <c r="Z3" s="1">
        <v>561</v>
      </c>
      <c r="AA3" s="1">
        <v>576</v>
      </c>
      <c r="AB3" s="1">
        <v>577</v>
      </c>
      <c r="AC3" s="1">
        <v>585</v>
      </c>
      <c r="AD3" s="1">
        <v>549</v>
      </c>
      <c r="AE3" s="1">
        <v>534</v>
      </c>
    </row>
    <row r="4" spans="1:31" x14ac:dyDescent="0.25">
      <c r="A4" s="3" t="s">
        <v>3</v>
      </c>
      <c r="B4" s="1">
        <v>530</v>
      </c>
      <c r="C4" s="7">
        <v>0</v>
      </c>
      <c r="D4" s="1">
        <v>40</v>
      </c>
      <c r="E4" s="1">
        <v>56</v>
      </c>
      <c r="F4" s="1">
        <v>29</v>
      </c>
      <c r="G4" s="1">
        <v>50</v>
      </c>
      <c r="H4" s="1">
        <v>11</v>
      </c>
      <c r="I4" s="1">
        <v>17</v>
      </c>
      <c r="J4" s="1">
        <v>40</v>
      </c>
      <c r="K4" s="1">
        <v>47</v>
      </c>
      <c r="L4" s="1">
        <v>51</v>
      </c>
      <c r="M4" s="1">
        <v>30</v>
      </c>
      <c r="N4" s="1">
        <v>1</v>
      </c>
      <c r="O4" s="1">
        <v>43</v>
      </c>
      <c r="P4" s="1">
        <v>25</v>
      </c>
      <c r="Q4" s="1">
        <v>32</v>
      </c>
      <c r="R4" s="1">
        <v>28</v>
      </c>
      <c r="S4" s="1">
        <v>38</v>
      </c>
      <c r="T4" s="1">
        <v>44</v>
      </c>
      <c r="U4" s="1">
        <v>56</v>
      </c>
      <c r="V4" s="1">
        <v>43</v>
      </c>
      <c r="W4" s="1">
        <v>41</v>
      </c>
      <c r="X4" s="1">
        <v>18</v>
      </c>
      <c r="Y4" s="1">
        <v>37</v>
      </c>
      <c r="Z4" s="1">
        <v>31</v>
      </c>
      <c r="AA4" s="1">
        <v>46</v>
      </c>
      <c r="AB4" s="1">
        <v>47</v>
      </c>
      <c r="AC4" s="1">
        <v>55</v>
      </c>
      <c r="AD4" s="1">
        <v>19</v>
      </c>
      <c r="AE4" s="1">
        <v>4</v>
      </c>
    </row>
    <row r="5" spans="1:31" x14ac:dyDescent="0.25">
      <c r="A5" s="3" t="s">
        <v>4</v>
      </c>
      <c r="B5" s="1">
        <v>490</v>
      </c>
      <c r="C5" s="1">
        <v>40</v>
      </c>
      <c r="D5" s="7">
        <v>0</v>
      </c>
      <c r="E5" s="1">
        <v>96</v>
      </c>
      <c r="F5" s="1">
        <v>69</v>
      </c>
      <c r="G5" s="1">
        <v>90</v>
      </c>
      <c r="H5" s="1">
        <v>51</v>
      </c>
      <c r="I5" s="1">
        <v>57</v>
      </c>
      <c r="J5" s="1">
        <v>80</v>
      </c>
      <c r="K5" s="1">
        <v>87</v>
      </c>
      <c r="L5" s="1">
        <v>91</v>
      </c>
      <c r="M5" s="1">
        <v>70</v>
      </c>
      <c r="N5" s="1">
        <v>39</v>
      </c>
      <c r="O5" s="1">
        <v>83</v>
      </c>
      <c r="P5" s="1">
        <v>65</v>
      </c>
      <c r="Q5" s="1">
        <v>72</v>
      </c>
      <c r="R5" s="1">
        <v>68</v>
      </c>
      <c r="S5" s="1">
        <v>78</v>
      </c>
      <c r="T5" s="1">
        <v>4</v>
      </c>
      <c r="U5" s="1">
        <v>16</v>
      </c>
      <c r="V5" s="1">
        <v>83</v>
      </c>
      <c r="W5" s="1">
        <v>81</v>
      </c>
      <c r="X5" s="1">
        <v>58</v>
      </c>
      <c r="Y5" s="1">
        <v>77</v>
      </c>
      <c r="Z5" s="1">
        <v>71</v>
      </c>
      <c r="AA5" s="1">
        <v>86</v>
      </c>
      <c r="AB5" s="1">
        <v>87</v>
      </c>
      <c r="AC5" s="1">
        <v>95</v>
      </c>
      <c r="AD5" s="1">
        <v>59</v>
      </c>
      <c r="AE5" s="1">
        <v>44</v>
      </c>
    </row>
    <row r="6" spans="1:31" x14ac:dyDescent="0.25">
      <c r="A6" s="3" t="s">
        <v>5</v>
      </c>
      <c r="B6" s="1">
        <v>586</v>
      </c>
      <c r="C6" s="1">
        <v>56</v>
      </c>
      <c r="D6" s="1">
        <v>96</v>
      </c>
      <c r="E6" s="7">
        <v>0</v>
      </c>
      <c r="F6" s="1">
        <v>27</v>
      </c>
      <c r="G6" s="1">
        <v>6</v>
      </c>
      <c r="H6" s="1">
        <v>45</v>
      </c>
      <c r="I6" s="1">
        <v>39</v>
      </c>
      <c r="J6" s="1">
        <v>16</v>
      </c>
      <c r="K6" s="1">
        <v>9</v>
      </c>
      <c r="L6" s="1">
        <v>5</v>
      </c>
      <c r="M6" s="1">
        <v>26</v>
      </c>
      <c r="N6" s="1">
        <v>57</v>
      </c>
      <c r="O6" s="1">
        <v>13</v>
      </c>
      <c r="P6" s="1">
        <v>31</v>
      </c>
      <c r="Q6" s="1">
        <v>24</v>
      </c>
      <c r="R6" s="1">
        <v>28</v>
      </c>
      <c r="S6" s="1">
        <v>18</v>
      </c>
      <c r="T6" s="1">
        <v>100</v>
      </c>
      <c r="U6" s="1">
        <v>112</v>
      </c>
      <c r="V6" s="1">
        <v>13</v>
      </c>
      <c r="W6" s="1">
        <v>15</v>
      </c>
      <c r="X6" s="1">
        <v>38</v>
      </c>
      <c r="Y6" s="1">
        <v>19</v>
      </c>
      <c r="Z6" s="1">
        <v>25</v>
      </c>
      <c r="AA6" s="1">
        <v>10</v>
      </c>
      <c r="AB6" s="1">
        <v>9</v>
      </c>
      <c r="AC6" s="1">
        <v>1</v>
      </c>
      <c r="AD6" s="1">
        <v>37</v>
      </c>
      <c r="AE6" s="1">
        <v>52</v>
      </c>
    </row>
    <row r="7" spans="1:31" x14ac:dyDescent="0.25">
      <c r="A7" s="3" t="s">
        <v>6</v>
      </c>
      <c r="B7" s="1">
        <v>559</v>
      </c>
      <c r="C7" s="1">
        <v>29</v>
      </c>
      <c r="D7" s="1">
        <v>69</v>
      </c>
      <c r="E7" s="1">
        <v>27</v>
      </c>
      <c r="F7" s="7">
        <v>0</v>
      </c>
      <c r="G7" s="1">
        <v>21</v>
      </c>
      <c r="H7" s="1">
        <v>18</v>
      </c>
      <c r="I7" s="1">
        <v>12</v>
      </c>
      <c r="J7" s="1">
        <v>11</v>
      </c>
      <c r="K7" s="1">
        <v>18</v>
      </c>
      <c r="L7" s="1">
        <v>22</v>
      </c>
      <c r="M7" s="1">
        <v>1</v>
      </c>
      <c r="N7" s="1">
        <v>30</v>
      </c>
      <c r="O7" s="1">
        <v>14</v>
      </c>
      <c r="P7" s="1">
        <v>4</v>
      </c>
      <c r="Q7" s="1">
        <v>3</v>
      </c>
      <c r="R7" s="1">
        <v>1</v>
      </c>
      <c r="S7" s="1">
        <v>9</v>
      </c>
      <c r="T7" s="1">
        <v>73</v>
      </c>
      <c r="U7" s="1">
        <v>85</v>
      </c>
      <c r="V7" s="1">
        <v>14</v>
      </c>
      <c r="W7" s="1">
        <v>12</v>
      </c>
      <c r="X7" s="1">
        <v>11</v>
      </c>
      <c r="Y7" s="1">
        <v>8</v>
      </c>
      <c r="Z7" s="1">
        <v>2</v>
      </c>
      <c r="AA7" s="1">
        <v>17</v>
      </c>
      <c r="AB7" s="1">
        <v>18</v>
      </c>
      <c r="AC7" s="1">
        <v>26</v>
      </c>
      <c r="AD7" s="1">
        <v>10</v>
      </c>
      <c r="AE7" s="1">
        <v>25</v>
      </c>
    </row>
    <row r="8" spans="1:31" x14ac:dyDescent="0.25">
      <c r="A8" s="3" t="s">
        <v>7</v>
      </c>
      <c r="B8" s="1">
        <v>580</v>
      </c>
      <c r="C8" s="1">
        <v>50</v>
      </c>
      <c r="D8" s="1">
        <v>90</v>
      </c>
      <c r="E8" s="1">
        <v>6</v>
      </c>
      <c r="F8" s="1">
        <v>21</v>
      </c>
      <c r="G8" s="7">
        <v>0</v>
      </c>
      <c r="H8" s="1">
        <v>39</v>
      </c>
      <c r="I8" s="1">
        <v>33</v>
      </c>
      <c r="J8" s="1">
        <v>10</v>
      </c>
      <c r="K8" s="1">
        <v>3</v>
      </c>
      <c r="L8" s="1">
        <v>1</v>
      </c>
      <c r="M8" s="1">
        <v>20</v>
      </c>
      <c r="N8" s="1">
        <v>51</v>
      </c>
      <c r="O8" s="1">
        <v>7</v>
      </c>
      <c r="P8" s="1">
        <v>25</v>
      </c>
      <c r="Q8" s="1">
        <v>18</v>
      </c>
      <c r="R8" s="1">
        <v>22</v>
      </c>
      <c r="S8" s="1">
        <v>12</v>
      </c>
      <c r="T8" s="1">
        <v>94</v>
      </c>
      <c r="U8" s="1">
        <v>106</v>
      </c>
      <c r="V8" s="1">
        <v>7</v>
      </c>
      <c r="W8" s="1">
        <v>9</v>
      </c>
      <c r="X8" s="1">
        <v>32</v>
      </c>
      <c r="Y8" s="1">
        <v>13</v>
      </c>
      <c r="Z8" s="1">
        <v>19</v>
      </c>
      <c r="AA8" s="1">
        <v>4</v>
      </c>
      <c r="AB8" s="1">
        <v>3</v>
      </c>
      <c r="AC8" s="1">
        <v>5</v>
      </c>
      <c r="AD8" s="1">
        <v>31</v>
      </c>
      <c r="AE8" s="1">
        <v>46</v>
      </c>
    </row>
    <row r="9" spans="1:31" x14ac:dyDescent="0.25">
      <c r="A9" s="3" t="s">
        <v>8</v>
      </c>
      <c r="B9" s="1">
        <v>541</v>
      </c>
      <c r="C9" s="1">
        <v>11</v>
      </c>
      <c r="D9" s="1">
        <v>51</v>
      </c>
      <c r="E9" s="1">
        <v>45</v>
      </c>
      <c r="F9" s="1">
        <v>18</v>
      </c>
      <c r="G9" s="1">
        <v>39</v>
      </c>
      <c r="H9" s="7">
        <v>0</v>
      </c>
      <c r="I9" s="1">
        <v>6</v>
      </c>
      <c r="J9" s="1">
        <v>29</v>
      </c>
      <c r="K9" s="1">
        <v>36</v>
      </c>
      <c r="L9" s="1">
        <v>40</v>
      </c>
      <c r="M9" s="1">
        <v>19</v>
      </c>
      <c r="N9" s="1">
        <v>12</v>
      </c>
      <c r="O9" s="1">
        <v>32</v>
      </c>
      <c r="P9" s="1">
        <v>14</v>
      </c>
      <c r="Q9" s="1">
        <v>21</v>
      </c>
      <c r="R9" s="1">
        <v>17</v>
      </c>
      <c r="S9" s="1">
        <v>27</v>
      </c>
      <c r="T9" s="1">
        <v>55</v>
      </c>
      <c r="U9" s="1">
        <v>67</v>
      </c>
      <c r="V9" s="1">
        <v>32</v>
      </c>
      <c r="W9" s="1">
        <v>30</v>
      </c>
      <c r="X9" s="1">
        <v>7</v>
      </c>
      <c r="Y9" s="1">
        <v>26</v>
      </c>
      <c r="Z9" s="1">
        <v>20</v>
      </c>
      <c r="AA9" s="1">
        <v>35</v>
      </c>
      <c r="AB9" s="1">
        <v>36</v>
      </c>
      <c r="AC9" s="1">
        <v>44</v>
      </c>
      <c r="AD9" s="1">
        <v>8</v>
      </c>
      <c r="AE9" s="1">
        <v>7</v>
      </c>
    </row>
    <row r="10" spans="1:31" x14ac:dyDescent="0.25">
      <c r="A10" s="3" t="s">
        <v>9</v>
      </c>
      <c r="B10" s="1">
        <v>547</v>
      </c>
      <c r="C10" s="1">
        <v>17</v>
      </c>
      <c r="D10" s="1">
        <v>57</v>
      </c>
      <c r="E10" s="1">
        <v>39</v>
      </c>
      <c r="F10" s="1">
        <v>12</v>
      </c>
      <c r="G10" s="1">
        <v>33</v>
      </c>
      <c r="H10" s="1">
        <v>6</v>
      </c>
      <c r="I10" s="7">
        <v>0</v>
      </c>
      <c r="J10" s="1">
        <v>23</v>
      </c>
      <c r="K10" s="1">
        <v>30</v>
      </c>
      <c r="L10" s="1">
        <v>34</v>
      </c>
      <c r="M10" s="1">
        <v>13</v>
      </c>
      <c r="N10" s="1">
        <v>18</v>
      </c>
      <c r="O10" s="1">
        <v>26</v>
      </c>
      <c r="P10" s="1">
        <v>8</v>
      </c>
      <c r="Q10" s="1">
        <v>15</v>
      </c>
      <c r="R10" s="1">
        <v>11</v>
      </c>
      <c r="S10" s="1">
        <v>21</v>
      </c>
      <c r="T10" s="1">
        <v>61</v>
      </c>
      <c r="U10" s="1">
        <v>73</v>
      </c>
      <c r="V10" s="1">
        <v>26</v>
      </c>
      <c r="W10" s="1">
        <v>24</v>
      </c>
      <c r="X10" s="1">
        <v>1</v>
      </c>
      <c r="Y10" s="1">
        <v>20</v>
      </c>
      <c r="Z10" s="1">
        <v>14</v>
      </c>
      <c r="AA10" s="1">
        <v>29</v>
      </c>
      <c r="AB10" s="1">
        <v>30</v>
      </c>
      <c r="AC10" s="1">
        <v>38</v>
      </c>
      <c r="AD10" s="1">
        <v>2</v>
      </c>
      <c r="AE10" s="1">
        <v>13</v>
      </c>
    </row>
    <row r="11" spans="1:31" x14ac:dyDescent="0.25">
      <c r="A11" s="3" t="s">
        <v>10</v>
      </c>
      <c r="B11" s="1">
        <v>570</v>
      </c>
      <c r="C11" s="1">
        <v>40</v>
      </c>
      <c r="D11" s="1">
        <v>80</v>
      </c>
      <c r="E11" s="1">
        <v>16</v>
      </c>
      <c r="F11" s="1">
        <v>11</v>
      </c>
      <c r="G11" s="1">
        <v>10</v>
      </c>
      <c r="H11" s="1">
        <v>29</v>
      </c>
      <c r="I11" s="1">
        <v>23</v>
      </c>
      <c r="J11" s="7">
        <v>0</v>
      </c>
      <c r="K11" s="1">
        <v>7</v>
      </c>
      <c r="L11" s="1">
        <v>11</v>
      </c>
      <c r="M11" s="1">
        <v>10</v>
      </c>
      <c r="N11" s="1">
        <v>41</v>
      </c>
      <c r="O11" s="1">
        <v>3</v>
      </c>
      <c r="P11" s="1">
        <v>15</v>
      </c>
      <c r="Q11" s="1">
        <v>8</v>
      </c>
      <c r="R11" s="1">
        <v>12</v>
      </c>
      <c r="S11" s="1">
        <v>2</v>
      </c>
      <c r="T11" s="1">
        <v>84</v>
      </c>
      <c r="U11" s="1">
        <v>96</v>
      </c>
      <c r="V11" s="1">
        <v>3</v>
      </c>
      <c r="W11" s="1">
        <v>1</v>
      </c>
      <c r="X11" s="1">
        <v>22</v>
      </c>
      <c r="Y11" s="1">
        <v>3</v>
      </c>
      <c r="Z11" s="1">
        <v>9</v>
      </c>
      <c r="AA11" s="1">
        <v>6</v>
      </c>
      <c r="AB11" s="1">
        <v>7</v>
      </c>
      <c r="AC11" s="1">
        <v>15</v>
      </c>
      <c r="AD11" s="1">
        <v>21</v>
      </c>
      <c r="AE11" s="1">
        <v>36</v>
      </c>
    </row>
    <row r="12" spans="1:31" x14ac:dyDescent="0.25">
      <c r="A12" s="3" t="s">
        <v>11</v>
      </c>
      <c r="B12" s="1">
        <v>577</v>
      </c>
      <c r="C12" s="1">
        <v>47</v>
      </c>
      <c r="D12" s="1">
        <v>87</v>
      </c>
      <c r="E12" s="1">
        <v>9</v>
      </c>
      <c r="F12" s="1">
        <v>18</v>
      </c>
      <c r="G12" s="1">
        <v>3</v>
      </c>
      <c r="H12" s="1">
        <v>36</v>
      </c>
      <c r="I12" s="1">
        <v>30</v>
      </c>
      <c r="J12" s="1">
        <v>7</v>
      </c>
      <c r="K12" s="7">
        <v>0</v>
      </c>
      <c r="L12" s="1">
        <v>4</v>
      </c>
      <c r="M12" s="1">
        <v>17</v>
      </c>
      <c r="N12" s="1">
        <v>48</v>
      </c>
      <c r="O12" s="1">
        <v>4</v>
      </c>
      <c r="P12" s="1">
        <v>22</v>
      </c>
      <c r="Q12" s="1">
        <v>15</v>
      </c>
      <c r="R12" s="1">
        <v>19</v>
      </c>
      <c r="S12" s="1">
        <v>9</v>
      </c>
      <c r="T12" s="1">
        <v>91</v>
      </c>
      <c r="U12" s="1">
        <v>103</v>
      </c>
      <c r="V12" s="1">
        <v>4</v>
      </c>
      <c r="W12" s="1">
        <v>6</v>
      </c>
      <c r="X12" s="1">
        <v>29</v>
      </c>
      <c r="Y12" s="1">
        <v>10</v>
      </c>
      <c r="Z12" s="1">
        <v>16</v>
      </c>
      <c r="AA12" s="1">
        <v>1</v>
      </c>
      <c r="AB12" s="1">
        <v>0</v>
      </c>
      <c r="AC12" s="1">
        <v>8</v>
      </c>
      <c r="AD12" s="1">
        <v>28</v>
      </c>
      <c r="AE12" s="1">
        <v>43</v>
      </c>
    </row>
    <row r="13" spans="1:31" x14ac:dyDescent="0.25">
      <c r="A13" s="3" t="s">
        <v>12</v>
      </c>
      <c r="B13" s="1">
        <v>581</v>
      </c>
      <c r="C13" s="1">
        <v>51</v>
      </c>
      <c r="D13" s="1">
        <v>91</v>
      </c>
      <c r="E13" s="1">
        <v>5</v>
      </c>
      <c r="F13" s="1">
        <v>22</v>
      </c>
      <c r="G13" s="1">
        <v>1</v>
      </c>
      <c r="H13" s="1">
        <v>40</v>
      </c>
      <c r="I13" s="1">
        <v>34</v>
      </c>
      <c r="J13" s="1">
        <v>11</v>
      </c>
      <c r="K13" s="1">
        <v>4</v>
      </c>
      <c r="L13" s="7">
        <v>0</v>
      </c>
      <c r="M13" s="1">
        <v>21</v>
      </c>
      <c r="N13" s="1">
        <v>52</v>
      </c>
      <c r="O13" s="1">
        <v>8</v>
      </c>
      <c r="P13" s="1">
        <v>26</v>
      </c>
      <c r="Q13" s="1">
        <v>19</v>
      </c>
      <c r="R13" s="1">
        <v>23</v>
      </c>
      <c r="S13" s="1">
        <v>13</v>
      </c>
      <c r="T13" s="1">
        <v>95</v>
      </c>
      <c r="U13" s="1">
        <v>107</v>
      </c>
      <c r="V13" s="1">
        <v>8</v>
      </c>
      <c r="W13" s="1">
        <v>10</v>
      </c>
      <c r="X13" s="1">
        <v>33</v>
      </c>
      <c r="Y13" s="1">
        <v>14</v>
      </c>
      <c r="Z13" s="1">
        <v>20</v>
      </c>
      <c r="AA13" s="1">
        <v>5</v>
      </c>
      <c r="AB13" s="1">
        <v>4</v>
      </c>
      <c r="AC13" s="1">
        <v>4</v>
      </c>
      <c r="AD13" s="1">
        <v>32</v>
      </c>
      <c r="AE13" s="1">
        <v>47</v>
      </c>
    </row>
    <row r="14" spans="1:31" x14ac:dyDescent="0.25">
      <c r="A14" s="3" t="s">
        <v>13</v>
      </c>
      <c r="B14" s="1">
        <v>560</v>
      </c>
      <c r="C14" s="1">
        <v>30</v>
      </c>
      <c r="D14" s="1">
        <v>70</v>
      </c>
      <c r="E14" s="1">
        <v>26</v>
      </c>
      <c r="F14" s="1">
        <v>1</v>
      </c>
      <c r="G14" s="1">
        <v>20</v>
      </c>
      <c r="H14" s="1">
        <v>19</v>
      </c>
      <c r="I14" s="1">
        <v>13</v>
      </c>
      <c r="J14" s="1">
        <v>10</v>
      </c>
      <c r="K14" s="1">
        <v>17</v>
      </c>
      <c r="L14" s="1">
        <v>21</v>
      </c>
      <c r="M14" s="7">
        <v>0</v>
      </c>
      <c r="N14" s="1">
        <v>31</v>
      </c>
      <c r="O14" s="1">
        <v>13</v>
      </c>
      <c r="P14" s="1">
        <v>5</v>
      </c>
      <c r="Q14" s="1">
        <v>2</v>
      </c>
      <c r="R14" s="1">
        <v>2</v>
      </c>
      <c r="S14" s="1">
        <v>8</v>
      </c>
      <c r="T14" s="1">
        <v>74</v>
      </c>
      <c r="U14" s="1">
        <v>86</v>
      </c>
      <c r="V14" s="1">
        <v>13</v>
      </c>
      <c r="W14" s="1">
        <v>11</v>
      </c>
      <c r="X14" s="1">
        <v>12</v>
      </c>
      <c r="Y14" s="1">
        <v>7</v>
      </c>
      <c r="Z14" s="1">
        <v>1</v>
      </c>
      <c r="AA14" s="1">
        <v>16</v>
      </c>
      <c r="AB14" s="1">
        <v>17</v>
      </c>
      <c r="AC14" s="1">
        <v>25</v>
      </c>
      <c r="AD14" s="1">
        <v>11</v>
      </c>
      <c r="AE14" s="1">
        <v>26</v>
      </c>
    </row>
    <row r="15" spans="1:31" x14ac:dyDescent="0.25">
      <c r="A15" s="3" t="s">
        <v>14</v>
      </c>
      <c r="B15" s="1">
        <v>529</v>
      </c>
      <c r="C15" s="1">
        <v>1</v>
      </c>
      <c r="D15" s="1">
        <v>39</v>
      </c>
      <c r="E15" s="1">
        <v>57</v>
      </c>
      <c r="F15" s="1">
        <v>30</v>
      </c>
      <c r="G15" s="1">
        <v>51</v>
      </c>
      <c r="H15" s="1">
        <v>12</v>
      </c>
      <c r="I15" s="1">
        <v>18</v>
      </c>
      <c r="J15" s="1">
        <v>41</v>
      </c>
      <c r="K15" s="1">
        <v>48</v>
      </c>
      <c r="L15" s="1">
        <v>52</v>
      </c>
      <c r="M15" s="1">
        <v>31</v>
      </c>
      <c r="N15" s="7">
        <v>0</v>
      </c>
      <c r="O15" s="1">
        <v>44</v>
      </c>
      <c r="P15" s="1">
        <v>26</v>
      </c>
      <c r="Q15" s="1">
        <v>33</v>
      </c>
      <c r="R15" s="1">
        <v>29</v>
      </c>
      <c r="S15" s="1">
        <v>39</v>
      </c>
      <c r="T15" s="1">
        <v>43</v>
      </c>
      <c r="U15" s="1">
        <v>55</v>
      </c>
      <c r="V15" s="1">
        <v>44</v>
      </c>
      <c r="W15" s="1">
        <v>42</v>
      </c>
      <c r="X15" s="1">
        <v>19</v>
      </c>
      <c r="Y15" s="1">
        <v>38</v>
      </c>
      <c r="Z15" s="1">
        <v>32</v>
      </c>
      <c r="AA15" s="1">
        <v>47</v>
      </c>
      <c r="AB15" s="1">
        <v>48</v>
      </c>
      <c r="AC15" s="1">
        <v>56</v>
      </c>
      <c r="AD15" s="1">
        <v>20</v>
      </c>
      <c r="AE15" s="1">
        <v>5</v>
      </c>
    </row>
    <row r="16" spans="1:31" x14ac:dyDescent="0.25">
      <c r="A16" s="3" t="s">
        <v>15</v>
      </c>
      <c r="B16" s="1">
        <v>573</v>
      </c>
      <c r="C16" s="1">
        <v>43</v>
      </c>
      <c r="D16" s="1">
        <v>83</v>
      </c>
      <c r="E16" s="1">
        <v>13</v>
      </c>
      <c r="F16" s="1">
        <v>14</v>
      </c>
      <c r="G16" s="1">
        <v>7</v>
      </c>
      <c r="H16" s="1">
        <v>32</v>
      </c>
      <c r="I16" s="1">
        <v>26</v>
      </c>
      <c r="J16" s="1">
        <v>3</v>
      </c>
      <c r="K16" s="1">
        <v>4</v>
      </c>
      <c r="L16" s="1">
        <v>8</v>
      </c>
      <c r="M16" s="1">
        <v>13</v>
      </c>
      <c r="N16" s="1">
        <v>44</v>
      </c>
      <c r="O16" s="7">
        <v>0</v>
      </c>
      <c r="P16" s="1">
        <v>18</v>
      </c>
      <c r="Q16" s="1">
        <v>11</v>
      </c>
      <c r="R16" s="1">
        <v>15</v>
      </c>
      <c r="S16" s="1">
        <v>5</v>
      </c>
      <c r="T16" s="1">
        <v>87</v>
      </c>
      <c r="U16" s="1">
        <v>99</v>
      </c>
      <c r="V16" s="1">
        <v>0</v>
      </c>
      <c r="W16" s="1">
        <v>2</v>
      </c>
      <c r="X16" s="1">
        <v>25</v>
      </c>
      <c r="Y16" s="1">
        <v>6</v>
      </c>
      <c r="Z16" s="1">
        <v>12</v>
      </c>
      <c r="AA16" s="1">
        <v>3</v>
      </c>
      <c r="AB16" s="1">
        <v>4</v>
      </c>
      <c r="AC16" s="1">
        <v>12</v>
      </c>
      <c r="AD16" s="1">
        <v>24</v>
      </c>
      <c r="AE16" s="1">
        <v>39</v>
      </c>
    </row>
    <row r="17" spans="1:31" x14ac:dyDescent="0.25">
      <c r="A17" s="3" t="s">
        <v>16</v>
      </c>
      <c r="B17" s="1">
        <v>555</v>
      </c>
      <c r="C17" s="1">
        <v>25</v>
      </c>
      <c r="D17" s="1">
        <v>65</v>
      </c>
      <c r="E17" s="1">
        <v>31</v>
      </c>
      <c r="F17" s="1">
        <v>4</v>
      </c>
      <c r="G17" s="1">
        <v>25</v>
      </c>
      <c r="H17" s="1">
        <v>14</v>
      </c>
      <c r="I17" s="1">
        <v>8</v>
      </c>
      <c r="J17" s="1">
        <v>15</v>
      </c>
      <c r="K17" s="1">
        <v>22</v>
      </c>
      <c r="L17" s="1">
        <v>26</v>
      </c>
      <c r="M17" s="1">
        <v>5</v>
      </c>
      <c r="N17" s="1">
        <v>26</v>
      </c>
      <c r="O17" s="1">
        <v>18</v>
      </c>
      <c r="P17" s="7">
        <v>0</v>
      </c>
      <c r="Q17" s="1">
        <v>7</v>
      </c>
      <c r="R17" s="1">
        <v>3</v>
      </c>
      <c r="S17" s="1">
        <v>13</v>
      </c>
      <c r="T17" s="1">
        <v>69</v>
      </c>
      <c r="U17" s="1">
        <v>81</v>
      </c>
      <c r="V17" s="1">
        <v>18</v>
      </c>
      <c r="W17" s="1">
        <v>16</v>
      </c>
      <c r="X17" s="1">
        <v>7</v>
      </c>
      <c r="Y17" s="1">
        <v>12</v>
      </c>
      <c r="Z17" s="1">
        <v>6</v>
      </c>
      <c r="AA17" s="1">
        <v>21</v>
      </c>
      <c r="AB17" s="1">
        <v>22</v>
      </c>
      <c r="AC17" s="1">
        <v>30</v>
      </c>
      <c r="AD17" s="1">
        <v>6</v>
      </c>
      <c r="AE17" s="1">
        <v>21</v>
      </c>
    </row>
    <row r="18" spans="1:31" x14ac:dyDescent="0.25">
      <c r="A18" s="3" t="s">
        <v>17</v>
      </c>
      <c r="B18" s="1">
        <v>562</v>
      </c>
      <c r="C18" s="1">
        <v>32</v>
      </c>
      <c r="D18" s="1">
        <v>72</v>
      </c>
      <c r="E18" s="1">
        <v>24</v>
      </c>
      <c r="F18" s="1">
        <v>3</v>
      </c>
      <c r="G18" s="1">
        <v>18</v>
      </c>
      <c r="H18" s="1">
        <v>21</v>
      </c>
      <c r="I18" s="1">
        <v>15</v>
      </c>
      <c r="J18" s="1">
        <v>8</v>
      </c>
      <c r="K18" s="1">
        <v>15</v>
      </c>
      <c r="L18" s="1">
        <v>19</v>
      </c>
      <c r="M18" s="1">
        <v>2</v>
      </c>
      <c r="N18" s="1">
        <v>33</v>
      </c>
      <c r="O18" s="1">
        <v>11</v>
      </c>
      <c r="P18" s="1">
        <v>7</v>
      </c>
      <c r="Q18" s="7">
        <v>0</v>
      </c>
      <c r="R18" s="1">
        <v>4</v>
      </c>
      <c r="S18" s="1">
        <v>6</v>
      </c>
      <c r="T18" s="1">
        <v>76</v>
      </c>
      <c r="U18" s="1">
        <v>88</v>
      </c>
      <c r="V18" s="1">
        <v>11</v>
      </c>
      <c r="W18" s="1">
        <v>9</v>
      </c>
      <c r="X18" s="1">
        <v>14</v>
      </c>
      <c r="Y18" s="1">
        <v>5</v>
      </c>
      <c r="Z18" s="1">
        <v>1</v>
      </c>
      <c r="AA18" s="1">
        <v>14</v>
      </c>
      <c r="AB18" s="1">
        <v>15</v>
      </c>
      <c r="AC18" s="1">
        <v>23</v>
      </c>
      <c r="AD18" s="1">
        <v>13</v>
      </c>
      <c r="AE18" s="1">
        <v>28</v>
      </c>
    </row>
    <row r="19" spans="1:31" x14ac:dyDescent="0.25">
      <c r="A19" s="3" t="s">
        <v>18</v>
      </c>
      <c r="B19" s="1">
        <v>558</v>
      </c>
      <c r="C19" s="1">
        <v>28</v>
      </c>
      <c r="D19" s="1">
        <v>68</v>
      </c>
      <c r="E19" s="1">
        <v>28</v>
      </c>
      <c r="F19" s="1">
        <v>1</v>
      </c>
      <c r="G19" s="1">
        <v>22</v>
      </c>
      <c r="H19" s="1">
        <v>17</v>
      </c>
      <c r="I19" s="1">
        <v>11</v>
      </c>
      <c r="J19" s="1">
        <v>12</v>
      </c>
      <c r="K19" s="1">
        <v>19</v>
      </c>
      <c r="L19" s="1">
        <v>23</v>
      </c>
      <c r="M19" s="1">
        <v>2</v>
      </c>
      <c r="N19" s="1">
        <v>29</v>
      </c>
      <c r="O19" s="1">
        <v>15</v>
      </c>
      <c r="P19" s="1">
        <v>3</v>
      </c>
      <c r="Q19" s="1">
        <v>4</v>
      </c>
      <c r="R19" s="7">
        <v>0</v>
      </c>
      <c r="S19" s="1">
        <v>10</v>
      </c>
      <c r="T19" s="1">
        <v>72</v>
      </c>
      <c r="U19" s="1">
        <v>84</v>
      </c>
      <c r="V19" s="1">
        <v>15</v>
      </c>
      <c r="W19" s="1">
        <v>13</v>
      </c>
      <c r="X19" s="1">
        <v>10</v>
      </c>
      <c r="Y19" s="1">
        <v>9</v>
      </c>
      <c r="Z19" s="1">
        <v>3</v>
      </c>
      <c r="AA19" s="1">
        <v>18</v>
      </c>
      <c r="AB19" s="1">
        <v>19</v>
      </c>
      <c r="AC19" s="1">
        <v>27</v>
      </c>
      <c r="AD19" s="1">
        <v>9</v>
      </c>
      <c r="AE19" s="1">
        <v>24</v>
      </c>
    </row>
    <row r="20" spans="1:31" x14ac:dyDescent="0.25">
      <c r="A20" s="3" t="s">
        <v>19</v>
      </c>
      <c r="B20" s="1">
        <v>568</v>
      </c>
      <c r="C20" s="1">
        <v>38</v>
      </c>
      <c r="D20" s="1">
        <v>78</v>
      </c>
      <c r="E20" s="1">
        <v>18</v>
      </c>
      <c r="F20" s="1">
        <v>9</v>
      </c>
      <c r="G20" s="1">
        <v>12</v>
      </c>
      <c r="H20" s="1">
        <v>27</v>
      </c>
      <c r="I20" s="1">
        <v>21</v>
      </c>
      <c r="J20" s="1">
        <v>2</v>
      </c>
      <c r="K20" s="1">
        <v>9</v>
      </c>
      <c r="L20" s="1">
        <v>13</v>
      </c>
      <c r="M20" s="1">
        <v>8</v>
      </c>
      <c r="N20" s="1">
        <v>39</v>
      </c>
      <c r="O20" s="1">
        <v>5</v>
      </c>
      <c r="P20" s="1">
        <v>13</v>
      </c>
      <c r="Q20" s="1">
        <v>6</v>
      </c>
      <c r="R20" s="1">
        <v>10</v>
      </c>
      <c r="S20" s="7">
        <v>0</v>
      </c>
      <c r="T20" s="1">
        <v>82</v>
      </c>
      <c r="U20" s="1">
        <v>94</v>
      </c>
      <c r="V20" s="1">
        <v>5</v>
      </c>
      <c r="W20" s="1">
        <v>3</v>
      </c>
      <c r="X20" s="1">
        <v>20</v>
      </c>
      <c r="Y20" s="1">
        <v>1</v>
      </c>
      <c r="Z20" s="1">
        <v>7</v>
      </c>
      <c r="AA20" s="1">
        <v>8</v>
      </c>
      <c r="AB20" s="1">
        <v>9</v>
      </c>
      <c r="AC20" s="1">
        <v>17</v>
      </c>
      <c r="AD20" s="1">
        <v>19</v>
      </c>
      <c r="AE20" s="1">
        <v>34</v>
      </c>
    </row>
    <row r="21" spans="1:31" x14ac:dyDescent="0.25">
      <c r="A21" s="3" t="s">
        <v>20</v>
      </c>
      <c r="B21" s="1">
        <v>486</v>
      </c>
      <c r="C21" s="1">
        <v>44</v>
      </c>
      <c r="D21" s="1">
        <v>4</v>
      </c>
      <c r="E21" s="1">
        <v>100</v>
      </c>
      <c r="F21" s="1">
        <v>73</v>
      </c>
      <c r="G21" s="1">
        <v>94</v>
      </c>
      <c r="H21" s="1">
        <v>55</v>
      </c>
      <c r="I21" s="1">
        <v>61</v>
      </c>
      <c r="J21" s="1">
        <v>84</v>
      </c>
      <c r="K21" s="1">
        <v>91</v>
      </c>
      <c r="L21" s="1">
        <v>95</v>
      </c>
      <c r="M21" s="1">
        <v>74</v>
      </c>
      <c r="N21" s="1">
        <v>43</v>
      </c>
      <c r="O21" s="1">
        <v>87</v>
      </c>
      <c r="P21" s="1">
        <v>69</v>
      </c>
      <c r="Q21" s="1">
        <v>76</v>
      </c>
      <c r="R21" s="1">
        <v>72</v>
      </c>
      <c r="S21" s="1">
        <v>82</v>
      </c>
      <c r="T21" s="7">
        <v>0</v>
      </c>
      <c r="U21" s="1">
        <v>12</v>
      </c>
      <c r="V21" s="1">
        <v>87</v>
      </c>
      <c r="W21" s="1">
        <v>85</v>
      </c>
      <c r="X21" s="1">
        <v>62</v>
      </c>
      <c r="Y21" s="1">
        <v>81</v>
      </c>
      <c r="Z21" s="1">
        <v>75</v>
      </c>
      <c r="AA21" s="1">
        <v>90</v>
      </c>
      <c r="AB21" s="1">
        <v>91</v>
      </c>
      <c r="AC21" s="1">
        <v>99</v>
      </c>
      <c r="AD21" s="1">
        <v>63</v>
      </c>
      <c r="AE21" s="1">
        <v>48</v>
      </c>
    </row>
    <row r="22" spans="1:31" x14ac:dyDescent="0.25">
      <c r="A22" s="3" t="s">
        <v>21</v>
      </c>
      <c r="B22" s="1">
        <v>474</v>
      </c>
      <c r="C22" s="1">
        <v>56</v>
      </c>
      <c r="D22" s="1">
        <v>16</v>
      </c>
      <c r="E22" s="1">
        <v>112</v>
      </c>
      <c r="F22" s="1">
        <v>85</v>
      </c>
      <c r="G22" s="1">
        <v>106</v>
      </c>
      <c r="H22" s="1">
        <v>67</v>
      </c>
      <c r="I22" s="1">
        <v>73</v>
      </c>
      <c r="J22" s="1">
        <v>96</v>
      </c>
      <c r="K22" s="1">
        <v>103</v>
      </c>
      <c r="L22" s="1">
        <v>107</v>
      </c>
      <c r="M22" s="1">
        <v>86</v>
      </c>
      <c r="N22" s="1">
        <v>55</v>
      </c>
      <c r="O22" s="1">
        <v>99</v>
      </c>
      <c r="P22" s="1">
        <v>81</v>
      </c>
      <c r="Q22" s="1">
        <v>88</v>
      </c>
      <c r="R22" s="1">
        <v>84</v>
      </c>
      <c r="S22" s="1">
        <v>94</v>
      </c>
      <c r="T22" s="1">
        <v>12</v>
      </c>
      <c r="U22" s="7">
        <v>0</v>
      </c>
      <c r="V22" s="1">
        <v>99</v>
      </c>
      <c r="W22" s="1">
        <v>97</v>
      </c>
      <c r="X22" s="1">
        <v>74</v>
      </c>
      <c r="Y22" s="1">
        <v>93</v>
      </c>
      <c r="Z22" s="1">
        <v>87</v>
      </c>
      <c r="AA22" s="1">
        <v>102</v>
      </c>
      <c r="AB22" s="1">
        <v>103</v>
      </c>
      <c r="AC22" s="1">
        <v>111</v>
      </c>
      <c r="AD22" s="1">
        <v>75</v>
      </c>
      <c r="AE22" s="1">
        <v>60</v>
      </c>
    </row>
    <row r="23" spans="1:31" x14ac:dyDescent="0.25">
      <c r="A23" s="3" t="s">
        <v>22</v>
      </c>
      <c r="B23" s="1">
        <v>573</v>
      </c>
      <c r="C23" s="1">
        <v>43</v>
      </c>
      <c r="D23" s="1">
        <v>83</v>
      </c>
      <c r="E23" s="1">
        <v>13</v>
      </c>
      <c r="F23" s="1">
        <v>14</v>
      </c>
      <c r="G23" s="1">
        <v>7</v>
      </c>
      <c r="H23" s="1">
        <v>32</v>
      </c>
      <c r="I23" s="1">
        <v>26</v>
      </c>
      <c r="J23" s="1">
        <v>3</v>
      </c>
      <c r="K23" s="1">
        <v>4</v>
      </c>
      <c r="L23" s="1">
        <v>8</v>
      </c>
      <c r="M23" s="1">
        <v>13</v>
      </c>
      <c r="N23" s="1">
        <v>44</v>
      </c>
      <c r="O23" s="1">
        <v>0</v>
      </c>
      <c r="P23" s="1">
        <v>18</v>
      </c>
      <c r="Q23" s="1">
        <v>11</v>
      </c>
      <c r="R23" s="1">
        <v>15</v>
      </c>
      <c r="S23" s="1">
        <v>5</v>
      </c>
      <c r="T23" s="1">
        <v>87</v>
      </c>
      <c r="U23" s="1">
        <v>99</v>
      </c>
      <c r="V23" s="7">
        <v>0</v>
      </c>
      <c r="W23" s="1">
        <v>2</v>
      </c>
      <c r="X23" s="1">
        <v>25</v>
      </c>
      <c r="Y23" s="1">
        <v>6</v>
      </c>
      <c r="Z23" s="1">
        <v>12</v>
      </c>
      <c r="AA23" s="1">
        <v>3</v>
      </c>
      <c r="AB23" s="1">
        <v>4</v>
      </c>
      <c r="AC23" s="1">
        <v>12</v>
      </c>
      <c r="AD23" s="1">
        <v>24</v>
      </c>
      <c r="AE23" s="1">
        <v>39</v>
      </c>
    </row>
    <row r="24" spans="1:31" x14ac:dyDescent="0.25">
      <c r="A24" s="3" t="s">
        <v>23</v>
      </c>
      <c r="B24" s="1">
        <v>571</v>
      </c>
      <c r="C24" s="1">
        <v>41</v>
      </c>
      <c r="D24" s="1">
        <v>81</v>
      </c>
      <c r="E24" s="1">
        <v>15</v>
      </c>
      <c r="F24" s="1">
        <v>12</v>
      </c>
      <c r="G24" s="1">
        <v>9</v>
      </c>
      <c r="H24" s="1">
        <v>30</v>
      </c>
      <c r="I24" s="1">
        <v>24</v>
      </c>
      <c r="J24" s="1">
        <v>1</v>
      </c>
      <c r="K24" s="1">
        <v>6</v>
      </c>
      <c r="L24" s="1">
        <v>10</v>
      </c>
      <c r="M24" s="1">
        <v>11</v>
      </c>
      <c r="N24" s="1">
        <v>42</v>
      </c>
      <c r="O24" s="1">
        <v>2</v>
      </c>
      <c r="P24" s="1">
        <v>16</v>
      </c>
      <c r="Q24" s="1">
        <v>9</v>
      </c>
      <c r="R24" s="1">
        <v>13</v>
      </c>
      <c r="S24" s="1">
        <v>3</v>
      </c>
      <c r="T24" s="1">
        <v>85</v>
      </c>
      <c r="U24" s="1">
        <v>97</v>
      </c>
      <c r="V24" s="1">
        <v>2</v>
      </c>
      <c r="W24" s="7">
        <v>0</v>
      </c>
      <c r="X24" s="1">
        <v>23</v>
      </c>
      <c r="Y24" s="1">
        <v>4</v>
      </c>
      <c r="Z24" s="1">
        <v>10</v>
      </c>
      <c r="AA24" s="1">
        <v>5</v>
      </c>
      <c r="AB24" s="1">
        <v>6</v>
      </c>
      <c r="AC24" s="1">
        <v>14</v>
      </c>
      <c r="AD24" s="1">
        <v>22</v>
      </c>
      <c r="AE24" s="1">
        <v>37</v>
      </c>
    </row>
    <row r="25" spans="1:31" x14ac:dyDescent="0.25">
      <c r="A25" s="3" t="s">
        <v>24</v>
      </c>
      <c r="B25" s="1">
        <v>548</v>
      </c>
      <c r="C25" s="1">
        <v>18</v>
      </c>
      <c r="D25" s="1">
        <v>58</v>
      </c>
      <c r="E25" s="1">
        <v>38</v>
      </c>
      <c r="F25" s="1">
        <v>11</v>
      </c>
      <c r="G25" s="1">
        <v>32</v>
      </c>
      <c r="H25" s="1">
        <v>7</v>
      </c>
      <c r="I25" s="1">
        <v>1</v>
      </c>
      <c r="J25" s="1">
        <v>22</v>
      </c>
      <c r="K25" s="1">
        <v>29</v>
      </c>
      <c r="L25" s="1">
        <v>33</v>
      </c>
      <c r="M25" s="1">
        <v>12</v>
      </c>
      <c r="N25" s="1">
        <v>19</v>
      </c>
      <c r="O25" s="1">
        <v>25</v>
      </c>
      <c r="P25" s="1">
        <v>7</v>
      </c>
      <c r="Q25" s="1">
        <v>14</v>
      </c>
      <c r="R25" s="1">
        <v>10</v>
      </c>
      <c r="S25" s="1">
        <v>20</v>
      </c>
      <c r="T25" s="1">
        <v>62</v>
      </c>
      <c r="U25" s="1">
        <v>74</v>
      </c>
      <c r="V25" s="1">
        <v>25</v>
      </c>
      <c r="W25" s="1">
        <v>23</v>
      </c>
      <c r="X25" s="7">
        <v>0</v>
      </c>
      <c r="Y25" s="1">
        <v>19</v>
      </c>
      <c r="Z25" s="1">
        <v>13</v>
      </c>
      <c r="AA25" s="1">
        <v>28</v>
      </c>
      <c r="AB25" s="1">
        <v>29</v>
      </c>
      <c r="AC25" s="1">
        <v>37</v>
      </c>
      <c r="AD25" s="1">
        <v>1</v>
      </c>
      <c r="AE25" s="1">
        <v>14</v>
      </c>
    </row>
    <row r="26" spans="1:31" x14ac:dyDescent="0.25">
      <c r="A26" s="3" t="s">
        <v>25</v>
      </c>
      <c r="B26" s="1">
        <v>567</v>
      </c>
      <c r="C26" s="1">
        <v>37</v>
      </c>
      <c r="D26" s="1">
        <v>77</v>
      </c>
      <c r="E26" s="1">
        <v>19</v>
      </c>
      <c r="F26" s="1">
        <v>8</v>
      </c>
      <c r="G26" s="1">
        <v>13</v>
      </c>
      <c r="H26" s="1">
        <v>26</v>
      </c>
      <c r="I26" s="1">
        <v>20</v>
      </c>
      <c r="J26" s="1">
        <v>3</v>
      </c>
      <c r="K26" s="1">
        <v>10</v>
      </c>
      <c r="L26" s="1">
        <v>14</v>
      </c>
      <c r="M26" s="1">
        <v>7</v>
      </c>
      <c r="N26" s="1">
        <v>38</v>
      </c>
      <c r="O26" s="1">
        <v>6</v>
      </c>
      <c r="P26" s="1">
        <v>12</v>
      </c>
      <c r="Q26" s="1">
        <v>5</v>
      </c>
      <c r="R26" s="1">
        <v>9</v>
      </c>
      <c r="S26" s="1">
        <v>1</v>
      </c>
      <c r="T26" s="1">
        <v>81</v>
      </c>
      <c r="U26" s="1">
        <v>93</v>
      </c>
      <c r="V26" s="1">
        <v>6</v>
      </c>
      <c r="W26" s="1">
        <v>4</v>
      </c>
      <c r="X26" s="1">
        <v>19</v>
      </c>
      <c r="Y26" s="7">
        <v>0</v>
      </c>
      <c r="Z26" s="1">
        <v>6</v>
      </c>
      <c r="AA26" s="1">
        <v>9</v>
      </c>
      <c r="AB26" s="1">
        <v>10</v>
      </c>
      <c r="AC26" s="1">
        <v>18</v>
      </c>
      <c r="AD26" s="1">
        <v>18</v>
      </c>
      <c r="AE26" s="1">
        <v>33</v>
      </c>
    </row>
    <row r="27" spans="1:31" x14ac:dyDescent="0.25">
      <c r="A27" s="3" t="s">
        <v>26</v>
      </c>
      <c r="B27" s="1">
        <v>561</v>
      </c>
      <c r="C27" s="1">
        <v>31</v>
      </c>
      <c r="D27" s="1">
        <v>71</v>
      </c>
      <c r="E27" s="1">
        <v>25</v>
      </c>
      <c r="F27" s="1">
        <v>2</v>
      </c>
      <c r="G27" s="1">
        <v>19</v>
      </c>
      <c r="H27" s="1">
        <v>20</v>
      </c>
      <c r="I27" s="1">
        <v>14</v>
      </c>
      <c r="J27" s="1">
        <v>9</v>
      </c>
      <c r="K27" s="1">
        <v>16</v>
      </c>
      <c r="L27" s="1">
        <v>20</v>
      </c>
      <c r="M27" s="1">
        <v>1</v>
      </c>
      <c r="N27" s="1">
        <v>32</v>
      </c>
      <c r="O27" s="1">
        <v>12</v>
      </c>
      <c r="P27" s="1">
        <v>6</v>
      </c>
      <c r="Q27" s="1">
        <v>1</v>
      </c>
      <c r="R27" s="1">
        <v>3</v>
      </c>
      <c r="S27" s="1">
        <v>7</v>
      </c>
      <c r="T27" s="1">
        <v>75</v>
      </c>
      <c r="U27" s="1">
        <v>87</v>
      </c>
      <c r="V27" s="1">
        <v>12</v>
      </c>
      <c r="W27" s="1">
        <v>10</v>
      </c>
      <c r="X27" s="1">
        <v>13</v>
      </c>
      <c r="Y27" s="1">
        <v>6</v>
      </c>
      <c r="Z27" s="7">
        <v>0</v>
      </c>
      <c r="AA27" s="1">
        <v>15</v>
      </c>
      <c r="AB27" s="1">
        <v>16</v>
      </c>
      <c r="AC27" s="1">
        <v>24</v>
      </c>
      <c r="AD27" s="1">
        <v>12</v>
      </c>
      <c r="AE27" s="1">
        <v>27</v>
      </c>
    </row>
    <row r="28" spans="1:31" x14ac:dyDescent="0.25">
      <c r="A28" s="3" t="s">
        <v>27</v>
      </c>
      <c r="B28" s="1">
        <v>576</v>
      </c>
      <c r="C28" s="1">
        <v>46</v>
      </c>
      <c r="D28" s="1">
        <v>86</v>
      </c>
      <c r="E28" s="1">
        <v>10</v>
      </c>
      <c r="F28" s="1">
        <v>17</v>
      </c>
      <c r="G28" s="1">
        <v>4</v>
      </c>
      <c r="H28" s="1">
        <v>35</v>
      </c>
      <c r="I28" s="1">
        <v>29</v>
      </c>
      <c r="J28" s="1">
        <v>6</v>
      </c>
      <c r="K28" s="1">
        <v>1</v>
      </c>
      <c r="L28" s="1">
        <v>5</v>
      </c>
      <c r="M28" s="1">
        <v>16</v>
      </c>
      <c r="N28" s="1">
        <v>47</v>
      </c>
      <c r="O28" s="1">
        <v>3</v>
      </c>
      <c r="P28" s="1">
        <v>21</v>
      </c>
      <c r="Q28" s="1">
        <v>14</v>
      </c>
      <c r="R28" s="1">
        <v>18</v>
      </c>
      <c r="S28" s="1">
        <v>8</v>
      </c>
      <c r="T28" s="1">
        <v>90</v>
      </c>
      <c r="U28" s="1">
        <v>102</v>
      </c>
      <c r="V28" s="1">
        <v>3</v>
      </c>
      <c r="W28" s="1">
        <v>5</v>
      </c>
      <c r="X28" s="1">
        <v>28</v>
      </c>
      <c r="Y28" s="1">
        <v>9</v>
      </c>
      <c r="Z28" s="1">
        <v>15</v>
      </c>
      <c r="AA28" s="7">
        <v>0</v>
      </c>
      <c r="AB28" s="1">
        <v>1</v>
      </c>
      <c r="AC28" s="1">
        <v>9</v>
      </c>
      <c r="AD28" s="1">
        <v>27</v>
      </c>
      <c r="AE28" s="1">
        <v>42</v>
      </c>
    </row>
    <row r="29" spans="1:31" x14ac:dyDescent="0.25">
      <c r="A29" s="3" t="s">
        <v>28</v>
      </c>
      <c r="B29" s="1">
        <v>577</v>
      </c>
      <c r="C29" s="1">
        <v>47</v>
      </c>
      <c r="D29" s="1">
        <v>87</v>
      </c>
      <c r="E29" s="1">
        <v>9</v>
      </c>
      <c r="F29" s="1">
        <v>18</v>
      </c>
      <c r="G29" s="1">
        <v>3</v>
      </c>
      <c r="H29" s="1">
        <v>36</v>
      </c>
      <c r="I29" s="1">
        <v>30</v>
      </c>
      <c r="J29" s="1">
        <v>7</v>
      </c>
      <c r="K29" s="1">
        <v>0</v>
      </c>
      <c r="L29" s="1">
        <v>4</v>
      </c>
      <c r="M29" s="1">
        <v>17</v>
      </c>
      <c r="N29" s="1">
        <v>48</v>
      </c>
      <c r="O29" s="1">
        <v>4</v>
      </c>
      <c r="P29" s="1">
        <v>22</v>
      </c>
      <c r="Q29" s="1">
        <v>15</v>
      </c>
      <c r="R29" s="1">
        <v>19</v>
      </c>
      <c r="S29" s="1">
        <v>9</v>
      </c>
      <c r="T29" s="1">
        <v>91</v>
      </c>
      <c r="U29" s="1">
        <v>103</v>
      </c>
      <c r="V29" s="1">
        <v>4</v>
      </c>
      <c r="W29" s="1">
        <v>6</v>
      </c>
      <c r="X29" s="1">
        <v>29</v>
      </c>
      <c r="Y29" s="1">
        <v>10</v>
      </c>
      <c r="Z29" s="1">
        <v>16</v>
      </c>
      <c r="AA29" s="1">
        <v>1</v>
      </c>
      <c r="AB29" s="7">
        <v>0</v>
      </c>
      <c r="AC29" s="1">
        <v>8</v>
      </c>
      <c r="AD29" s="1">
        <v>28</v>
      </c>
      <c r="AE29" s="1">
        <v>43</v>
      </c>
    </row>
    <row r="30" spans="1:31" x14ac:dyDescent="0.25">
      <c r="A30" s="3" t="s">
        <v>29</v>
      </c>
      <c r="B30" s="1">
        <v>585</v>
      </c>
      <c r="C30" s="1">
        <v>55</v>
      </c>
      <c r="D30" s="1">
        <v>95</v>
      </c>
      <c r="E30" s="1">
        <v>1</v>
      </c>
      <c r="F30" s="1">
        <v>26</v>
      </c>
      <c r="G30" s="1">
        <v>5</v>
      </c>
      <c r="H30" s="1">
        <v>44</v>
      </c>
      <c r="I30" s="1">
        <v>38</v>
      </c>
      <c r="J30" s="1">
        <v>15</v>
      </c>
      <c r="K30" s="1">
        <v>8</v>
      </c>
      <c r="L30" s="1">
        <v>4</v>
      </c>
      <c r="M30" s="1">
        <v>25</v>
      </c>
      <c r="N30" s="1">
        <v>56</v>
      </c>
      <c r="O30" s="1">
        <v>12</v>
      </c>
      <c r="P30" s="1">
        <v>30</v>
      </c>
      <c r="Q30" s="1">
        <v>23</v>
      </c>
      <c r="R30" s="1">
        <v>27</v>
      </c>
      <c r="S30" s="1">
        <v>17</v>
      </c>
      <c r="T30" s="1">
        <v>99</v>
      </c>
      <c r="U30" s="1">
        <v>111</v>
      </c>
      <c r="V30" s="1">
        <v>12</v>
      </c>
      <c r="W30" s="1">
        <v>14</v>
      </c>
      <c r="X30" s="1">
        <v>37</v>
      </c>
      <c r="Y30" s="1">
        <v>18</v>
      </c>
      <c r="Z30" s="1">
        <v>24</v>
      </c>
      <c r="AA30" s="1">
        <v>9</v>
      </c>
      <c r="AB30" s="1">
        <v>8</v>
      </c>
      <c r="AC30" s="7">
        <v>0</v>
      </c>
      <c r="AD30" s="1">
        <v>36</v>
      </c>
      <c r="AE30" s="1">
        <v>51</v>
      </c>
    </row>
    <row r="31" spans="1:31" x14ac:dyDescent="0.25">
      <c r="A31" s="3" t="s">
        <v>30</v>
      </c>
      <c r="B31" s="1">
        <v>549</v>
      </c>
      <c r="C31" s="1">
        <v>19</v>
      </c>
      <c r="D31" s="1">
        <v>59</v>
      </c>
      <c r="E31" s="1">
        <v>37</v>
      </c>
      <c r="F31" s="1">
        <v>10</v>
      </c>
      <c r="G31" s="1">
        <v>31</v>
      </c>
      <c r="H31" s="1">
        <v>8</v>
      </c>
      <c r="I31" s="1">
        <v>2</v>
      </c>
      <c r="J31" s="1">
        <v>21</v>
      </c>
      <c r="K31" s="1">
        <v>28</v>
      </c>
      <c r="L31" s="1">
        <v>32</v>
      </c>
      <c r="M31" s="1">
        <v>11</v>
      </c>
      <c r="N31" s="1">
        <v>20</v>
      </c>
      <c r="O31" s="1">
        <v>24</v>
      </c>
      <c r="P31" s="1">
        <v>6</v>
      </c>
      <c r="Q31" s="1">
        <v>13</v>
      </c>
      <c r="R31" s="1">
        <v>9</v>
      </c>
      <c r="S31" s="1">
        <v>19</v>
      </c>
      <c r="T31" s="1">
        <v>63</v>
      </c>
      <c r="U31" s="1">
        <v>75</v>
      </c>
      <c r="V31" s="1">
        <v>24</v>
      </c>
      <c r="W31" s="1">
        <v>22</v>
      </c>
      <c r="X31" s="1">
        <v>1</v>
      </c>
      <c r="Y31" s="1">
        <v>18</v>
      </c>
      <c r="Z31" s="1">
        <v>12</v>
      </c>
      <c r="AA31" s="1">
        <v>27</v>
      </c>
      <c r="AB31" s="1">
        <v>28</v>
      </c>
      <c r="AC31" s="1">
        <v>36</v>
      </c>
      <c r="AD31" s="7">
        <v>0</v>
      </c>
      <c r="AE31" s="1">
        <v>15</v>
      </c>
    </row>
    <row r="32" spans="1:31" x14ac:dyDescent="0.25">
      <c r="A32" s="3" t="s">
        <v>31</v>
      </c>
      <c r="B32" s="1">
        <v>534</v>
      </c>
      <c r="C32" s="1">
        <v>4</v>
      </c>
      <c r="D32" s="1">
        <v>44</v>
      </c>
      <c r="E32" s="1">
        <v>52</v>
      </c>
      <c r="F32" s="1">
        <v>25</v>
      </c>
      <c r="G32" s="1">
        <v>46</v>
      </c>
      <c r="H32" s="1">
        <v>7</v>
      </c>
      <c r="I32" s="1">
        <v>13</v>
      </c>
      <c r="J32" s="1">
        <v>36</v>
      </c>
      <c r="K32" s="1">
        <v>43</v>
      </c>
      <c r="L32" s="1">
        <v>47</v>
      </c>
      <c r="M32" s="1">
        <v>26</v>
      </c>
      <c r="N32" s="1">
        <v>5</v>
      </c>
      <c r="O32" s="1">
        <v>39</v>
      </c>
      <c r="P32" s="1">
        <v>21</v>
      </c>
      <c r="Q32" s="1">
        <v>28</v>
      </c>
      <c r="R32" s="1">
        <v>24</v>
      </c>
      <c r="S32" s="1">
        <v>34</v>
      </c>
      <c r="T32" s="1">
        <v>48</v>
      </c>
      <c r="U32" s="1">
        <v>60</v>
      </c>
      <c r="V32" s="1">
        <v>39</v>
      </c>
      <c r="W32" s="1">
        <v>37</v>
      </c>
      <c r="X32" s="1">
        <v>14</v>
      </c>
      <c r="Y32" s="1">
        <v>33</v>
      </c>
      <c r="Z32" s="1">
        <v>27</v>
      </c>
      <c r="AA32" s="1">
        <v>42</v>
      </c>
      <c r="AB32" s="1">
        <v>43</v>
      </c>
      <c r="AC32" s="1">
        <v>51</v>
      </c>
      <c r="AD32" s="1">
        <v>15</v>
      </c>
      <c r="AE32" s="7">
        <v>0</v>
      </c>
    </row>
    <row r="35" spans="1:31" x14ac:dyDescent="0.25">
      <c r="C35" s="1" t="s">
        <v>34</v>
      </c>
      <c r="D35" s="1">
        <f>SUM(B3:AE32)/870</f>
        <v>65.418390804597706</v>
      </c>
    </row>
    <row r="36" spans="1:31" x14ac:dyDescent="0.25"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  <c r="U36" s="3" t="s">
        <v>21</v>
      </c>
      <c r="V36" s="3" t="s">
        <v>22</v>
      </c>
      <c r="W36" s="3" t="s">
        <v>23</v>
      </c>
      <c r="X36" s="3" t="s">
        <v>24</v>
      </c>
      <c r="Y36" s="3" t="s">
        <v>25</v>
      </c>
      <c r="Z36" s="3" t="s">
        <v>26</v>
      </c>
      <c r="AA36" s="3" t="s">
        <v>27</v>
      </c>
      <c r="AB36" s="3" t="s">
        <v>28</v>
      </c>
      <c r="AC36" s="3" t="s">
        <v>29</v>
      </c>
      <c r="AD36" s="3" t="s">
        <v>30</v>
      </c>
      <c r="AE36" s="3" t="s">
        <v>31</v>
      </c>
    </row>
    <row r="37" spans="1:31" x14ac:dyDescent="0.25">
      <c r="A37" s="3" t="s">
        <v>2</v>
      </c>
      <c r="B37" s="1">
        <f>IF(B3&gt;$D$35,1,0)</f>
        <v>0</v>
      </c>
      <c r="C37" s="1">
        <f t="shared" ref="C37:AE37" si="0">IF(C3&gt;$D$35,1,0)</f>
        <v>1</v>
      </c>
      <c r="D37" s="1">
        <f t="shared" si="0"/>
        <v>1</v>
      </c>
      <c r="E37" s="1">
        <f t="shared" si="0"/>
        <v>1</v>
      </c>
      <c r="F37" s="1">
        <f t="shared" si="0"/>
        <v>1</v>
      </c>
      <c r="G37" s="1">
        <f t="shared" si="0"/>
        <v>1</v>
      </c>
      <c r="H37" s="1">
        <f t="shared" si="0"/>
        <v>1</v>
      </c>
      <c r="I37" s="1">
        <f t="shared" si="0"/>
        <v>1</v>
      </c>
      <c r="J37" s="1">
        <f t="shared" si="0"/>
        <v>1</v>
      </c>
      <c r="K37" s="1">
        <f t="shared" si="0"/>
        <v>1</v>
      </c>
      <c r="L37" s="1">
        <f t="shared" si="0"/>
        <v>1</v>
      </c>
      <c r="M37" s="1">
        <f t="shared" si="0"/>
        <v>1</v>
      </c>
      <c r="N37" s="1">
        <f t="shared" si="0"/>
        <v>1</v>
      </c>
      <c r="O37" s="1">
        <f t="shared" si="0"/>
        <v>1</v>
      </c>
      <c r="P37" s="1">
        <f t="shared" si="0"/>
        <v>1</v>
      </c>
      <c r="Q37" s="1">
        <f t="shared" si="0"/>
        <v>1</v>
      </c>
      <c r="R37" s="1">
        <f t="shared" si="0"/>
        <v>1</v>
      </c>
      <c r="S37" s="1">
        <f t="shared" si="0"/>
        <v>1</v>
      </c>
      <c r="T37" s="1">
        <f t="shared" si="0"/>
        <v>1</v>
      </c>
      <c r="U37" s="1">
        <f t="shared" si="0"/>
        <v>1</v>
      </c>
      <c r="V37" s="1">
        <f t="shared" si="0"/>
        <v>1</v>
      </c>
      <c r="W37" s="1">
        <f t="shared" si="0"/>
        <v>1</v>
      </c>
      <c r="X37" s="1">
        <f t="shared" si="0"/>
        <v>1</v>
      </c>
      <c r="Y37" s="1">
        <f t="shared" si="0"/>
        <v>1</v>
      </c>
      <c r="Z37" s="1">
        <f t="shared" si="0"/>
        <v>1</v>
      </c>
      <c r="AA37" s="1">
        <f t="shared" si="0"/>
        <v>1</v>
      </c>
      <c r="AB37" s="1">
        <f t="shared" si="0"/>
        <v>1</v>
      </c>
      <c r="AC37" s="1">
        <f t="shared" si="0"/>
        <v>1</v>
      </c>
      <c r="AD37" s="1">
        <f t="shared" si="0"/>
        <v>1</v>
      </c>
      <c r="AE37" s="1">
        <f t="shared" si="0"/>
        <v>1</v>
      </c>
    </row>
    <row r="38" spans="1:31" x14ac:dyDescent="0.25">
      <c r="A38" s="3" t="s">
        <v>3</v>
      </c>
      <c r="B38" s="1">
        <f t="shared" ref="B38:B42" si="1">IF(B4&gt;$D$35,1,0)</f>
        <v>1</v>
      </c>
      <c r="C38" s="1">
        <f t="shared" ref="C38:AE38" si="2">IF(C4&gt;$D$35,1,0)</f>
        <v>0</v>
      </c>
      <c r="D38" s="1">
        <f t="shared" si="2"/>
        <v>0</v>
      </c>
      <c r="E38" s="1">
        <f t="shared" si="2"/>
        <v>0</v>
      </c>
      <c r="F38" s="1">
        <f t="shared" si="2"/>
        <v>0</v>
      </c>
      <c r="G38" s="1">
        <f t="shared" si="2"/>
        <v>0</v>
      </c>
      <c r="H38" s="1">
        <f t="shared" si="2"/>
        <v>0</v>
      </c>
      <c r="I38" s="1">
        <f t="shared" si="2"/>
        <v>0</v>
      </c>
      <c r="J38" s="1">
        <f t="shared" si="2"/>
        <v>0</v>
      </c>
      <c r="K38" s="1">
        <f t="shared" si="2"/>
        <v>0</v>
      </c>
      <c r="L38" s="1">
        <f t="shared" si="2"/>
        <v>0</v>
      </c>
      <c r="M38" s="1">
        <f t="shared" si="2"/>
        <v>0</v>
      </c>
      <c r="N38" s="1">
        <f t="shared" si="2"/>
        <v>0</v>
      </c>
      <c r="O38" s="1">
        <f t="shared" si="2"/>
        <v>0</v>
      </c>
      <c r="P38" s="1">
        <f t="shared" si="2"/>
        <v>0</v>
      </c>
      <c r="Q38" s="1">
        <f t="shared" si="2"/>
        <v>0</v>
      </c>
      <c r="R38" s="1">
        <f t="shared" si="2"/>
        <v>0</v>
      </c>
      <c r="S38" s="1">
        <f t="shared" si="2"/>
        <v>0</v>
      </c>
      <c r="T38" s="1">
        <f t="shared" si="2"/>
        <v>0</v>
      </c>
      <c r="U38" s="1">
        <f t="shared" si="2"/>
        <v>0</v>
      </c>
      <c r="V38" s="1">
        <f t="shared" si="2"/>
        <v>0</v>
      </c>
      <c r="W38" s="1">
        <f t="shared" si="2"/>
        <v>0</v>
      </c>
      <c r="X38" s="1">
        <f t="shared" si="2"/>
        <v>0</v>
      </c>
      <c r="Y38" s="1">
        <f t="shared" si="2"/>
        <v>0</v>
      </c>
      <c r="Z38" s="1">
        <f t="shared" si="2"/>
        <v>0</v>
      </c>
      <c r="AA38" s="1">
        <f t="shared" si="2"/>
        <v>0</v>
      </c>
      <c r="AB38" s="1">
        <f t="shared" si="2"/>
        <v>0</v>
      </c>
      <c r="AC38" s="1">
        <f t="shared" si="2"/>
        <v>0</v>
      </c>
      <c r="AD38" s="1">
        <f t="shared" si="2"/>
        <v>0</v>
      </c>
      <c r="AE38" s="1">
        <f t="shared" si="2"/>
        <v>0</v>
      </c>
    </row>
    <row r="39" spans="1:31" x14ac:dyDescent="0.25">
      <c r="A39" s="3" t="s">
        <v>4</v>
      </c>
      <c r="B39" s="1">
        <f t="shared" si="1"/>
        <v>1</v>
      </c>
      <c r="C39" s="1">
        <f t="shared" ref="C39:AE39" si="3">IF(C5&gt;$D$35,1,0)</f>
        <v>0</v>
      </c>
      <c r="D39" s="1">
        <f t="shared" si="3"/>
        <v>0</v>
      </c>
      <c r="E39" s="1">
        <f t="shared" si="3"/>
        <v>1</v>
      </c>
      <c r="F39" s="1">
        <f t="shared" si="3"/>
        <v>1</v>
      </c>
      <c r="G39" s="1">
        <f t="shared" si="3"/>
        <v>1</v>
      </c>
      <c r="H39" s="1">
        <f t="shared" si="3"/>
        <v>0</v>
      </c>
      <c r="I39" s="1">
        <f t="shared" si="3"/>
        <v>0</v>
      </c>
      <c r="J39" s="1">
        <f t="shared" si="3"/>
        <v>1</v>
      </c>
      <c r="K39" s="1">
        <f t="shared" si="3"/>
        <v>1</v>
      </c>
      <c r="L39" s="1">
        <f t="shared" si="3"/>
        <v>1</v>
      </c>
      <c r="M39" s="1">
        <f t="shared" si="3"/>
        <v>1</v>
      </c>
      <c r="N39" s="1">
        <f t="shared" si="3"/>
        <v>0</v>
      </c>
      <c r="O39" s="1">
        <f t="shared" si="3"/>
        <v>1</v>
      </c>
      <c r="P39" s="1">
        <f t="shared" si="3"/>
        <v>0</v>
      </c>
      <c r="Q39" s="1">
        <f t="shared" si="3"/>
        <v>1</v>
      </c>
      <c r="R39" s="1">
        <f t="shared" si="3"/>
        <v>1</v>
      </c>
      <c r="S39" s="1">
        <f t="shared" si="3"/>
        <v>1</v>
      </c>
      <c r="T39" s="1">
        <f t="shared" si="3"/>
        <v>0</v>
      </c>
      <c r="U39" s="1">
        <f t="shared" si="3"/>
        <v>0</v>
      </c>
      <c r="V39" s="1">
        <f t="shared" si="3"/>
        <v>1</v>
      </c>
      <c r="W39" s="1">
        <f t="shared" si="3"/>
        <v>1</v>
      </c>
      <c r="X39" s="1">
        <f t="shared" si="3"/>
        <v>0</v>
      </c>
      <c r="Y39" s="1">
        <f t="shared" si="3"/>
        <v>1</v>
      </c>
      <c r="Z39" s="1">
        <f t="shared" si="3"/>
        <v>1</v>
      </c>
      <c r="AA39" s="1">
        <f t="shared" si="3"/>
        <v>1</v>
      </c>
      <c r="AB39" s="1">
        <f t="shared" si="3"/>
        <v>1</v>
      </c>
      <c r="AC39" s="1">
        <f t="shared" si="3"/>
        <v>1</v>
      </c>
      <c r="AD39" s="1">
        <f t="shared" si="3"/>
        <v>0</v>
      </c>
      <c r="AE39" s="1">
        <f t="shared" si="3"/>
        <v>0</v>
      </c>
    </row>
    <row r="40" spans="1:31" x14ac:dyDescent="0.25">
      <c r="A40" s="3" t="s">
        <v>5</v>
      </c>
      <c r="B40" s="1">
        <f t="shared" si="1"/>
        <v>1</v>
      </c>
      <c r="C40" s="1">
        <f t="shared" ref="C40:AE40" si="4">IF(C6&gt;$D$35,1,0)</f>
        <v>0</v>
      </c>
      <c r="D40" s="1">
        <f t="shared" si="4"/>
        <v>1</v>
      </c>
      <c r="E40" s="1">
        <f t="shared" si="4"/>
        <v>0</v>
      </c>
      <c r="F40" s="1">
        <f t="shared" si="4"/>
        <v>0</v>
      </c>
      <c r="G40" s="1">
        <f t="shared" si="4"/>
        <v>0</v>
      </c>
      <c r="H40" s="1">
        <f t="shared" si="4"/>
        <v>0</v>
      </c>
      <c r="I40" s="1">
        <f t="shared" si="4"/>
        <v>0</v>
      </c>
      <c r="J40" s="1">
        <f t="shared" si="4"/>
        <v>0</v>
      </c>
      <c r="K40" s="1">
        <f t="shared" si="4"/>
        <v>0</v>
      </c>
      <c r="L40" s="1">
        <f t="shared" si="4"/>
        <v>0</v>
      </c>
      <c r="M40" s="1">
        <f t="shared" si="4"/>
        <v>0</v>
      </c>
      <c r="N40" s="1">
        <f t="shared" si="4"/>
        <v>0</v>
      </c>
      <c r="O40" s="1">
        <f t="shared" si="4"/>
        <v>0</v>
      </c>
      <c r="P40" s="1">
        <f t="shared" si="4"/>
        <v>0</v>
      </c>
      <c r="Q40" s="1">
        <f t="shared" si="4"/>
        <v>0</v>
      </c>
      <c r="R40" s="1">
        <f t="shared" si="4"/>
        <v>0</v>
      </c>
      <c r="S40" s="1">
        <f t="shared" si="4"/>
        <v>0</v>
      </c>
      <c r="T40" s="1">
        <f t="shared" si="4"/>
        <v>1</v>
      </c>
      <c r="U40" s="1">
        <f t="shared" si="4"/>
        <v>1</v>
      </c>
      <c r="V40" s="1">
        <f t="shared" si="4"/>
        <v>0</v>
      </c>
      <c r="W40" s="1">
        <f t="shared" si="4"/>
        <v>0</v>
      </c>
      <c r="X40" s="1">
        <f t="shared" si="4"/>
        <v>0</v>
      </c>
      <c r="Y40" s="1">
        <f t="shared" si="4"/>
        <v>0</v>
      </c>
      <c r="Z40" s="1">
        <f t="shared" si="4"/>
        <v>0</v>
      </c>
      <c r="AA40" s="1">
        <f t="shared" si="4"/>
        <v>0</v>
      </c>
      <c r="AB40" s="1">
        <f t="shared" si="4"/>
        <v>0</v>
      </c>
      <c r="AC40" s="1">
        <f t="shared" si="4"/>
        <v>0</v>
      </c>
      <c r="AD40" s="1">
        <f t="shared" si="4"/>
        <v>0</v>
      </c>
      <c r="AE40" s="1">
        <f t="shared" si="4"/>
        <v>0</v>
      </c>
    </row>
    <row r="41" spans="1:31" x14ac:dyDescent="0.25">
      <c r="A41" s="3" t="s">
        <v>6</v>
      </c>
      <c r="B41" s="1">
        <f t="shared" si="1"/>
        <v>1</v>
      </c>
      <c r="C41" s="1">
        <f t="shared" ref="C41:AE41" si="5">IF(C7&gt;$D$35,1,0)</f>
        <v>0</v>
      </c>
      <c r="D41" s="1">
        <f t="shared" si="5"/>
        <v>1</v>
      </c>
      <c r="E41" s="1">
        <f t="shared" si="5"/>
        <v>0</v>
      </c>
      <c r="F41" s="1">
        <f t="shared" si="5"/>
        <v>0</v>
      </c>
      <c r="G41" s="1">
        <f t="shared" si="5"/>
        <v>0</v>
      </c>
      <c r="H41" s="1">
        <f t="shared" si="5"/>
        <v>0</v>
      </c>
      <c r="I41" s="1">
        <f t="shared" si="5"/>
        <v>0</v>
      </c>
      <c r="J41" s="1">
        <f t="shared" si="5"/>
        <v>0</v>
      </c>
      <c r="K41" s="1">
        <f t="shared" si="5"/>
        <v>0</v>
      </c>
      <c r="L41" s="1">
        <f t="shared" si="5"/>
        <v>0</v>
      </c>
      <c r="M41" s="1">
        <f t="shared" si="5"/>
        <v>0</v>
      </c>
      <c r="N41" s="1">
        <f t="shared" si="5"/>
        <v>0</v>
      </c>
      <c r="O41" s="1">
        <f t="shared" si="5"/>
        <v>0</v>
      </c>
      <c r="P41" s="1">
        <f t="shared" si="5"/>
        <v>0</v>
      </c>
      <c r="Q41" s="1">
        <f t="shared" si="5"/>
        <v>0</v>
      </c>
      <c r="R41" s="1">
        <f t="shared" si="5"/>
        <v>0</v>
      </c>
      <c r="S41" s="1">
        <f t="shared" si="5"/>
        <v>0</v>
      </c>
      <c r="T41" s="1">
        <f t="shared" si="5"/>
        <v>1</v>
      </c>
      <c r="U41" s="1">
        <f t="shared" si="5"/>
        <v>1</v>
      </c>
      <c r="V41" s="1">
        <f t="shared" si="5"/>
        <v>0</v>
      </c>
      <c r="W41" s="1">
        <f t="shared" si="5"/>
        <v>0</v>
      </c>
      <c r="X41" s="1">
        <f t="shared" si="5"/>
        <v>0</v>
      </c>
      <c r="Y41" s="1">
        <f t="shared" si="5"/>
        <v>0</v>
      </c>
      <c r="Z41" s="1">
        <f t="shared" si="5"/>
        <v>0</v>
      </c>
      <c r="AA41" s="1">
        <f t="shared" si="5"/>
        <v>0</v>
      </c>
      <c r="AB41" s="1">
        <f t="shared" si="5"/>
        <v>0</v>
      </c>
      <c r="AC41" s="1">
        <f t="shared" si="5"/>
        <v>0</v>
      </c>
      <c r="AD41" s="1">
        <f t="shared" si="5"/>
        <v>0</v>
      </c>
      <c r="AE41" s="1">
        <f t="shared" si="5"/>
        <v>0</v>
      </c>
    </row>
    <row r="42" spans="1:31" x14ac:dyDescent="0.25">
      <c r="A42" s="3" t="s">
        <v>7</v>
      </c>
      <c r="B42" s="1">
        <f t="shared" si="1"/>
        <v>1</v>
      </c>
      <c r="C42" s="1">
        <f t="shared" ref="C42:AE42" si="6">IF(C8&gt;$D$35,1,0)</f>
        <v>0</v>
      </c>
      <c r="D42" s="1">
        <f t="shared" si="6"/>
        <v>1</v>
      </c>
      <c r="E42" s="1">
        <f t="shared" si="6"/>
        <v>0</v>
      </c>
      <c r="F42" s="1">
        <f t="shared" si="6"/>
        <v>0</v>
      </c>
      <c r="G42" s="1">
        <f t="shared" si="6"/>
        <v>0</v>
      </c>
      <c r="H42" s="1">
        <f t="shared" si="6"/>
        <v>0</v>
      </c>
      <c r="I42" s="1">
        <f t="shared" si="6"/>
        <v>0</v>
      </c>
      <c r="J42" s="1">
        <f t="shared" si="6"/>
        <v>0</v>
      </c>
      <c r="K42" s="1">
        <f t="shared" si="6"/>
        <v>0</v>
      </c>
      <c r="L42" s="1">
        <f t="shared" si="6"/>
        <v>0</v>
      </c>
      <c r="M42" s="1">
        <f t="shared" si="6"/>
        <v>0</v>
      </c>
      <c r="N42" s="1">
        <f t="shared" si="6"/>
        <v>0</v>
      </c>
      <c r="O42" s="1">
        <f t="shared" si="6"/>
        <v>0</v>
      </c>
      <c r="P42" s="1">
        <f t="shared" si="6"/>
        <v>0</v>
      </c>
      <c r="Q42" s="1">
        <f t="shared" si="6"/>
        <v>0</v>
      </c>
      <c r="R42" s="1">
        <f t="shared" si="6"/>
        <v>0</v>
      </c>
      <c r="S42" s="1">
        <f t="shared" si="6"/>
        <v>0</v>
      </c>
      <c r="T42" s="1">
        <f t="shared" si="6"/>
        <v>1</v>
      </c>
      <c r="U42" s="1">
        <f t="shared" si="6"/>
        <v>1</v>
      </c>
      <c r="V42" s="1">
        <f t="shared" si="6"/>
        <v>0</v>
      </c>
      <c r="W42" s="1">
        <f t="shared" si="6"/>
        <v>0</v>
      </c>
      <c r="X42" s="1">
        <f t="shared" si="6"/>
        <v>0</v>
      </c>
      <c r="Y42" s="1">
        <f t="shared" si="6"/>
        <v>0</v>
      </c>
      <c r="Z42" s="1">
        <f t="shared" si="6"/>
        <v>0</v>
      </c>
      <c r="AA42" s="1">
        <f t="shared" si="6"/>
        <v>0</v>
      </c>
      <c r="AB42" s="1">
        <f t="shared" si="6"/>
        <v>0</v>
      </c>
      <c r="AC42" s="1">
        <f t="shared" si="6"/>
        <v>0</v>
      </c>
      <c r="AD42" s="1">
        <f t="shared" si="6"/>
        <v>0</v>
      </c>
      <c r="AE42" s="1">
        <f t="shared" si="6"/>
        <v>0</v>
      </c>
    </row>
    <row r="43" spans="1:31" x14ac:dyDescent="0.25">
      <c r="A43" s="3" t="s">
        <v>8</v>
      </c>
      <c r="B43" s="1">
        <f t="shared" ref="B43:B54" si="7">IF(B9&gt;$D$35,1,0)</f>
        <v>1</v>
      </c>
      <c r="C43" s="1">
        <f t="shared" ref="C43:AE43" si="8">IF(C9&gt;$D$35,1,0)</f>
        <v>0</v>
      </c>
      <c r="D43" s="1">
        <f t="shared" si="8"/>
        <v>0</v>
      </c>
      <c r="E43" s="1">
        <f t="shared" si="8"/>
        <v>0</v>
      </c>
      <c r="F43" s="1">
        <f t="shared" si="8"/>
        <v>0</v>
      </c>
      <c r="G43" s="1">
        <f t="shared" si="8"/>
        <v>0</v>
      </c>
      <c r="H43" s="1">
        <f t="shared" si="8"/>
        <v>0</v>
      </c>
      <c r="I43" s="1">
        <f t="shared" si="8"/>
        <v>0</v>
      </c>
      <c r="J43" s="1">
        <f t="shared" si="8"/>
        <v>0</v>
      </c>
      <c r="K43" s="1">
        <f t="shared" si="8"/>
        <v>0</v>
      </c>
      <c r="L43" s="1">
        <f t="shared" si="8"/>
        <v>0</v>
      </c>
      <c r="M43" s="1">
        <f t="shared" si="8"/>
        <v>0</v>
      </c>
      <c r="N43" s="1">
        <f t="shared" si="8"/>
        <v>0</v>
      </c>
      <c r="O43" s="1">
        <f t="shared" si="8"/>
        <v>0</v>
      </c>
      <c r="P43" s="1">
        <f t="shared" si="8"/>
        <v>0</v>
      </c>
      <c r="Q43" s="1">
        <f t="shared" si="8"/>
        <v>0</v>
      </c>
      <c r="R43" s="1">
        <f t="shared" si="8"/>
        <v>0</v>
      </c>
      <c r="S43" s="1">
        <f t="shared" si="8"/>
        <v>0</v>
      </c>
      <c r="T43" s="1">
        <f t="shared" si="8"/>
        <v>0</v>
      </c>
      <c r="U43" s="1">
        <f t="shared" si="8"/>
        <v>1</v>
      </c>
      <c r="V43" s="1">
        <f t="shared" si="8"/>
        <v>0</v>
      </c>
      <c r="W43" s="1">
        <f t="shared" si="8"/>
        <v>0</v>
      </c>
      <c r="X43" s="1">
        <f t="shared" si="8"/>
        <v>0</v>
      </c>
      <c r="Y43" s="1">
        <f t="shared" si="8"/>
        <v>0</v>
      </c>
      <c r="Z43" s="1">
        <f t="shared" si="8"/>
        <v>0</v>
      </c>
      <c r="AA43" s="1">
        <f t="shared" si="8"/>
        <v>0</v>
      </c>
      <c r="AB43" s="1">
        <f t="shared" si="8"/>
        <v>0</v>
      </c>
      <c r="AC43" s="1">
        <f t="shared" si="8"/>
        <v>0</v>
      </c>
      <c r="AD43" s="1">
        <f t="shared" si="8"/>
        <v>0</v>
      </c>
      <c r="AE43" s="1">
        <f t="shared" si="8"/>
        <v>0</v>
      </c>
    </row>
    <row r="44" spans="1:31" x14ac:dyDescent="0.25">
      <c r="A44" s="3" t="s">
        <v>9</v>
      </c>
      <c r="B44" s="1">
        <f t="shared" si="7"/>
        <v>1</v>
      </c>
      <c r="C44" s="1">
        <f t="shared" ref="C44:AE44" si="9">IF(C10&gt;$D$35,1,0)</f>
        <v>0</v>
      </c>
      <c r="D44" s="1">
        <f t="shared" si="9"/>
        <v>0</v>
      </c>
      <c r="E44" s="1">
        <f t="shared" si="9"/>
        <v>0</v>
      </c>
      <c r="F44" s="1">
        <f t="shared" si="9"/>
        <v>0</v>
      </c>
      <c r="G44" s="1">
        <f t="shared" si="9"/>
        <v>0</v>
      </c>
      <c r="H44" s="1">
        <f t="shared" si="9"/>
        <v>0</v>
      </c>
      <c r="I44" s="1">
        <f t="shared" si="9"/>
        <v>0</v>
      </c>
      <c r="J44" s="1">
        <f t="shared" si="9"/>
        <v>0</v>
      </c>
      <c r="K44" s="1">
        <f t="shared" si="9"/>
        <v>0</v>
      </c>
      <c r="L44" s="1">
        <f t="shared" si="9"/>
        <v>0</v>
      </c>
      <c r="M44" s="1">
        <f t="shared" si="9"/>
        <v>0</v>
      </c>
      <c r="N44" s="1">
        <f t="shared" si="9"/>
        <v>0</v>
      </c>
      <c r="O44" s="1">
        <f t="shared" si="9"/>
        <v>0</v>
      </c>
      <c r="P44" s="1">
        <f t="shared" si="9"/>
        <v>0</v>
      </c>
      <c r="Q44" s="1">
        <f t="shared" si="9"/>
        <v>0</v>
      </c>
      <c r="R44" s="1">
        <f t="shared" si="9"/>
        <v>0</v>
      </c>
      <c r="S44" s="1">
        <f t="shared" si="9"/>
        <v>0</v>
      </c>
      <c r="T44" s="1">
        <f t="shared" si="9"/>
        <v>0</v>
      </c>
      <c r="U44" s="1">
        <f t="shared" si="9"/>
        <v>1</v>
      </c>
      <c r="V44" s="1">
        <f t="shared" si="9"/>
        <v>0</v>
      </c>
      <c r="W44" s="1">
        <f t="shared" si="9"/>
        <v>0</v>
      </c>
      <c r="X44" s="1">
        <f t="shared" si="9"/>
        <v>0</v>
      </c>
      <c r="Y44" s="1">
        <f t="shared" si="9"/>
        <v>0</v>
      </c>
      <c r="Z44" s="1">
        <f t="shared" si="9"/>
        <v>0</v>
      </c>
      <c r="AA44" s="1">
        <f t="shared" si="9"/>
        <v>0</v>
      </c>
      <c r="AB44" s="1">
        <f t="shared" si="9"/>
        <v>0</v>
      </c>
      <c r="AC44" s="1">
        <f t="shared" si="9"/>
        <v>0</v>
      </c>
      <c r="AD44" s="1">
        <f t="shared" si="9"/>
        <v>0</v>
      </c>
      <c r="AE44" s="1">
        <f t="shared" si="9"/>
        <v>0</v>
      </c>
    </row>
    <row r="45" spans="1:31" x14ac:dyDescent="0.25">
      <c r="A45" s="3" t="s">
        <v>10</v>
      </c>
      <c r="B45" s="1">
        <f t="shared" si="7"/>
        <v>1</v>
      </c>
      <c r="C45" s="1">
        <f t="shared" ref="C45:AE45" si="10">IF(C11&gt;$D$35,1,0)</f>
        <v>0</v>
      </c>
      <c r="D45" s="1">
        <f t="shared" si="10"/>
        <v>1</v>
      </c>
      <c r="E45" s="1">
        <f t="shared" si="10"/>
        <v>0</v>
      </c>
      <c r="F45" s="1">
        <f t="shared" si="10"/>
        <v>0</v>
      </c>
      <c r="G45" s="1">
        <f t="shared" si="10"/>
        <v>0</v>
      </c>
      <c r="H45" s="1">
        <f t="shared" si="10"/>
        <v>0</v>
      </c>
      <c r="I45" s="1">
        <f t="shared" si="10"/>
        <v>0</v>
      </c>
      <c r="J45" s="1">
        <f t="shared" si="10"/>
        <v>0</v>
      </c>
      <c r="K45" s="1">
        <f t="shared" si="10"/>
        <v>0</v>
      </c>
      <c r="L45" s="1">
        <f t="shared" si="10"/>
        <v>0</v>
      </c>
      <c r="M45" s="1">
        <f t="shared" si="10"/>
        <v>0</v>
      </c>
      <c r="N45" s="1">
        <f t="shared" si="10"/>
        <v>0</v>
      </c>
      <c r="O45" s="1">
        <f t="shared" si="10"/>
        <v>0</v>
      </c>
      <c r="P45" s="1">
        <f t="shared" si="10"/>
        <v>0</v>
      </c>
      <c r="Q45" s="1">
        <f t="shared" si="10"/>
        <v>0</v>
      </c>
      <c r="R45" s="1">
        <f t="shared" si="10"/>
        <v>0</v>
      </c>
      <c r="S45" s="1">
        <f t="shared" si="10"/>
        <v>0</v>
      </c>
      <c r="T45" s="1">
        <f t="shared" si="10"/>
        <v>1</v>
      </c>
      <c r="U45" s="1">
        <f t="shared" si="10"/>
        <v>1</v>
      </c>
      <c r="V45" s="1">
        <f t="shared" si="10"/>
        <v>0</v>
      </c>
      <c r="W45" s="1">
        <f t="shared" si="10"/>
        <v>0</v>
      </c>
      <c r="X45" s="1">
        <f t="shared" si="10"/>
        <v>0</v>
      </c>
      <c r="Y45" s="1">
        <f t="shared" si="10"/>
        <v>0</v>
      </c>
      <c r="Z45" s="1">
        <f t="shared" si="10"/>
        <v>0</v>
      </c>
      <c r="AA45" s="1">
        <f t="shared" si="10"/>
        <v>0</v>
      </c>
      <c r="AB45" s="1">
        <f t="shared" si="10"/>
        <v>0</v>
      </c>
      <c r="AC45" s="1">
        <f t="shared" si="10"/>
        <v>0</v>
      </c>
      <c r="AD45" s="1">
        <f t="shared" si="10"/>
        <v>0</v>
      </c>
      <c r="AE45" s="1">
        <f t="shared" si="10"/>
        <v>0</v>
      </c>
    </row>
    <row r="46" spans="1:31" x14ac:dyDescent="0.25">
      <c r="A46" s="3" t="s">
        <v>11</v>
      </c>
      <c r="B46" s="1">
        <f t="shared" si="7"/>
        <v>1</v>
      </c>
      <c r="C46" s="1">
        <f t="shared" ref="C46:AE46" si="11">IF(C12&gt;$D$35,1,0)</f>
        <v>0</v>
      </c>
      <c r="D46" s="1">
        <f t="shared" si="11"/>
        <v>1</v>
      </c>
      <c r="E46" s="1">
        <f t="shared" si="11"/>
        <v>0</v>
      </c>
      <c r="F46" s="1">
        <f t="shared" si="11"/>
        <v>0</v>
      </c>
      <c r="G46" s="1">
        <f t="shared" si="11"/>
        <v>0</v>
      </c>
      <c r="H46" s="1">
        <f t="shared" si="11"/>
        <v>0</v>
      </c>
      <c r="I46" s="1">
        <f t="shared" si="11"/>
        <v>0</v>
      </c>
      <c r="J46" s="1">
        <f t="shared" si="11"/>
        <v>0</v>
      </c>
      <c r="K46" s="1">
        <f t="shared" si="11"/>
        <v>0</v>
      </c>
      <c r="L46" s="1">
        <f t="shared" si="11"/>
        <v>0</v>
      </c>
      <c r="M46" s="1">
        <f t="shared" si="11"/>
        <v>0</v>
      </c>
      <c r="N46" s="1">
        <f t="shared" si="11"/>
        <v>0</v>
      </c>
      <c r="O46" s="1">
        <f t="shared" si="11"/>
        <v>0</v>
      </c>
      <c r="P46" s="1">
        <f t="shared" si="11"/>
        <v>0</v>
      </c>
      <c r="Q46" s="1">
        <f t="shared" si="11"/>
        <v>0</v>
      </c>
      <c r="R46" s="1">
        <f t="shared" si="11"/>
        <v>0</v>
      </c>
      <c r="S46" s="1">
        <f t="shared" si="11"/>
        <v>0</v>
      </c>
      <c r="T46" s="1">
        <f t="shared" si="11"/>
        <v>1</v>
      </c>
      <c r="U46" s="1">
        <f t="shared" si="11"/>
        <v>1</v>
      </c>
      <c r="V46" s="1">
        <f t="shared" si="11"/>
        <v>0</v>
      </c>
      <c r="W46" s="1">
        <f t="shared" si="11"/>
        <v>0</v>
      </c>
      <c r="X46" s="1">
        <f t="shared" si="11"/>
        <v>0</v>
      </c>
      <c r="Y46" s="1">
        <f t="shared" si="11"/>
        <v>0</v>
      </c>
      <c r="Z46" s="1">
        <f t="shared" si="11"/>
        <v>0</v>
      </c>
      <c r="AA46" s="1">
        <f t="shared" si="11"/>
        <v>0</v>
      </c>
      <c r="AB46" s="1">
        <f t="shared" si="11"/>
        <v>0</v>
      </c>
      <c r="AC46" s="1">
        <f t="shared" si="11"/>
        <v>0</v>
      </c>
      <c r="AD46" s="1">
        <f t="shared" si="11"/>
        <v>0</v>
      </c>
      <c r="AE46" s="1">
        <f t="shared" si="11"/>
        <v>0</v>
      </c>
    </row>
    <row r="47" spans="1:31" x14ac:dyDescent="0.25">
      <c r="A47" s="3" t="s">
        <v>12</v>
      </c>
      <c r="B47" s="1">
        <f t="shared" si="7"/>
        <v>1</v>
      </c>
      <c r="C47" s="1">
        <f t="shared" ref="C47:AE47" si="12">IF(C13&gt;$D$35,1,0)</f>
        <v>0</v>
      </c>
      <c r="D47" s="1">
        <f t="shared" si="12"/>
        <v>1</v>
      </c>
      <c r="E47" s="1">
        <f t="shared" si="12"/>
        <v>0</v>
      </c>
      <c r="F47" s="1">
        <f t="shared" si="12"/>
        <v>0</v>
      </c>
      <c r="G47" s="1">
        <f t="shared" si="12"/>
        <v>0</v>
      </c>
      <c r="H47" s="1">
        <f t="shared" si="12"/>
        <v>0</v>
      </c>
      <c r="I47" s="1">
        <f t="shared" si="12"/>
        <v>0</v>
      </c>
      <c r="J47" s="1">
        <f t="shared" si="12"/>
        <v>0</v>
      </c>
      <c r="K47" s="1">
        <f t="shared" si="12"/>
        <v>0</v>
      </c>
      <c r="L47" s="1">
        <f t="shared" si="12"/>
        <v>0</v>
      </c>
      <c r="M47" s="1">
        <f t="shared" si="12"/>
        <v>0</v>
      </c>
      <c r="N47" s="1">
        <f t="shared" si="12"/>
        <v>0</v>
      </c>
      <c r="O47" s="1">
        <f t="shared" si="12"/>
        <v>0</v>
      </c>
      <c r="P47" s="1">
        <f t="shared" si="12"/>
        <v>0</v>
      </c>
      <c r="Q47" s="1">
        <f t="shared" si="12"/>
        <v>0</v>
      </c>
      <c r="R47" s="1">
        <f t="shared" si="12"/>
        <v>0</v>
      </c>
      <c r="S47" s="1">
        <f t="shared" si="12"/>
        <v>0</v>
      </c>
      <c r="T47" s="1">
        <f t="shared" si="12"/>
        <v>1</v>
      </c>
      <c r="U47" s="1">
        <f t="shared" si="12"/>
        <v>1</v>
      </c>
      <c r="V47" s="1">
        <f t="shared" si="12"/>
        <v>0</v>
      </c>
      <c r="W47" s="1">
        <f t="shared" si="12"/>
        <v>0</v>
      </c>
      <c r="X47" s="1">
        <f t="shared" si="12"/>
        <v>0</v>
      </c>
      <c r="Y47" s="1">
        <f t="shared" si="12"/>
        <v>0</v>
      </c>
      <c r="Z47" s="1">
        <f t="shared" si="12"/>
        <v>0</v>
      </c>
      <c r="AA47" s="1">
        <f t="shared" si="12"/>
        <v>0</v>
      </c>
      <c r="AB47" s="1">
        <f t="shared" si="12"/>
        <v>0</v>
      </c>
      <c r="AC47" s="1">
        <f t="shared" si="12"/>
        <v>0</v>
      </c>
      <c r="AD47" s="1">
        <f t="shared" si="12"/>
        <v>0</v>
      </c>
      <c r="AE47" s="1">
        <f t="shared" si="12"/>
        <v>0</v>
      </c>
    </row>
    <row r="48" spans="1:31" x14ac:dyDescent="0.25">
      <c r="A48" s="3" t="s">
        <v>13</v>
      </c>
      <c r="B48" s="1">
        <f t="shared" si="7"/>
        <v>1</v>
      </c>
      <c r="C48" s="1">
        <f t="shared" ref="C48:AE48" si="13">IF(C14&gt;$D$35,1,0)</f>
        <v>0</v>
      </c>
      <c r="D48" s="1">
        <f t="shared" si="13"/>
        <v>1</v>
      </c>
      <c r="E48" s="1">
        <f t="shared" si="13"/>
        <v>0</v>
      </c>
      <c r="F48" s="1">
        <f t="shared" si="13"/>
        <v>0</v>
      </c>
      <c r="G48" s="1">
        <f t="shared" si="13"/>
        <v>0</v>
      </c>
      <c r="H48" s="1">
        <f t="shared" si="13"/>
        <v>0</v>
      </c>
      <c r="I48" s="1">
        <f t="shared" si="13"/>
        <v>0</v>
      </c>
      <c r="J48" s="1">
        <f t="shared" si="13"/>
        <v>0</v>
      </c>
      <c r="K48" s="1">
        <f t="shared" si="13"/>
        <v>0</v>
      </c>
      <c r="L48" s="1">
        <f t="shared" si="13"/>
        <v>0</v>
      </c>
      <c r="M48" s="1">
        <f t="shared" si="13"/>
        <v>0</v>
      </c>
      <c r="N48" s="1">
        <f t="shared" si="13"/>
        <v>0</v>
      </c>
      <c r="O48" s="1">
        <f t="shared" si="13"/>
        <v>0</v>
      </c>
      <c r="P48" s="1">
        <f t="shared" si="13"/>
        <v>0</v>
      </c>
      <c r="Q48" s="1">
        <f t="shared" si="13"/>
        <v>0</v>
      </c>
      <c r="R48" s="1">
        <f t="shared" si="13"/>
        <v>0</v>
      </c>
      <c r="S48" s="1">
        <f t="shared" si="13"/>
        <v>0</v>
      </c>
      <c r="T48" s="1">
        <f t="shared" si="13"/>
        <v>1</v>
      </c>
      <c r="U48" s="1">
        <f t="shared" si="13"/>
        <v>1</v>
      </c>
      <c r="V48" s="1">
        <f t="shared" si="13"/>
        <v>0</v>
      </c>
      <c r="W48" s="1">
        <f t="shared" si="13"/>
        <v>0</v>
      </c>
      <c r="X48" s="1">
        <f t="shared" si="13"/>
        <v>0</v>
      </c>
      <c r="Y48" s="1">
        <f t="shared" si="13"/>
        <v>0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</row>
    <row r="49" spans="1:31" x14ac:dyDescent="0.25">
      <c r="A49" s="3" t="s">
        <v>14</v>
      </c>
      <c r="B49" s="1">
        <f t="shared" si="7"/>
        <v>1</v>
      </c>
      <c r="C49" s="1">
        <f t="shared" ref="C49:AE49" si="14">IF(C15&gt;$D$35,1,0)</f>
        <v>0</v>
      </c>
      <c r="D49" s="1">
        <f t="shared" si="14"/>
        <v>0</v>
      </c>
      <c r="E49" s="1">
        <f t="shared" si="14"/>
        <v>0</v>
      </c>
      <c r="F49" s="1">
        <f t="shared" si="14"/>
        <v>0</v>
      </c>
      <c r="G49" s="1">
        <f t="shared" si="14"/>
        <v>0</v>
      </c>
      <c r="H49" s="1">
        <f t="shared" si="14"/>
        <v>0</v>
      </c>
      <c r="I49" s="1">
        <f t="shared" si="14"/>
        <v>0</v>
      </c>
      <c r="J49" s="1">
        <f t="shared" si="14"/>
        <v>0</v>
      </c>
      <c r="K49" s="1">
        <f t="shared" si="14"/>
        <v>0</v>
      </c>
      <c r="L49" s="1">
        <f t="shared" si="14"/>
        <v>0</v>
      </c>
      <c r="M49" s="1">
        <f t="shared" si="14"/>
        <v>0</v>
      </c>
      <c r="N49" s="1">
        <f t="shared" si="14"/>
        <v>0</v>
      </c>
      <c r="O49" s="1">
        <f t="shared" si="14"/>
        <v>0</v>
      </c>
      <c r="P49" s="1">
        <f t="shared" si="14"/>
        <v>0</v>
      </c>
      <c r="Q49" s="1">
        <f t="shared" si="14"/>
        <v>0</v>
      </c>
      <c r="R49" s="1">
        <f t="shared" si="14"/>
        <v>0</v>
      </c>
      <c r="S49" s="1">
        <f t="shared" si="14"/>
        <v>0</v>
      </c>
      <c r="T49" s="1">
        <f t="shared" si="14"/>
        <v>0</v>
      </c>
      <c r="U49" s="1">
        <f t="shared" si="14"/>
        <v>0</v>
      </c>
      <c r="V49" s="1">
        <f t="shared" si="14"/>
        <v>0</v>
      </c>
      <c r="W49" s="1">
        <f t="shared" si="14"/>
        <v>0</v>
      </c>
      <c r="X49" s="1">
        <f t="shared" si="14"/>
        <v>0</v>
      </c>
      <c r="Y49" s="1">
        <f t="shared" si="14"/>
        <v>0</v>
      </c>
      <c r="Z49" s="1">
        <f t="shared" si="14"/>
        <v>0</v>
      </c>
      <c r="AA49" s="1">
        <f t="shared" si="14"/>
        <v>0</v>
      </c>
      <c r="AB49" s="1">
        <f t="shared" si="14"/>
        <v>0</v>
      </c>
      <c r="AC49" s="1">
        <f t="shared" si="14"/>
        <v>0</v>
      </c>
      <c r="AD49" s="1">
        <f t="shared" si="14"/>
        <v>0</v>
      </c>
      <c r="AE49" s="1">
        <f t="shared" si="14"/>
        <v>0</v>
      </c>
    </row>
    <row r="50" spans="1:31" x14ac:dyDescent="0.25">
      <c r="A50" s="3" t="s">
        <v>15</v>
      </c>
      <c r="B50" s="1">
        <f t="shared" si="7"/>
        <v>1</v>
      </c>
      <c r="C50" s="1">
        <f t="shared" ref="C50:AE50" si="15">IF(C16&gt;$D$35,1,0)</f>
        <v>0</v>
      </c>
      <c r="D50" s="1">
        <f t="shared" si="15"/>
        <v>1</v>
      </c>
      <c r="E50" s="1">
        <f t="shared" si="15"/>
        <v>0</v>
      </c>
      <c r="F50" s="1">
        <f t="shared" si="15"/>
        <v>0</v>
      </c>
      <c r="G50" s="1">
        <f t="shared" si="15"/>
        <v>0</v>
      </c>
      <c r="H50" s="1">
        <f t="shared" si="15"/>
        <v>0</v>
      </c>
      <c r="I50" s="1">
        <f t="shared" si="15"/>
        <v>0</v>
      </c>
      <c r="J50" s="1">
        <f t="shared" si="15"/>
        <v>0</v>
      </c>
      <c r="K50" s="1">
        <f t="shared" si="15"/>
        <v>0</v>
      </c>
      <c r="L50" s="1">
        <f t="shared" si="15"/>
        <v>0</v>
      </c>
      <c r="M50" s="1">
        <f t="shared" si="15"/>
        <v>0</v>
      </c>
      <c r="N50" s="1">
        <f t="shared" si="15"/>
        <v>0</v>
      </c>
      <c r="O50" s="1">
        <f t="shared" si="15"/>
        <v>0</v>
      </c>
      <c r="P50" s="1">
        <f t="shared" si="15"/>
        <v>0</v>
      </c>
      <c r="Q50" s="1">
        <f t="shared" si="15"/>
        <v>0</v>
      </c>
      <c r="R50" s="1">
        <f t="shared" si="15"/>
        <v>0</v>
      </c>
      <c r="S50" s="1">
        <f t="shared" si="15"/>
        <v>0</v>
      </c>
      <c r="T50" s="1">
        <f t="shared" si="15"/>
        <v>1</v>
      </c>
      <c r="U50" s="1">
        <f t="shared" si="15"/>
        <v>1</v>
      </c>
      <c r="V50" s="1">
        <f t="shared" si="15"/>
        <v>0</v>
      </c>
      <c r="W50" s="1">
        <f t="shared" si="15"/>
        <v>0</v>
      </c>
      <c r="X50" s="1">
        <f t="shared" si="15"/>
        <v>0</v>
      </c>
      <c r="Y50" s="1">
        <f t="shared" si="15"/>
        <v>0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</row>
    <row r="51" spans="1:31" x14ac:dyDescent="0.25">
      <c r="A51" s="3" t="s">
        <v>16</v>
      </c>
      <c r="B51" s="1">
        <f t="shared" si="7"/>
        <v>1</v>
      </c>
      <c r="C51" s="1">
        <f t="shared" ref="C51:AE51" si="16">IF(C17&gt;$D$35,1,0)</f>
        <v>0</v>
      </c>
      <c r="D51" s="1">
        <f t="shared" si="16"/>
        <v>0</v>
      </c>
      <c r="E51" s="1">
        <f t="shared" si="16"/>
        <v>0</v>
      </c>
      <c r="F51" s="1">
        <f t="shared" si="16"/>
        <v>0</v>
      </c>
      <c r="G51" s="1">
        <f t="shared" si="16"/>
        <v>0</v>
      </c>
      <c r="H51" s="1">
        <f t="shared" si="16"/>
        <v>0</v>
      </c>
      <c r="I51" s="1">
        <f t="shared" si="16"/>
        <v>0</v>
      </c>
      <c r="J51" s="1">
        <f t="shared" si="16"/>
        <v>0</v>
      </c>
      <c r="K51" s="1">
        <f t="shared" si="16"/>
        <v>0</v>
      </c>
      <c r="L51" s="1">
        <f t="shared" si="16"/>
        <v>0</v>
      </c>
      <c r="M51" s="1">
        <f t="shared" si="16"/>
        <v>0</v>
      </c>
      <c r="N51" s="1">
        <f t="shared" si="16"/>
        <v>0</v>
      </c>
      <c r="O51" s="1">
        <f t="shared" si="16"/>
        <v>0</v>
      </c>
      <c r="P51" s="1">
        <f t="shared" si="16"/>
        <v>0</v>
      </c>
      <c r="Q51" s="1">
        <f t="shared" si="16"/>
        <v>0</v>
      </c>
      <c r="R51" s="1">
        <f t="shared" si="16"/>
        <v>0</v>
      </c>
      <c r="S51" s="1">
        <f t="shared" si="16"/>
        <v>0</v>
      </c>
      <c r="T51" s="1">
        <f t="shared" si="16"/>
        <v>1</v>
      </c>
      <c r="U51" s="1">
        <f t="shared" si="16"/>
        <v>1</v>
      </c>
      <c r="V51" s="1">
        <f t="shared" si="16"/>
        <v>0</v>
      </c>
      <c r="W51" s="1">
        <f t="shared" si="16"/>
        <v>0</v>
      </c>
      <c r="X51" s="1">
        <f t="shared" si="16"/>
        <v>0</v>
      </c>
      <c r="Y51" s="1">
        <f t="shared" si="16"/>
        <v>0</v>
      </c>
      <c r="Z51" s="1">
        <f t="shared" si="16"/>
        <v>0</v>
      </c>
      <c r="AA51" s="1">
        <f t="shared" si="16"/>
        <v>0</v>
      </c>
      <c r="AB51" s="1">
        <f t="shared" si="16"/>
        <v>0</v>
      </c>
      <c r="AC51" s="1">
        <f t="shared" si="16"/>
        <v>0</v>
      </c>
      <c r="AD51" s="1">
        <f t="shared" si="16"/>
        <v>0</v>
      </c>
      <c r="AE51" s="1">
        <f t="shared" si="16"/>
        <v>0</v>
      </c>
    </row>
    <row r="52" spans="1:31" x14ac:dyDescent="0.25">
      <c r="A52" s="3" t="s">
        <v>17</v>
      </c>
      <c r="B52" s="1">
        <f t="shared" si="7"/>
        <v>1</v>
      </c>
      <c r="C52" s="1">
        <f t="shared" ref="C52:AE52" si="17">IF(C18&gt;$D$35,1,0)</f>
        <v>0</v>
      </c>
      <c r="D52" s="1">
        <f t="shared" si="17"/>
        <v>1</v>
      </c>
      <c r="E52" s="1">
        <f t="shared" si="17"/>
        <v>0</v>
      </c>
      <c r="F52" s="1">
        <f t="shared" si="17"/>
        <v>0</v>
      </c>
      <c r="G52" s="1">
        <f t="shared" si="17"/>
        <v>0</v>
      </c>
      <c r="H52" s="1">
        <f t="shared" si="17"/>
        <v>0</v>
      </c>
      <c r="I52" s="1">
        <f t="shared" si="17"/>
        <v>0</v>
      </c>
      <c r="J52" s="1">
        <f t="shared" si="17"/>
        <v>0</v>
      </c>
      <c r="K52" s="1">
        <f t="shared" si="17"/>
        <v>0</v>
      </c>
      <c r="L52" s="1">
        <f t="shared" si="17"/>
        <v>0</v>
      </c>
      <c r="M52" s="1">
        <f t="shared" si="17"/>
        <v>0</v>
      </c>
      <c r="N52" s="1">
        <f t="shared" si="17"/>
        <v>0</v>
      </c>
      <c r="O52" s="1">
        <f t="shared" si="17"/>
        <v>0</v>
      </c>
      <c r="P52" s="1">
        <f t="shared" si="17"/>
        <v>0</v>
      </c>
      <c r="Q52" s="1">
        <f t="shared" si="17"/>
        <v>0</v>
      </c>
      <c r="R52" s="1">
        <f t="shared" si="17"/>
        <v>0</v>
      </c>
      <c r="S52" s="1">
        <f t="shared" si="17"/>
        <v>0</v>
      </c>
      <c r="T52" s="1">
        <f t="shared" si="17"/>
        <v>1</v>
      </c>
      <c r="U52" s="1">
        <f t="shared" si="17"/>
        <v>1</v>
      </c>
      <c r="V52" s="1">
        <f t="shared" si="17"/>
        <v>0</v>
      </c>
      <c r="W52" s="1">
        <f t="shared" si="17"/>
        <v>0</v>
      </c>
      <c r="X52" s="1">
        <f t="shared" si="17"/>
        <v>0</v>
      </c>
      <c r="Y52" s="1">
        <f t="shared" si="17"/>
        <v>0</v>
      </c>
      <c r="Z52" s="1">
        <f t="shared" si="17"/>
        <v>0</v>
      </c>
      <c r="AA52" s="1">
        <f t="shared" si="17"/>
        <v>0</v>
      </c>
      <c r="AB52" s="1">
        <f t="shared" si="17"/>
        <v>0</v>
      </c>
      <c r="AC52" s="1">
        <f t="shared" si="17"/>
        <v>0</v>
      </c>
      <c r="AD52" s="1">
        <f t="shared" si="17"/>
        <v>0</v>
      </c>
      <c r="AE52" s="1">
        <f t="shared" si="17"/>
        <v>0</v>
      </c>
    </row>
    <row r="53" spans="1:31" x14ac:dyDescent="0.25">
      <c r="A53" s="3" t="s">
        <v>18</v>
      </c>
      <c r="B53" s="1">
        <f t="shared" si="7"/>
        <v>1</v>
      </c>
      <c r="C53" s="1">
        <f t="shared" ref="C53:AE53" si="18">IF(C19&gt;$D$35,1,0)</f>
        <v>0</v>
      </c>
      <c r="D53" s="1">
        <f t="shared" si="18"/>
        <v>1</v>
      </c>
      <c r="E53" s="1">
        <f t="shared" si="18"/>
        <v>0</v>
      </c>
      <c r="F53" s="1">
        <f t="shared" si="18"/>
        <v>0</v>
      </c>
      <c r="G53" s="1">
        <f t="shared" si="18"/>
        <v>0</v>
      </c>
      <c r="H53" s="1">
        <f t="shared" si="18"/>
        <v>0</v>
      </c>
      <c r="I53" s="1">
        <f t="shared" si="18"/>
        <v>0</v>
      </c>
      <c r="J53" s="1">
        <f t="shared" si="18"/>
        <v>0</v>
      </c>
      <c r="K53" s="1">
        <f t="shared" si="18"/>
        <v>0</v>
      </c>
      <c r="L53" s="1">
        <f t="shared" si="18"/>
        <v>0</v>
      </c>
      <c r="M53" s="1">
        <f t="shared" si="18"/>
        <v>0</v>
      </c>
      <c r="N53" s="1">
        <f t="shared" si="18"/>
        <v>0</v>
      </c>
      <c r="O53" s="1">
        <f t="shared" si="18"/>
        <v>0</v>
      </c>
      <c r="P53" s="1">
        <f t="shared" si="18"/>
        <v>0</v>
      </c>
      <c r="Q53" s="1">
        <f t="shared" si="18"/>
        <v>0</v>
      </c>
      <c r="R53" s="1">
        <f t="shared" si="18"/>
        <v>0</v>
      </c>
      <c r="S53" s="1">
        <f t="shared" si="18"/>
        <v>0</v>
      </c>
      <c r="T53" s="1">
        <f t="shared" si="18"/>
        <v>1</v>
      </c>
      <c r="U53" s="1">
        <f t="shared" si="18"/>
        <v>1</v>
      </c>
      <c r="V53" s="1">
        <f t="shared" si="18"/>
        <v>0</v>
      </c>
      <c r="W53" s="1">
        <f t="shared" si="18"/>
        <v>0</v>
      </c>
      <c r="X53" s="1">
        <f t="shared" si="18"/>
        <v>0</v>
      </c>
      <c r="Y53" s="1">
        <f t="shared" si="18"/>
        <v>0</v>
      </c>
      <c r="Z53" s="1">
        <f t="shared" si="18"/>
        <v>0</v>
      </c>
      <c r="AA53" s="1">
        <f t="shared" si="18"/>
        <v>0</v>
      </c>
      <c r="AB53" s="1">
        <f t="shared" si="18"/>
        <v>0</v>
      </c>
      <c r="AC53" s="1">
        <f t="shared" si="18"/>
        <v>0</v>
      </c>
      <c r="AD53" s="1">
        <f t="shared" si="18"/>
        <v>0</v>
      </c>
      <c r="AE53" s="1">
        <f t="shared" si="18"/>
        <v>0</v>
      </c>
    </row>
    <row r="54" spans="1:31" x14ac:dyDescent="0.25">
      <c r="A54" s="3" t="s">
        <v>19</v>
      </c>
      <c r="B54" s="1">
        <f t="shared" si="7"/>
        <v>1</v>
      </c>
      <c r="C54" s="1">
        <f t="shared" ref="C54:AE54" si="19">IF(C20&gt;$D$35,1,0)</f>
        <v>0</v>
      </c>
      <c r="D54" s="1">
        <f t="shared" si="19"/>
        <v>1</v>
      </c>
      <c r="E54" s="1">
        <f t="shared" si="19"/>
        <v>0</v>
      </c>
      <c r="F54" s="1">
        <f t="shared" si="19"/>
        <v>0</v>
      </c>
      <c r="G54" s="1">
        <f t="shared" si="19"/>
        <v>0</v>
      </c>
      <c r="H54" s="1">
        <f t="shared" si="19"/>
        <v>0</v>
      </c>
      <c r="I54" s="1">
        <f t="shared" si="19"/>
        <v>0</v>
      </c>
      <c r="J54" s="1">
        <f t="shared" si="19"/>
        <v>0</v>
      </c>
      <c r="K54" s="1">
        <f t="shared" si="19"/>
        <v>0</v>
      </c>
      <c r="L54" s="1">
        <f t="shared" si="19"/>
        <v>0</v>
      </c>
      <c r="M54" s="1">
        <f t="shared" si="19"/>
        <v>0</v>
      </c>
      <c r="N54" s="1">
        <f t="shared" si="19"/>
        <v>0</v>
      </c>
      <c r="O54" s="1">
        <f t="shared" si="19"/>
        <v>0</v>
      </c>
      <c r="P54" s="1">
        <f t="shared" si="19"/>
        <v>0</v>
      </c>
      <c r="Q54" s="1">
        <f t="shared" si="19"/>
        <v>0</v>
      </c>
      <c r="R54" s="1">
        <f t="shared" si="19"/>
        <v>0</v>
      </c>
      <c r="S54" s="1">
        <f t="shared" si="19"/>
        <v>0</v>
      </c>
      <c r="T54" s="1">
        <f t="shared" si="19"/>
        <v>1</v>
      </c>
      <c r="U54" s="1">
        <f t="shared" si="19"/>
        <v>1</v>
      </c>
      <c r="V54" s="1">
        <f t="shared" si="19"/>
        <v>0</v>
      </c>
      <c r="W54" s="1">
        <f t="shared" si="19"/>
        <v>0</v>
      </c>
      <c r="X54" s="1">
        <f t="shared" si="19"/>
        <v>0</v>
      </c>
      <c r="Y54" s="1">
        <f t="shared" si="19"/>
        <v>0</v>
      </c>
      <c r="Z54" s="1">
        <f t="shared" si="19"/>
        <v>0</v>
      </c>
      <c r="AA54" s="1">
        <f t="shared" si="19"/>
        <v>0</v>
      </c>
      <c r="AB54" s="1">
        <f t="shared" si="19"/>
        <v>0</v>
      </c>
      <c r="AC54" s="1">
        <f t="shared" si="19"/>
        <v>0</v>
      </c>
      <c r="AD54" s="1">
        <f t="shared" si="19"/>
        <v>0</v>
      </c>
      <c r="AE54" s="1">
        <f t="shared" si="19"/>
        <v>0</v>
      </c>
    </row>
    <row r="55" spans="1:31" x14ac:dyDescent="0.25">
      <c r="A55" s="3" t="s">
        <v>20</v>
      </c>
      <c r="B55" s="1">
        <f t="shared" ref="B55:B66" si="20">IF(B21&gt;$D$35,1,0)</f>
        <v>1</v>
      </c>
      <c r="C55" s="1">
        <f t="shared" ref="C55:AE55" si="21">IF(C21&gt;$D$35,1,0)</f>
        <v>0</v>
      </c>
      <c r="D55" s="1">
        <f t="shared" si="21"/>
        <v>0</v>
      </c>
      <c r="E55" s="1">
        <f t="shared" si="21"/>
        <v>1</v>
      </c>
      <c r="F55" s="1">
        <f t="shared" si="21"/>
        <v>1</v>
      </c>
      <c r="G55" s="1">
        <f t="shared" si="21"/>
        <v>1</v>
      </c>
      <c r="H55" s="1">
        <f t="shared" si="21"/>
        <v>0</v>
      </c>
      <c r="I55" s="1">
        <f t="shared" si="21"/>
        <v>0</v>
      </c>
      <c r="J55" s="1">
        <f t="shared" si="21"/>
        <v>1</v>
      </c>
      <c r="K55" s="1">
        <f t="shared" si="21"/>
        <v>1</v>
      </c>
      <c r="L55" s="1">
        <f t="shared" si="21"/>
        <v>1</v>
      </c>
      <c r="M55" s="1">
        <f t="shared" si="21"/>
        <v>1</v>
      </c>
      <c r="N55" s="1">
        <f t="shared" si="21"/>
        <v>0</v>
      </c>
      <c r="O55" s="1">
        <f t="shared" si="21"/>
        <v>1</v>
      </c>
      <c r="P55" s="1">
        <f t="shared" si="21"/>
        <v>1</v>
      </c>
      <c r="Q55" s="1">
        <f t="shared" si="21"/>
        <v>1</v>
      </c>
      <c r="R55" s="1">
        <f t="shared" si="21"/>
        <v>1</v>
      </c>
      <c r="S55" s="1">
        <f t="shared" si="21"/>
        <v>1</v>
      </c>
      <c r="T55" s="1">
        <f t="shared" si="21"/>
        <v>0</v>
      </c>
      <c r="U55" s="1">
        <f t="shared" si="21"/>
        <v>0</v>
      </c>
      <c r="V55" s="1">
        <f t="shared" si="21"/>
        <v>1</v>
      </c>
      <c r="W55" s="1">
        <f t="shared" si="21"/>
        <v>1</v>
      </c>
      <c r="X55" s="1">
        <f t="shared" si="21"/>
        <v>0</v>
      </c>
      <c r="Y55" s="1">
        <f t="shared" si="21"/>
        <v>1</v>
      </c>
      <c r="Z55" s="1">
        <f t="shared" si="21"/>
        <v>1</v>
      </c>
      <c r="AA55" s="1">
        <f t="shared" si="21"/>
        <v>1</v>
      </c>
      <c r="AB55" s="1">
        <f t="shared" si="21"/>
        <v>1</v>
      </c>
      <c r="AC55" s="1">
        <f t="shared" si="21"/>
        <v>1</v>
      </c>
      <c r="AD55" s="1">
        <f t="shared" si="21"/>
        <v>0</v>
      </c>
      <c r="AE55" s="1">
        <f t="shared" si="21"/>
        <v>0</v>
      </c>
    </row>
    <row r="56" spans="1:31" x14ac:dyDescent="0.25">
      <c r="A56" s="3" t="s">
        <v>21</v>
      </c>
      <c r="B56" s="1">
        <f t="shared" si="20"/>
        <v>1</v>
      </c>
      <c r="C56" s="1">
        <f t="shared" ref="C56:AE56" si="22">IF(C22&gt;$D$35,1,0)</f>
        <v>0</v>
      </c>
      <c r="D56" s="1">
        <f t="shared" si="22"/>
        <v>0</v>
      </c>
      <c r="E56" s="1">
        <f t="shared" si="22"/>
        <v>1</v>
      </c>
      <c r="F56" s="1">
        <f t="shared" si="22"/>
        <v>1</v>
      </c>
      <c r="G56" s="1">
        <f t="shared" si="22"/>
        <v>1</v>
      </c>
      <c r="H56" s="1">
        <f t="shared" si="22"/>
        <v>1</v>
      </c>
      <c r="I56" s="1">
        <f t="shared" si="22"/>
        <v>1</v>
      </c>
      <c r="J56" s="1">
        <f t="shared" si="22"/>
        <v>1</v>
      </c>
      <c r="K56" s="1">
        <f t="shared" si="22"/>
        <v>1</v>
      </c>
      <c r="L56" s="1">
        <f t="shared" si="22"/>
        <v>1</v>
      </c>
      <c r="M56" s="1">
        <f t="shared" si="22"/>
        <v>1</v>
      </c>
      <c r="N56" s="1">
        <f t="shared" si="22"/>
        <v>0</v>
      </c>
      <c r="O56" s="1">
        <f t="shared" si="22"/>
        <v>1</v>
      </c>
      <c r="P56" s="1">
        <f t="shared" si="22"/>
        <v>1</v>
      </c>
      <c r="Q56" s="1">
        <f t="shared" si="22"/>
        <v>1</v>
      </c>
      <c r="R56" s="1">
        <f t="shared" si="22"/>
        <v>1</v>
      </c>
      <c r="S56" s="1">
        <f t="shared" si="22"/>
        <v>1</v>
      </c>
      <c r="T56" s="1">
        <f t="shared" si="22"/>
        <v>0</v>
      </c>
      <c r="U56" s="1">
        <f t="shared" si="22"/>
        <v>0</v>
      </c>
      <c r="V56" s="1">
        <f t="shared" si="22"/>
        <v>1</v>
      </c>
      <c r="W56" s="1">
        <f t="shared" si="22"/>
        <v>1</v>
      </c>
      <c r="X56" s="1">
        <f t="shared" si="22"/>
        <v>1</v>
      </c>
      <c r="Y56" s="1">
        <f t="shared" si="22"/>
        <v>1</v>
      </c>
      <c r="Z56" s="1">
        <f t="shared" si="22"/>
        <v>1</v>
      </c>
      <c r="AA56" s="1">
        <f t="shared" si="22"/>
        <v>1</v>
      </c>
      <c r="AB56" s="1">
        <f t="shared" si="22"/>
        <v>1</v>
      </c>
      <c r="AC56" s="1">
        <f t="shared" si="22"/>
        <v>1</v>
      </c>
      <c r="AD56" s="1">
        <f t="shared" si="22"/>
        <v>1</v>
      </c>
      <c r="AE56" s="1">
        <f t="shared" si="22"/>
        <v>0</v>
      </c>
    </row>
    <row r="57" spans="1:31" x14ac:dyDescent="0.25">
      <c r="A57" s="3" t="s">
        <v>22</v>
      </c>
      <c r="B57" s="1">
        <f t="shared" si="20"/>
        <v>1</v>
      </c>
      <c r="C57" s="1">
        <f t="shared" ref="C57:AE57" si="23">IF(C23&gt;$D$35,1,0)</f>
        <v>0</v>
      </c>
      <c r="D57" s="1">
        <f t="shared" si="23"/>
        <v>1</v>
      </c>
      <c r="E57" s="1">
        <f t="shared" si="23"/>
        <v>0</v>
      </c>
      <c r="F57" s="1">
        <f t="shared" si="23"/>
        <v>0</v>
      </c>
      <c r="G57" s="1">
        <f t="shared" si="23"/>
        <v>0</v>
      </c>
      <c r="H57" s="1">
        <f t="shared" si="23"/>
        <v>0</v>
      </c>
      <c r="I57" s="1">
        <f t="shared" si="23"/>
        <v>0</v>
      </c>
      <c r="J57" s="1">
        <f t="shared" si="23"/>
        <v>0</v>
      </c>
      <c r="K57" s="1">
        <f t="shared" si="23"/>
        <v>0</v>
      </c>
      <c r="L57" s="1">
        <f t="shared" si="23"/>
        <v>0</v>
      </c>
      <c r="M57" s="1">
        <f t="shared" si="23"/>
        <v>0</v>
      </c>
      <c r="N57" s="1">
        <f t="shared" si="23"/>
        <v>0</v>
      </c>
      <c r="O57" s="1">
        <f t="shared" si="23"/>
        <v>0</v>
      </c>
      <c r="P57" s="1">
        <f t="shared" si="23"/>
        <v>0</v>
      </c>
      <c r="Q57" s="1">
        <f t="shared" si="23"/>
        <v>0</v>
      </c>
      <c r="R57" s="1">
        <f t="shared" si="23"/>
        <v>0</v>
      </c>
      <c r="S57" s="1">
        <f t="shared" si="23"/>
        <v>0</v>
      </c>
      <c r="T57" s="1">
        <f t="shared" si="23"/>
        <v>1</v>
      </c>
      <c r="U57" s="1">
        <f t="shared" si="23"/>
        <v>1</v>
      </c>
      <c r="V57" s="1">
        <f t="shared" si="23"/>
        <v>0</v>
      </c>
      <c r="W57" s="1">
        <f t="shared" si="23"/>
        <v>0</v>
      </c>
      <c r="X57" s="1">
        <f t="shared" si="23"/>
        <v>0</v>
      </c>
      <c r="Y57" s="1">
        <f t="shared" si="23"/>
        <v>0</v>
      </c>
      <c r="Z57" s="1">
        <f t="shared" si="23"/>
        <v>0</v>
      </c>
      <c r="AA57" s="1">
        <f t="shared" si="23"/>
        <v>0</v>
      </c>
      <c r="AB57" s="1">
        <f t="shared" si="23"/>
        <v>0</v>
      </c>
      <c r="AC57" s="1">
        <f t="shared" si="23"/>
        <v>0</v>
      </c>
      <c r="AD57" s="1">
        <f t="shared" si="23"/>
        <v>0</v>
      </c>
      <c r="AE57" s="1">
        <f t="shared" si="23"/>
        <v>0</v>
      </c>
    </row>
    <row r="58" spans="1:31" x14ac:dyDescent="0.25">
      <c r="A58" s="3" t="s">
        <v>23</v>
      </c>
      <c r="B58" s="1">
        <f t="shared" si="20"/>
        <v>1</v>
      </c>
      <c r="C58" s="1">
        <f t="shared" ref="C58:AE58" si="24">IF(C24&gt;$D$35,1,0)</f>
        <v>0</v>
      </c>
      <c r="D58" s="1">
        <f t="shared" si="24"/>
        <v>1</v>
      </c>
      <c r="E58" s="1">
        <f t="shared" si="24"/>
        <v>0</v>
      </c>
      <c r="F58" s="1">
        <f t="shared" si="24"/>
        <v>0</v>
      </c>
      <c r="G58" s="1">
        <f t="shared" si="24"/>
        <v>0</v>
      </c>
      <c r="H58" s="1">
        <f t="shared" si="24"/>
        <v>0</v>
      </c>
      <c r="I58" s="1">
        <f t="shared" si="24"/>
        <v>0</v>
      </c>
      <c r="J58" s="1">
        <f t="shared" si="24"/>
        <v>0</v>
      </c>
      <c r="K58" s="1">
        <f t="shared" si="24"/>
        <v>0</v>
      </c>
      <c r="L58" s="1">
        <f t="shared" si="24"/>
        <v>0</v>
      </c>
      <c r="M58" s="1">
        <f t="shared" si="24"/>
        <v>0</v>
      </c>
      <c r="N58" s="1">
        <f t="shared" si="24"/>
        <v>0</v>
      </c>
      <c r="O58" s="1">
        <f t="shared" si="24"/>
        <v>0</v>
      </c>
      <c r="P58" s="1">
        <f t="shared" si="24"/>
        <v>0</v>
      </c>
      <c r="Q58" s="1">
        <f t="shared" si="24"/>
        <v>0</v>
      </c>
      <c r="R58" s="1">
        <f t="shared" si="24"/>
        <v>0</v>
      </c>
      <c r="S58" s="1">
        <f t="shared" si="24"/>
        <v>0</v>
      </c>
      <c r="T58" s="1">
        <f t="shared" si="24"/>
        <v>1</v>
      </c>
      <c r="U58" s="1">
        <f t="shared" si="24"/>
        <v>1</v>
      </c>
      <c r="V58" s="1">
        <f t="shared" si="24"/>
        <v>0</v>
      </c>
      <c r="W58" s="1">
        <f t="shared" si="24"/>
        <v>0</v>
      </c>
      <c r="X58" s="1">
        <f t="shared" si="24"/>
        <v>0</v>
      </c>
      <c r="Y58" s="1">
        <f t="shared" si="24"/>
        <v>0</v>
      </c>
      <c r="Z58" s="1">
        <f t="shared" si="24"/>
        <v>0</v>
      </c>
      <c r="AA58" s="1">
        <f t="shared" si="24"/>
        <v>0</v>
      </c>
      <c r="AB58" s="1">
        <f t="shared" si="24"/>
        <v>0</v>
      </c>
      <c r="AC58" s="1">
        <f t="shared" si="24"/>
        <v>0</v>
      </c>
      <c r="AD58" s="1">
        <f t="shared" si="24"/>
        <v>0</v>
      </c>
      <c r="AE58" s="1">
        <f t="shared" si="24"/>
        <v>0</v>
      </c>
    </row>
    <row r="59" spans="1:31" x14ac:dyDescent="0.25">
      <c r="A59" s="3" t="s">
        <v>24</v>
      </c>
      <c r="B59" s="1">
        <f t="shared" si="20"/>
        <v>1</v>
      </c>
      <c r="C59" s="1">
        <f t="shared" ref="C59:AE59" si="25">IF(C25&gt;$D$35,1,0)</f>
        <v>0</v>
      </c>
      <c r="D59" s="1">
        <f t="shared" si="25"/>
        <v>0</v>
      </c>
      <c r="E59" s="1">
        <f t="shared" si="25"/>
        <v>0</v>
      </c>
      <c r="F59" s="1">
        <f t="shared" si="25"/>
        <v>0</v>
      </c>
      <c r="G59" s="1">
        <f t="shared" si="25"/>
        <v>0</v>
      </c>
      <c r="H59" s="1">
        <f t="shared" si="25"/>
        <v>0</v>
      </c>
      <c r="I59" s="1">
        <f t="shared" si="25"/>
        <v>0</v>
      </c>
      <c r="J59" s="1">
        <f t="shared" si="25"/>
        <v>0</v>
      </c>
      <c r="K59" s="1">
        <f t="shared" si="25"/>
        <v>0</v>
      </c>
      <c r="L59" s="1">
        <f t="shared" si="25"/>
        <v>0</v>
      </c>
      <c r="M59" s="1">
        <f t="shared" si="25"/>
        <v>0</v>
      </c>
      <c r="N59" s="1">
        <f t="shared" si="25"/>
        <v>0</v>
      </c>
      <c r="O59" s="1">
        <f t="shared" si="25"/>
        <v>0</v>
      </c>
      <c r="P59" s="1">
        <f t="shared" si="25"/>
        <v>0</v>
      </c>
      <c r="Q59" s="1">
        <f t="shared" si="25"/>
        <v>0</v>
      </c>
      <c r="R59" s="1">
        <f t="shared" si="25"/>
        <v>0</v>
      </c>
      <c r="S59" s="1">
        <f t="shared" si="25"/>
        <v>0</v>
      </c>
      <c r="T59" s="1">
        <f t="shared" si="25"/>
        <v>0</v>
      </c>
      <c r="U59" s="1">
        <f t="shared" si="25"/>
        <v>1</v>
      </c>
      <c r="V59" s="1">
        <f t="shared" si="25"/>
        <v>0</v>
      </c>
      <c r="W59" s="1">
        <f t="shared" si="25"/>
        <v>0</v>
      </c>
      <c r="X59" s="1">
        <f t="shared" si="25"/>
        <v>0</v>
      </c>
      <c r="Y59" s="1">
        <f t="shared" si="25"/>
        <v>0</v>
      </c>
      <c r="Z59" s="1">
        <f t="shared" si="25"/>
        <v>0</v>
      </c>
      <c r="AA59" s="1">
        <f t="shared" si="25"/>
        <v>0</v>
      </c>
      <c r="AB59" s="1">
        <f t="shared" si="25"/>
        <v>0</v>
      </c>
      <c r="AC59" s="1">
        <f t="shared" si="25"/>
        <v>0</v>
      </c>
      <c r="AD59" s="1">
        <f t="shared" si="25"/>
        <v>0</v>
      </c>
      <c r="AE59" s="1">
        <f t="shared" si="25"/>
        <v>0</v>
      </c>
    </row>
    <row r="60" spans="1:31" x14ac:dyDescent="0.25">
      <c r="A60" s="3" t="s">
        <v>25</v>
      </c>
      <c r="B60" s="1">
        <f t="shared" si="20"/>
        <v>1</v>
      </c>
      <c r="C60" s="1">
        <f t="shared" ref="C60:AE60" si="26">IF(C26&gt;$D$35,1,0)</f>
        <v>0</v>
      </c>
      <c r="D60" s="1">
        <f t="shared" si="26"/>
        <v>1</v>
      </c>
      <c r="E60" s="1">
        <f t="shared" si="26"/>
        <v>0</v>
      </c>
      <c r="F60" s="1">
        <f t="shared" si="26"/>
        <v>0</v>
      </c>
      <c r="G60" s="1">
        <f t="shared" si="26"/>
        <v>0</v>
      </c>
      <c r="H60" s="1">
        <f t="shared" si="26"/>
        <v>0</v>
      </c>
      <c r="I60" s="1">
        <f t="shared" si="26"/>
        <v>0</v>
      </c>
      <c r="J60" s="1">
        <f t="shared" si="26"/>
        <v>0</v>
      </c>
      <c r="K60" s="1">
        <f t="shared" si="26"/>
        <v>0</v>
      </c>
      <c r="L60" s="1">
        <f t="shared" si="26"/>
        <v>0</v>
      </c>
      <c r="M60" s="1">
        <f t="shared" si="26"/>
        <v>0</v>
      </c>
      <c r="N60" s="1">
        <f t="shared" si="26"/>
        <v>0</v>
      </c>
      <c r="O60" s="1">
        <f t="shared" si="26"/>
        <v>0</v>
      </c>
      <c r="P60" s="1">
        <f t="shared" si="26"/>
        <v>0</v>
      </c>
      <c r="Q60" s="1">
        <f t="shared" si="26"/>
        <v>0</v>
      </c>
      <c r="R60" s="1">
        <f t="shared" si="26"/>
        <v>0</v>
      </c>
      <c r="S60" s="1">
        <f t="shared" si="26"/>
        <v>0</v>
      </c>
      <c r="T60" s="1">
        <f t="shared" si="26"/>
        <v>1</v>
      </c>
      <c r="U60" s="1">
        <f t="shared" si="26"/>
        <v>1</v>
      </c>
      <c r="V60" s="1">
        <f t="shared" si="26"/>
        <v>0</v>
      </c>
      <c r="W60" s="1">
        <f t="shared" si="26"/>
        <v>0</v>
      </c>
      <c r="X60" s="1">
        <f t="shared" si="26"/>
        <v>0</v>
      </c>
      <c r="Y60" s="1">
        <f t="shared" si="26"/>
        <v>0</v>
      </c>
      <c r="Z60" s="1">
        <f t="shared" si="26"/>
        <v>0</v>
      </c>
      <c r="AA60" s="1">
        <f t="shared" si="26"/>
        <v>0</v>
      </c>
      <c r="AB60" s="1">
        <f t="shared" si="26"/>
        <v>0</v>
      </c>
      <c r="AC60" s="1">
        <f t="shared" si="26"/>
        <v>0</v>
      </c>
      <c r="AD60" s="1">
        <f t="shared" si="26"/>
        <v>0</v>
      </c>
      <c r="AE60" s="1">
        <f t="shared" si="26"/>
        <v>0</v>
      </c>
    </row>
    <row r="61" spans="1:31" x14ac:dyDescent="0.25">
      <c r="A61" s="3" t="s">
        <v>26</v>
      </c>
      <c r="B61" s="1">
        <f t="shared" si="20"/>
        <v>1</v>
      </c>
      <c r="C61" s="1">
        <f t="shared" ref="C61:AE61" si="27">IF(C27&gt;$D$35,1,0)</f>
        <v>0</v>
      </c>
      <c r="D61" s="1">
        <f t="shared" si="27"/>
        <v>1</v>
      </c>
      <c r="E61" s="1">
        <f t="shared" si="27"/>
        <v>0</v>
      </c>
      <c r="F61" s="1">
        <f t="shared" si="27"/>
        <v>0</v>
      </c>
      <c r="G61" s="1">
        <f t="shared" si="27"/>
        <v>0</v>
      </c>
      <c r="H61" s="1">
        <f t="shared" si="27"/>
        <v>0</v>
      </c>
      <c r="I61" s="1">
        <f t="shared" si="27"/>
        <v>0</v>
      </c>
      <c r="J61" s="1">
        <f t="shared" si="27"/>
        <v>0</v>
      </c>
      <c r="K61" s="1">
        <f t="shared" si="27"/>
        <v>0</v>
      </c>
      <c r="L61" s="1">
        <f t="shared" si="27"/>
        <v>0</v>
      </c>
      <c r="M61" s="1">
        <f t="shared" si="27"/>
        <v>0</v>
      </c>
      <c r="N61" s="1">
        <f t="shared" si="27"/>
        <v>0</v>
      </c>
      <c r="O61" s="1">
        <f t="shared" si="27"/>
        <v>0</v>
      </c>
      <c r="P61" s="1">
        <f t="shared" si="27"/>
        <v>0</v>
      </c>
      <c r="Q61" s="1">
        <f t="shared" si="27"/>
        <v>0</v>
      </c>
      <c r="R61" s="1">
        <f t="shared" si="27"/>
        <v>0</v>
      </c>
      <c r="S61" s="1">
        <f t="shared" si="27"/>
        <v>0</v>
      </c>
      <c r="T61" s="1">
        <f t="shared" si="27"/>
        <v>1</v>
      </c>
      <c r="U61" s="1">
        <f t="shared" si="27"/>
        <v>1</v>
      </c>
      <c r="V61" s="1">
        <f t="shared" si="27"/>
        <v>0</v>
      </c>
      <c r="W61" s="1">
        <f t="shared" si="27"/>
        <v>0</v>
      </c>
      <c r="X61" s="1">
        <f t="shared" si="27"/>
        <v>0</v>
      </c>
      <c r="Y61" s="1">
        <f t="shared" si="27"/>
        <v>0</v>
      </c>
      <c r="Z61" s="1">
        <f t="shared" si="27"/>
        <v>0</v>
      </c>
      <c r="AA61" s="1">
        <f t="shared" si="27"/>
        <v>0</v>
      </c>
      <c r="AB61" s="1">
        <f t="shared" si="27"/>
        <v>0</v>
      </c>
      <c r="AC61" s="1">
        <f t="shared" si="27"/>
        <v>0</v>
      </c>
      <c r="AD61" s="1">
        <f t="shared" si="27"/>
        <v>0</v>
      </c>
      <c r="AE61" s="1">
        <f t="shared" si="27"/>
        <v>0</v>
      </c>
    </row>
    <row r="62" spans="1:31" x14ac:dyDescent="0.25">
      <c r="A62" s="3" t="s">
        <v>27</v>
      </c>
      <c r="B62" s="1">
        <f t="shared" si="20"/>
        <v>1</v>
      </c>
      <c r="C62" s="1">
        <f t="shared" ref="C62:AE62" si="28">IF(C28&gt;$D$35,1,0)</f>
        <v>0</v>
      </c>
      <c r="D62" s="1">
        <f t="shared" si="28"/>
        <v>1</v>
      </c>
      <c r="E62" s="1">
        <f t="shared" si="28"/>
        <v>0</v>
      </c>
      <c r="F62" s="1">
        <f t="shared" si="28"/>
        <v>0</v>
      </c>
      <c r="G62" s="1">
        <f t="shared" si="28"/>
        <v>0</v>
      </c>
      <c r="H62" s="1">
        <f t="shared" si="28"/>
        <v>0</v>
      </c>
      <c r="I62" s="1">
        <f t="shared" si="28"/>
        <v>0</v>
      </c>
      <c r="J62" s="1">
        <f t="shared" si="28"/>
        <v>0</v>
      </c>
      <c r="K62" s="1">
        <f t="shared" si="28"/>
        <v>0</v>
      </c>
      <c r="L62" s="1">
        <f t="shared" si="28"/>
        <v>0</v>
      </c>
      <c r="M62" s="1">
        <f t="shared" si="28"/>
        <v>0</v>
      </c>
      <c r="N62" s="1">
        <f t="shared" si="28"/>
        <v>0</v>
      </c>
      <c r="O62" s="1">
        <f t="shared" si="28"/>
        <v>0</v>
      </c>
      <c r="P62" s="1">
        <f t="shared" si="28"/>
        <v>0</v>
      </c>
      <c r="Q62" s="1">
        <f t="shared" si="28"/>
        <v>0</v>
      </c>
      <c r="R62" s="1">
        <f t="shared" si="28"/>
        <v>0</v>
      </c>
      <c r="S62" s="1">
        <f t="shared" si="28"/>
        <v>0</v>
      </c>
      <c r="T62" s="1">
        <f t="shared" si="28"/>
        <v>1</v>
      </c>
      <c r="U62" s="1">
        <f t="shared" si="28"/>
        <v>1</v>
      </c>
      <c r="V62" s="1">
        <f t="shared" si="28"/>
        <v>0</v>
      </c>
      <c r="W62" s="1">
        <f t="shared" si="28"/>
        <v>0</v>
      </c>
      <c r="X62" s="1">
        <f t="shared" si="28"/>
        <v>0</v>
      </c>
      <c r="Y62" s="1">
        <f t="shared" si="28"/>
        <v>0</v>
      </c>
      <c r="Z62" s="1">
        <f t="shared" si="28"/>
        <v>0</v>
      </c>
      <c r="AA62" s="1">
        <f t="shared" si="28"/>
        <v>0</v>
      </c>
      <c r="AB62" s="1">
        <f t="shared" si="28"/>
        <v>0</v>
      </c>
      <c r="AC62" s="1">
        <f t="shared" si="28"/>
        <v>0</v>
      </c>
      <c r="AD62" s="1">
        <f t="shared" si="28"/>
        <v>0</v>
      </c>
      <c r="AE62" s="1">
        <f t="shared" si="28"/>
        <v>0</v>
      </c>
    </row>
    <row r="63" spans="1:31" x14ac:dyDescent="0.25">
      <c r="A63" s="3" t="s">
        <v>28</v>
      </c>
      <c r="B63" s="1">
        <f t="shared" si="20"/>
        <v>1</v>
      </c>
      <c r="C63" s="1">
        <f t="shared" ref="C63:AE63" si="29">IF(C29&gt;$D$35,1,0)</f>
        <v>0</v>
      </c>
      <c r="D63" s="1">
        <f t="shared" si="29"/>
        <v>1</v>
      </c>
      <c r="E63" s="1">
        <f t="shared" si="29"/>
        <v>0</v>
      </c>
      <c r="F63" s="1">
        <f t="shared" si="29"/>
        <v>0</v>
      </c>
      <c r="G63" s="1">
        <f t="shared" si="29"/>
        <v>0</v>
      </c>
      <c r="H63" s="1">
        <f t="shared" si="29"/>
        <v>0</v>
      </c>
      <c r="I63" s="1">
        <f t="shared" si="29"/>
        <v>0</v>
      </c>
      <c r="J63" s="1">
        <f t="shared" si="29"/>
        <v>0</v>
      </c>
      <c r="K63" s="1">
        <f t="shared" si="29"/>
        <v>0</v>
      </c>
      <c r="L63" s="1">
        <f t="shared" si="29"/>
        <v>0</v>
      </c>
      <c r="M63" s="1">
        <f t="shared" si="29"/>
        <v>0</v>
      </c>
      <c r="N63" s="1">
        <f t="shared" si="29"/>
        <v>0</v>
      </c>
      <c r="O63" s="1">
        <f t="shared" si="29"/>
        <v>0</v>
      </c>
      <c r="P63" s="1">
        <f t="shared" si="29"/>
        <v>0</v>
      </c>
      <c r="Q63" s="1">
        <f t="shared" si="29"/>
        <v>0</v>
      </c>
      <c r="R63" s="1">
        <f t="shared" si="29"/>
        <v>0</v>
      </c>
      <c r="S63" s="1">
        <f t="shared" si="29"/>
        <v>0</v>
      </c>
      <c r="T63" s="1">
        <f t="shared" si="29"/>
        <v>1</v>
      </c>
      <c r="U63" s="1">
        <f t="shared" si="29"/>
        <v>1</v>
      </c>
      <c r="V63" s="1">
        <f t="shared" si="29"/>
        <v>0</v>
      </c>
      <c r="W63" s="1">
        <f t="shared" si="29"/>
        <v>0</v>
      </c>
      <c r="X63" s="1">
        <f t="shared" si="29"/>
        <v>0</v>
      </c>
      <c r="Y63" s="1">
        <f t="shared" si="29"/>
        <v>0</v>
      </c>
      <c r="Z63" s="1">
        <f t="shared" si="29"/>
        <v>0</v>
      </c>
      <c r="AA63" s="1">
        <f t="shared" si="29"/>
        <v>0</v>
      </c>
      <c r="AB63" s="1">
        <f t="shared" si="29"/>
        <v>0</v>
      </c>
      <c r="AC63" s="1">
        <f t="shared" si="29"/>
        <v>0</v>
      </c>
      <c r="AD63" s="1">
        <f t="shared" si="29"/>
        <v>0</v>
      </c>
      <c r="AE63" s="1">
        <f t="shared" si="29"/>
        <v>0</v>
      </c>
    </row>
    <row r="64" spans="1:31" x14ac:dyDescent="0.25">
      <c r="A64" s="3" t="s">
        <v>29</v>
      </c>
      <c r="B64" s="1">
        <f t="shared" si="20"/>
        <v>1</v>
      </c>
      <c r="C64" s="1">
        <f t="shared" ref="C64:AE64" si="30">IF(C30&gt;$D$35,1,0)</f>
        <v>0</v>
      </c>
      <c r="D64" s="1">
        <f t="shared" si="30"/>
        <v>1</v>
      </c>
      <c r="E64" s="1">
        <f t="shared" si="30"/>
        <v>0</v>
      </c>
      <c r="F64" s="1">
        <f t="shared" si="30"/>
        <v>0</v>
      </c>
      <c r="G64" s="1">
        <f t="shared" si="30"/>
        <v>0</v>
      </c>
      <c r="H64" s="1">
        <f t="shared" si="30"/>
        <v>0</v>
      </c>
      <c r="I64" s="1">
        <f t="shared" si="30"/>
        <v>0</v>
      </c>
      <c r="J64" s="1">
        <f t="shared" si="30"/>
        <v>0</v>
      </c>
      <c r="K64" s="1">
        <f t="shared" si="30"/>
        <v>0</v>
      </c>
      <c r="L64" s="1">
        <f t="shared" si="30"/>
        <v>0</v>
      </c>
      <c r="M64" s="1">
        <f t="shared" si="30"/>
        <v>0</v>
      </c>
      <c r="N64" s="1">
        <f t="shared" si="30"/>
        <v>0</v>
      </c>
      <c r="O64" s="1">
        <f t="shared" si="30"/>
        <v>0</v>
      </c>
      <c r="P64" s="1">
        <f t="shared" si="30"/>
        <v>0</v>
      </c>
      <c r="Q64" s="1">
        <f t="shared" si="30"/>
        <v>0</v>
      </c>
      <c r="R64" s="1">
        <f t="shared" si="30"/>
        <v>0</v>
      </c>
      <c r="S64" s="1">
        <f t="shared" si="30"/>
        <v>0</v>
      </c>
      <c r="T64" s="1">
        <f t="shared" si="30"/>
        <v>1</v>
      </c>
      <c r="U64" s="1">
        <f t="shared" si="30"/>
        <v>1</v>
      </c>
      <c r="V64" s="1">
        <f t="shared" si="30"/>
        <v>0</v>
      </c>
      <c r="W64" s="1">
        <f t="shared" si="30"/>
        <v>0</v>
      </c>
      <c r="X64" s="1">
        <f t="shared" si="30"/>
        <v>0</v>
      </c>
      <c r="Y64" s="1">
        <f t="shared" si="30"/>
        <v>0</v>
      </c>
      <c r="Z64" s="1">
        <f t="shared" si="30"/>
        <v>0</v>
      </c>
      <c r="AA64" s="1">
        <f t="shared" si="30"/>
        <v>0</v>
      </c>
      <c r="AB64" s="1">
        <f t="shared" si="30"/>
        <v>0</v>
      </c>
      <c r="AC64" s="1">
        <f t="shared" si="30"/>
        <v>0</v>
      </c>
      <c r="AD64" s="1">
        <f t="shared" si="30"/>
        <v>0</v>
      </c>
      <c r="AE64" s="1">
        <f t="shared" si="30"/>
        <v>0</v>
      </c>
    </row>
    <row r="65" spans="1:32" x14ac:dyDescent="0.25">
      <c r="A65" s="3" t="s">
        <v>30</v>
      </c>
      <c r="B65" s="1">
        <f t="shared" si="20"/>
        <v>1</v>
      </c>
      <c r="C65" s="1">
        <f t="shared" ref="C65:AE65" si="31">IF(C31&gt;$D$35,1,0)</f>
        <v>0</v>
      </c>
      <c r="D65" s="1">
        <f t="shared" si="31"/>
        <v>0</v>
      </c>
      <c r="E65" s="1">
        <f t="shared" si="31"/>
        <v>0</v>
      </c>
      <c r="F65" s="1">
        <f t="shared" si="31"/>
        <v>0</v>
      </c>
      <c r="G65" s="1">
        <f t="shared" si="31"/>
        <v>0</v>
      </c>
      <c r="H65" s="1">
        <f t="shared" si="31"/>
        <v>0</v>
      </c>
      <c r="I65" s="1">
        <f t="shared" si="31"/>
        <v>0</v>
      </c>
      <c r="J65" s="1">
        <f t="shared" si="31"/>
        <v>0</v>
      </c>
      <c r="K65" s="1">
        <f t="shared" si="31"/>
        <v>0</v>
      </c>
      <c r="L65" s="1">
        <f t="shared" si="31"/>
        <v>0</v>
      </c>
      <c r="M65" s="1">
        <f t="shared" si="31"/>
        <v>0</v>
      </c>
      <c r="N65" s="1">
        <f t="shared" si="31"/>
        <v>0</v>
      </c>
      <c r="O65" s="1">
        <f t="shared" si="31"/>
        <v>0</v>
      </c>
      <c r="P65" s="1">
        <f t="shared" si="31"/>
        <v>0</v>
      </c>
      <c r="Q65" s="1">
        <f t="shared" si="31"/>
        <v>0</v>
      </c>
      <c r="R65" s="1">
        <f t="shared" si="31"/>
        <v>0</v>
      </c>
      <c r="S65" s="1">
        <f t="shared" si="31"/>
        <v>0</v>
      </c>
      <c r="T65" s="1">
        <f t="shared" si="31"/>
        <v>0</v>
      </c>
      <c r="U65" s="1">
        <f t="shared" si="31"/>
        <v>1</v>
      </c>
      <c r="V65" s="1">
        <f t="shared" si="31"/>
        <v>0</v>
      </c>
      <c r="W65" s="1">
        <f t="shared" si="31"/>
        <v>0</v>
      </c>
      <c r="X65" s="1">
        <f t="shared" si="31"/>
        <v>0</v>
      </c>
      <c r="Y65" s="1">
        <f t="shared" si="31"/>
        <v>0</v>
      </c>
      <c r="Z65" s="1">
        <f t="shared" si="31"/>
        <v>0</v>
      </c>
      <c r="AA65" s="1">
        <f t="shared" si="31"/>
        <v>0</v>
      </c>
      <c r="AB65" s="1">
        <f t="shared" si="31"/>
        <v>0</v>
      </c>
      <c r="AC65" s="1">
        <f t="shared" si="31"/>
        <v>0</v>
      </c>
      <c r="AD65" s="1">
        <f t="shared" si="31"/>
        <v>0</v>
      </c>
      <c r="AE65" s="1">
        <f t="shared" si="31"/>
        <v>0</v>
      </c>
    </row>
    <row r="66" spans="1:32" x14ac:dyDescent="0.25">
      <c r="A66" s="3" t="s">
        <v>31</v>
      </c>
      <c r="B66" s="1">
        <f t="shared" si="20"/>
        <v>1</v>
      </c>
      <c r="C66" s="1">
        <f t="shared" ref="C66:AE66" si="32">IF(C32&gt;$D$35,1,0)</f>
        <v>0</v>
      </c>
      <c r="D66" s="1">
        <f t="shared" si="32"/>
        <v>0</v>
      </c>
      <c r="E66" s="1">
        <f t="shared" si="32"/>
        <v>0</v>
      </c>
      <c r="F66" s="1">
        <f t="shared" si="32"/>
        <v>0</v>
      </c>
      <c r="G66" s="1">
        <f t="shared" si="32"/>
        <v>0</v>
      </c>
      <c r="H66" s="1">
        <f t="shared" si="32"/>
        <v>0</v>
      </c>
      <c r="I66" s="1">
        <f t="shared" si="32"/>
        <v>0</v>
      </c>
      <c r="J66" s="1">
        <f t="shared" si="32"/>
        <v>0</v>
      </c>
      <c r="K66" s="1">
        <f t="shared" si="32"/>
        <v>0</v>
      </c>
      <c r="L66" s="1">
        <f t="shared" si="32"/>
        <v>0</v>
      </c>
      <c r="M66" s="1">
        <f t="shared" si="32"/>
        <v>0</v>
      </c>
      <c r="N66" s="1">
        <f t="shared" si="32"/>
        <v>0</v>
      </c>
      <c r="O66" s="1">
        <f t="shared" si="32"/>
        <v>0</v>
      </c>
      <c r="P66" s="1">
        <f t="shared" si="32"/>
        <v>0</v>
      </c>
      <c r="Q66" s="1">
        <f t="shared" si="32"/>
        <v>0</v>
      </c>
      <c r="R66" s="1">
        <f t="shared" si="32"/>
        <v>0</v>
      </c>
      <c r="S66" s="1">
        <f t="shared" si="32"/>
        <v>0</v>
      </c>
      <c r="T66" s="1">
        <f t="shared" si="32"/>
        <v>0</v>
      </c>
      <c r="U66" s="1">
        <f t="shared" si="32"/>
        <v>0</v>
      </c>
      <c r="V66" s="1">
        <f t="shared" si="32"/>
        <v>0</v>
      </c>
      <c r="W66" s="1">
        <f t="shared" si="32"/>
        <v>0</v>
      </c>
      <c r="X66" s="1">
        <f t="shared" si="32"/>
        <v>0</v>
      </c>
      <c r="Y66" s="1">
        <f t="shared" si="32"/>
        <v>0</v>
      </c>
      <c r="Z66" s="1">
        <f t="shared" si="32"/>
        <v>0</v>
      </c>
      <c r="AA66" s="1">
        <f t="shared" si="32"/>
        <v>0</v>
      </c>
      <c r="AB66" s="1">
        <f t="shared" si="32"/>
        <v>0</v>
      </c>
      <c r="AC66" s="1">
        <f t="shared" si="32"/>
        <v>0</v>
      </c>
      <c r="AD66" s="1">
        <f t="shared" si="32"/>
        <v>0</v>
      </c>
      <c r="AE66" s="1">
        <f t="shared" si="32"/>
        <v>0</v>
      </c>
    </row>
    <row r="69" spans="1:32" x14ac:dyDescent="0.25">
      <c r="C69" s="3" t="s">
        <v>2</v>
      </c>
      <c r="D69" s="3" t="s">
        <v>3</v>
      </c>
      <c r="E69" s="3" t="s">
        <v>4</v>
      </c>
      <c r="F69" s="3" t="s">
        <v>5</v>
      </c>
      <c r="G69" s="3" t="s">
        <v>6</v>
      </c>
      <c r="H69" s="3" t="s">
        <v>7</v>
      </c>
      <c r="I69" s="3" t="s">
        <v>8</v>
      </c>
      <c r="J69" s="3" t="s">
        <v>9</v>
      </c>
      <c r="K69" s="3" t="s">
        <v>10</v>
      </c>
      <c r="L69" s="3" t="s">
        <v>11</v>
      </c>
      <c r="M69" s="3" t="s">
        <v>12</v>
      </c>
      <c r="N69" s="3" t="s">
        <v>13</v>
      </c>
      <c r="O69" s="3" t="s">
        <v>14</v>
      </c>
      <c r="P69" s="3" t="s">
        <v>15</v>
      </c>
      <c r="Q69" s="3" t="s">
        <v>16</v>
      </c>
      <c r="R69" s="3" t="s">
        <v>17</v>
      </c>
      <c r="S69" s="3" t="s">
        <v>18</v>
      </c>
      <c r="T69" s="3" t="s">
        <v>19</v>
      </c>
      <c r="U69" s="3" t="s">
        <v>20</v>
      </c>
      <c r="V69" s="3" t="s">
        <v>21</v>
      </c>
      <c r="W69" s="3" t="s">
        <v>22</v>
      </c>
      <c r="X69" s="3" t="s">
        <v>23</v>
      </c>
      <c r="Y69" s="3" t="s">
        <v>24</v>
      </c>
      <c r="Z69" s="3" t="s">
        <v>25</v>
      </c>
      <c r="AA69" s="3" t="s">
        <v>26</v>
      </c>
      <c r="AB69" s="3" t="s">
        <v>27</v>
      </c>
      <c r="AC69" s="3" t="s">
        <v>28</v>
      </c>
      <c r="AD69" s="3" t="s">
        <v>29</v>
      </c>
      <c r="AE69" s="3" t="s">
        <v>30</v>
      </c>
      <c r="AF69" s="11" t="s">
        <v>31</v>
      </c>
    </row>
    <row r="70" spans="1:32" x14ac:dyDescent="0.25">
      <c r="A70" s="3" t="s">
        <v>2</v>
      </c>
      <c r="B70" s="1">
        <v>619</v>
      </c>
    </row>
    <row r="71" spans="1:32" x14ac:dyDescent="0.25">
      <c r="A71" s="3" t="s">
        <v>3</v>
      </c>
      <c r="B71" s="1">
        <v>89</v>
      </c>
      <c r="C71" s="1">
        <f>$B$70-B71</f>
        <v>530</v>
      </c>
    </row>
    <row r="72" spans="1:32" x14ac:dyDescent="0.25">
      <c r="A72" s="3" t="s">
        <v>4</v>
      </c>
      <c r="B72" s="1">
        <v>129</v>
      </c>
      <c r="C72" s="1">
        <f>$B$70-B72</f>
        <v>490</v>
      </c>
      <c r="D72" s="1">
        <f>ABS($B$71-B72)</f>
        <v>40</v>
      </c>
    </row>
    <row r="73" spans="1:32" x14ac:dyDescent="0.25">
      <c r="A73" s="3" t="s">
        <v>5</v>
      </c>
      <c r="B73" s="1">
        <v>33</v>
      </c>
      <c r="C73" s="1">
        <f>$B$70-B73</f>
        <v>586</v>
      </c>
      <c r="D73" s="1">
        <f t="shared" ref="D73:D99" si="33">ABS($B$71-B73)</f>
        <v>56</v>
      </c>
      <c r="E73" s="1">
        <f>ABS($B$72-B73)</f>
        <v>96</v>
      </c>
    </row>
    <row r="74" spans="1:32" x14ac:dyDescent="0.25">
      <c r="A74" s="3" t="s">
        <v>6</v>
      </c>
      <c r="B74" s="1">
        <v>60</v>
      </c>
      <c r="C74" s="1">
        <f t="shared" ref="C74:C99" si="34">$B$70-B74</f>
        <v>559</v>
      </c>
      <c r="D74" s="1">
        <f t="shared" si="33"/>
        <v>29</v>
      </c>
      <c r="E74" s="1">
        <f t="shared" ref="E74:E99" si="35">ABS($B$72-B74)</f>
        <v>69</v>
      </c>
      <c r="F74" s="1">
        <f>ABS($B$73-B74)</f>
        <v>27</v>
      </c>
    </row>
    <row r="75" spans="1:32" x14ac:dyDescent="0.25">
      <c r="A75" s="3" t="s">
        <v>7</v>
      </c>
      <c r="B75" s="1">
        <v>39</v>
      </c>
      <c r="C75" s="1">
        <f t="shared" si="34"/>
        <v>580</v>
      </c>
      <c r="D75" s="1">
        <f t="shared" si="33"/>
        <v>50</v>
      </c>
      <c r="E75" s="1">
        <f t="shared" si="35"/>
        <v>90</v>
      </c>
      <c r="F75" s="1">
        <f t="shared" ref="F75:F99" si="36">ABS($B$73-B75)</f>
        <v>6</v>
      </c>
      <c r="G75" s="1">
        <f>ABS($B$74-B75)</f>
        <v>21</v>
      </c>
    </row>
    <row r="76" spans="1:32" x14ac:dyDescent="0.25">
      <c r="A76" s="3" t="s">
        <v>8</v>
      </c>
      <c r="B76" s="1">
        <v>78</v>
      </c>
      <c r="C76" s="1">
        <f t="shared" si="34"/>
        <v>541</v>
      </c>
      <c r="D76" s="1">
        <f t="shared" si="33"/>
        <v>11</v>
      </c>
      <c r="E76" s="1">
        <f t="shared" si="35"/>
        <v>51</v>
      </c>
      <c r="F76" s="1">
        <f t="shared" si="36"/>
        <v>45</v>
      </c>
      <c r="G76" s="1">
        <f t="shared" ref="G76:G99" si="37">ABS($B$74-B76)</f>
        <v>18</v>
      </c>
      <c r="H76" s="1">
        <f>ABS($B$75-B76)</f>
        <v>39</v>
      </c>
    </row>
    <row r="77" spans="1:32" x14ac:dyDescent="0.25">
      <c r="A77" s="3" t="s">
        <v>9</v>
      </c>
      <c r="B77" s="1">
        <v>72</v>
      </c>
      <c r="C77" s="1">
        <f t="shared" si="34"/>
        <v>547</v>
      </c>
      <c r="D77" s="1">
        <f t="shared" si="33"/>
        <v>17</v>
      </c>
      <c r="E77" s="1">
        <f t="shared" si="35"/>
        <v>57</v>
      </c>
      <c r="F77" s="1">
        <f t="shared" si="36"/>
        <v>39</v>
      </c>
      <c r="G77" s="1">
        <f t="shared" si="37"/>
        <v>12</v>
      </c>
      <c r="H77" s="1">
        <f t="shared" ref="H77:H99" si="38">ABS($B$75-B77)</f>
        <v>33</v>
      </c>
      <c r="I77" s="1">
        <f>ABS($B$76-B77)</f>
        <v>6</v>
      </c>
    </row>
    <row r="78" spans="1:32" x14ac:dyDescent="0.25">
      <c r="A78" s="3" t="s">
        <v>10</v>
      </c>
      <c r="B78" s="1">
        <v>49</v>
      </c>
      <c r="C78" s="1">
        <f t="shared" si="34"/>
        <v>570</v>
      </c>
      <c r="D78" s="1">
        <f t="shared" si="33"/>
        <v>40</v>
      </c>
      <c r="E78" s="1">
        <f t="shared" si="35"/>
        <v>80</v>
      </c>
      <c r="F78" s="1">
        <f t="shared" si="36"/>
        <v>16</v>
      </c>
      <c r="G78" s="1">
        <f t="shared" si="37"/>
        <v>11</v>
      </c>
      <c r="H78" s="1">
        <f t="shared" si="38"/>
        <v>10</v>
      </c>
      <c r="I78" s="1">
        <f t="shared" ref="I78:I99" si="39">ABS($B$76-B78)</f>
        <v>29</v>
      </c>
      <c r="J78" s="1">
        <f>ABS($B$77-B78)</f>
        <v>23</v>
      </c>
    </row>
    <row r="79" spans="1:32" x14ac:dyDescent="0.25">
      <c r="A79" s="3" t="s">
        <v>11</v>
      </c>
      <c r="B79" s="1">
        <v>42</v>
      </c>
      <c r="C79" s="1">
        <f t="shared" si="34"/>
        <v>577</v>
      </c>
      <c r="D79" s="1">
        <f t="shared" si="33"/>
        <v>47</v>
      </c>
      <c r="E79" s="1">
        <f t="shared" si="35"/>
        <v>87</v>
      </c>
      <c r="F79" s="1">
        <f t="shared" si="36"/>
        <v>9</v>
      </c>
      <c r="G79" s="1">
        <f t="shared" si="37"/>
        <v>18</v>
      </c>
      <c r="H79" s="1">
        <f t="shared" si="38"/>
        <v>3</v>
      </c>
      <c r="I79" s="1">
        <f t="shared" si="39"/>
        <v>36</v>
      </c>
      <c r="J79" s="1">
        <f t="shared" ref="J79:J99" si="40">ABS($B$77-B79)</f>
        <v>30</v>
      </c>
      <c r="K79" s="1">
        <f>ABS($B$78-B79)</f>
        <v>7</v>
      </c>
    </row>
    <row r="80" spans="1:32" x14ac:dyDescent="0.25">
      <c r="A80" s="3" t="s">
        <v>12</v>
      </c>
      <c r="B80" s="1">
        <v>38</v>
      </c>
      <c r="C80" s="1">
        <f t="shared" si="34"/>
        <v>581</v>
      </c>
      <c r="D80" s="1">
        <f t="shared" si="33"/>
        <v>51</v>
      </c>
      <c r="E80" s="1">
        <f t="shared" si="35"/>
        <v>91</v>
      </c>
      <c r="F80" s="1">
        <f t="shared" si="36"/>
        <v>5</v>
      </c>
      <c r="G80" s="1">
        <f t="shared" si="37"/>
        <v>22</v>
      </c>
      <c r="H80" s="1">
        <f t="shared" si="38"/>
        <v>1</v>
      </c>
      <c r="I80" s="1">
        <f t="shared" si="39"/>
        <v>40</v>
      </c>
      <c r="J80" s="1">
        <f t="shared" si="40"/>
        <v>34</v>
      </c>
      <c r="K80" s="1">
        <f t="shared" ref="K80:K99" si="41">ABS($B$78-B80)</f>
        <v>11</v>
      </c>
      <c r="L80" s="1">
        <f>ABS($B$79-B80)</f>
        <v>4</v>
      </c>
    </row>
    <row r="81" spans="1:28" x14ac:dyDescent="0.25">
      <c r="A81" s="3" t="s">
        <v>13</v>
      </c>
      <c r="B81" s="1">
        <v>59</v>
      </c>
      <c r="C81" s="1">
        <f t="shared" si="34"/>
        <v>560</v>
      </c>
      <c r="D81" s="1">
        <f t="shared" si="33"/>
        <v>30</v>
      </c>
      <c r="E81" s="1">
        <f t="shared" si="35"/>
        <v>70</v>
      </c>
      <c r="F81" s="1">
        <f t="shared" si="36"/>
        <v>26</v>
      </c>
      <c r="G81" s="1">
        <f t="shared" si="37"/>
        <v>1</v>
      </c>
      <c r="H81" s="1">
        <f t="shared" si="38"/>
        <v>20</v>
      </c>
      <c r="I81" s="1">
        <f t="shared" si="39"/>
        <v>19</v>
      </c>
      <c r="J81" s="1">
        <f t="shared" si="40"/>
        <v>13</v>
      </c>
      <c r="K81" s="1">
        <f t="shared" si="41"/>
        <v>10</v>
      </c>
      <c r="L81" s="1">
        <f t="shared" ref="L81:L99" si="42">ABS($B$79-B81)</f>
        <v>17</v>
      </c>
      <c r="M81" s="1">
        <f>ABS($B$80-B81)</f>
        <v>21</v>
      </c>
    </row>
    <row r="82" spans="1:28" x14ac:dyDescent="0.25">
      <c r="A82" s="3" t="s">
        <v>14</v>
      </c>
      <c r="B82" s="1">
        <v>90</v>
      </c>
      <c r="C82" s="1">
        <f t="shared" si="34"/>
        <v>529</v>
      </c>
      <c r="D82" s="1">
        <f t="shared" si="33"/>
        <v>1</v>
      </c>
      <c r="E82" s="1">
        <f t="shared" si="35"/>
        <v>39</v>
      </c>
      <c r="F82" s="1">
        <f t="shared" si="36"/>
        <v>57</v>
      </c>
      <c r="G82" s="1">
        <f t="shared" si="37"/>
        <v>30</v>
      </c>
      <c r="H82" s="1">
        <f t="shared" si="38"/>
        <v>51</v>
      </c>
      <c r="I82" s="1">
        <f t="shared" si="39"/>
        <v>12</v>
      </c>
      <c r="J82" s="1">
        <f t="shared" si="40"/>
        <v>18</v>
      </c>
      <c r="K82" s="1">
        <f t="shared" si="41"/>
        <v>41</v>
      </c>
      <c r="L82" s="1">
        <f t="shared" si="42"/>
        <v>48</v>
      </c>
      <c r="M82" s="1">
        <f t="shared" ref="M82:M99" si="43">ABS($B$80-B82)</f>
        <v>52</v>
      </c>
      <c r="N82" s="1">
        <f>ABS($B$81-B82)</f>
        <v>31</v>
      </c>
    </row>
    <row r="83" spans="1:28" x14ac:dyDescent="0.25">
      <c r="A83" s="3" t="s">
        <v>15</v>
      </c>
      <c r="B83" s="1">
        <v>46</v>
      </c>
      <c r="C83" s="1">
        <f t="shared" si="34"/>
        <v>573</v>
      </c>
      <c r="D83" s="1">
        <f t="shared" si="33"/>
        <v>43</v>
      </c>
      <c r="E83" s="1">
        <f t="shared" si="35"/>
        <v>83</v>
      </c>
      <c r="F83" s="1">
        <f t="shared" si="36"/>
        <v>13</v>
      </c>
      <c r="G83" s="1">
        <f t="shared" si="37"/>
        <v>14</v>
      </c>
      <c r="H83" s="1">
        <f t="shared" si="38"/>
        <v>7</v>
      </c>
      <c r="I83" s="1">
        <f t="shared" si="39"/>
        <v>32</v>
      </c>
      <c r="J83" s="1">
        <f t="shared" si="40"/>
        <v>26</v>
      </c>
      <c r="K83" s="1">
        <f t="shared" si="41"/>
        <v>3</v>
      </c>
      <c r="L83" s="1">
        <f t="shared" si="42"/>
        <v>4</v>
      </c>
      <c r="M83" s="1">
        <f t="shared" si="43"/>
        <v>8</v>
      </c>
      <c r="N83" s="1">
        <f t="shared" ref="N83:N99" si="44">ABS($B$81-B83)</f>
        <v>13</v>
      </c>
      <c r="O83" s="1">
        <f>ABS($B$82-B83)</f>
        <v>44</v>
      </c>
    </row>
    <row r="84" spans="1:28" x14ac:dyDescent="0.25">
      <c r="A84" s="3" t="s">
        <v>16</v>
      </c>
      <c r="B84" s="1">
        <v>64</v>
      </c>
      <c r="C84" s="1">
        <f t="shared" si="34"/>
        <v>555</v>
      </c>
      <c r="D84" s="1">
        <f t="shared" si="33"/>
        <v>25</v>
      </c>
      <c r="E84" s="1">
        <f t="shared" si="35"/>
        <v>65</v>
      </c>
      <c r="F84" s="1">
        <f t="shared" si="36"/>
        <v>31</v>
      </c>
      <c r="G84" s="1">
        <f t="shared" si="37"/>
        <v>4</v>
      </c>
      <c r="H84" s="1">
        <f t="shared" si="38"/>
        <v>25</v>
      </c>
      <c r="I84" s="1">
        <f t="shared" si="39"/>
        <v>14</v>
      </c>
      <c r="J84" s="1">
        <f t="shared" si="40"/>
        <v>8</v>
      </c>
      <c r="K84" s="1">
        <f t="shared" si="41"/>
        <v>15</v>
      </c>
      <c r="L84" s="1">
        <f t="shared" si="42"/>
        <v>22</v>
      </c>
      <c r="M84" s="1">
        <f t="shared" si="43"/>
        <v>26</v>
      </c>
      <c r="N84" s="1">
        <f t="shared" si="44"/>
        <v>5</v>
      </c>
      <c r="O84" s="1">
        <f t="shared" ref="O84:O99" si="45">ABS($B$82-B84)</f>
        <v>26</v>
      </c>
      <c r="P84" s="1">
        <f>ABS($B$83-B84)</f>
        <v>18</v>
      </c>
    </row>
    <row r="85" spans="1:28" x14ac:dyDescent="0.25">
      <c r="A85" s="3" t="s">
        <v>17</v>
      </c>
      <c r="B85" s="1">
        <v>57</v>
      </c>
      <c r="C85" s="1">
        <f t="shared" si="34"/>
        <v>562</v>
      </c>
      <c r="D85" s="1">
        <f t="shared" si="33"/>
        <v>32</v>
      </c>
      <c r="E85" s="1">
        <f t="shared" si="35"/>
        <v>72</v>
      </c>
      <c r="F85" s="1">
        <f t="shared" si="36"/>
        <v>24</v>
      </c>
      <c r="G85" s="1">
        <f t="shared" si="37"/>
        <v>3</v>
      </c>
      <c r="H85" s="1">
        <f t="shared" si="38"/>
        <v>18</v>
      </c>
      <c r="I85" s="1">
        <f t="shared" si="39"/>
        <v>21</v>
      </c>
      <c r="J85" s="1">
        <f t="shared" si="40"/>
        <v>15</v>
      </c>
      <c r="K85" s="1">
        <f t="shared" si="41"/>
        <v>8</v>
      </c>
      <c r="L85" s="1">
        <f t="shared" si="42"/>
        <v>15</v>
      </c>
      <c r="M85" s="1">
        <f t="shared" si="43"/>
        <v>19</v>
      </c>
      <c r="N85" s="1">
        <f t="shared" si="44"/>
        <v>2</v>
      </c>
      <c r="O85" s="1">
        <f t="shared" si="45"/>
        <v>33</v>
      </c>
      <c r="P85" s="1">
        <f t="shared" ref="P85:P99" si="46">ABS($B$83-B85)</f>
        <v>11</v>
      </c>
      <c r="Q85" s="1">
        <f>ABS($B$84-B85)</f>
        <v>7</v>
      </c>
    </row>
    <row r="86" spans="1:28" x14ac:dyDescent="0.25">
      <c r="A86" s="3" t="s">
        <v>18</v>
      </c>
      <c r="B86" s="1">
        <v>61</v>
      </c>
      <c r="C86" s="1">
        <f t="shared" si="34"/>
        <v>558</v>
      </c>
      <c r="D86" s="1">
        <f t="shared" si="33"/>
        <v>28</v>
      </c>
      <c r="E86" s="1">
        <f t="shared" si="35"/>
        <v>68</v>
      </c>
      <c r="F86" s="1">
        <f t="shared" si="36"/>
        <v>28</v>
      </c>
      <c r="G86" s="1">
        <f t="shared" si="37"/>
        <v>1</v>
      </c>
      <c r="H86" s="1">
        <f t="shared" si="38"/>
        <v>22</v>
      </c>
      <c r="I86" s="1">
        <f t="shared" si="39"/>
        <v>17</v>
      </c>
      <c r="J86" s="1">
        <f t="shared" si="40"/>
        <v>11</v>
      </c>
      <c r="K86" s="1">
        <f t="shared" si="41"/>
        <v>12</v>
      </c>
      <c r="L86" s="1">
        <f t="shared" si="42"/>
        <v>19</v>
      </c>
      <c r="M86" s="1">
        <f t="shared" si="43"/>
        <v>23</v>
      </c>
      <c r="N86" s="1">
        <f t="shared" si="44"/>
        <v>2</v>
      </c>
      <c r="O86" s="1">
        <f t="shared" si="45"/>
        <v>29</v>
      </c>
      <c r="P86" s="1">
        <f t="shared" si="46"/>
        <v>15</v>
      </c>
      <c r="Q86" s="1">
        <f t="shared" ref="Q86:Q99" si="47">ABS($B$84-B86)</f>
        <v>3</v>
      </c>
      <c r="R86" s="1">
        <f>ABS($B$85-B86)</f>
        <v>4</v>
      </c>
    </row>
    <row r="87" spans="1:28" x14ac:dyDescent="0.25">
      <c r="A87" s="3" t="s">
        <v>19</v>
      </c>
      <c r="B87" s="1">
        <v>51</v>
      </c>
      <c r="C87" s="1">
        <f t="shared" si="34"/>
        <v>568</v>
      </c>
      <c r="D87" s="1">
        <f t="shared" si="33"/>
        <v>38</v>
      </c>
      <c r="E87" s="1">
        <f t="shared" si="35"/>
        <v>78</v>
      </c>
      <c r="F87" s="1">
        <f t="shared" si="36"/>
        <v>18</v>
      </c>
      <c r="G87" s="1">
        <f t="shared" si="37"/>
        <v>9</v>
      </c>
      <c r="H87" s="1">
        <f t="shared" si="38"/>
        <v>12</v>
      </c>
      <c r="I87" s="1">
        <f t="shared" si="39"/>
        <v>27</v>
      </c>
      <c r="J87" s="1">
        <f t="shared" si="40"/>
        <v>21</v>
      </c>
      <c r="K87" s="1">
        <f t="shared" si="41"/>
        <v>2</v>
      </c>
      <c r="L87" s="1">
        <f t="shared" si="42"/>
        <v>9</v>
      </c>
      <c r="M87" s="1">
        <f t="shared" si="43"/>
        <v>13</v>
      </c>
      <c r="N87" s="1">
        <f t="shared" si="44"/>
        <v>8</v>
      </c>
      <c r="O87" s="1">
        <f t="shared" si="45"/>
        <v>39</v>
      </c>
      <c r="P87" s="1">
        <f t="shared" si="46"/>
        <v>5</v>
      </c>
      <c r="Q87" s="1">
        <f t="shared" si="47"/>
        <v>13</v>
      </c>
      <c r="R87" s="1">
        <f t="shared" ref="R87:R99" si="48">ABS($B$85-B87)</f>
        <v>6</v>
      </c>
      <c r="S87" s="1">
        <f>ABS($B$86-B87)</f>
        <v>10</v>
      </c>
    </row>
    <row r="88" spans="1:28" x14ac:dyDescent="0.25">
      <c r="A88" s="3" t="s">
        <v>20</v>
      </c>
      <c r="B88" s="1">
        <v>133</v>
      </c>
      <c r="C88" s="1">
        <f t="shared" si="34"/>
        <v>486</v>
      </c>
      <c r="D88" s="1">
        <f t="shared" si="33"/>
        <v>44</v>
      </c>
      <c r="E88" s="1">
        <f t="shared" si="35"/>
        <v>4</v>
      </c>
      <c r="F88" s="1">
        <f t="shared" si="36"/>
        <v>100</v>
      </c>
      <c r="G88" s="1">
        <f t="shared" si="37"/>
        <v>73</v>
      </c>
      <c r="H88" s="1">
        <f t="shared" si="38"/>
        <v>94</v>
      </c>
      <c r="I88" s="1">
        <f t="shared" si="39"/>
        <v>55</v>
      </c>
      <c r="J88" s="1">
        <f t="shared" si="40"/>
        <v>61</v>
      </c>
      <c r="K88" s="1">
        <f t="shared" si="41"/>
        <v>84</v>
      </c>
      <c r="L88" s="1">
        <f t="shared" si="42"/>
        <v>91</v>
      </c>
      <c r="M88" s="1">
        <f t="shared" si="43"/>
        <v>95</v>
      </c>
      <c r="N88" s="1">
        <f t="shared" si="44"/>
        <v>74</v>
      </c>
      <c r="O88" s="1">
        <f t="shared" si="45"/>
        <v>43</v>
      </c>
      <c r="P88" s="1">
        <f t="shared" si="46"/>
        <v>87</v>
      </c>
      <c r="Q88" s="1">
        <f t="shared" si="47"/>
        <v>69</v>
      </c>
      <c r="R88" s="1">
        <f t="shared" si="48"/>
        <v>76</v>
      </c>
      <c r="S88" s="1">
        <f t="shared" ref="S88:S99" si="49">ABS($B$86-B88)</f>
        <v>72</v>
      </c>
      <c r="T88" s="1">
        <f>ABS($B$87-B88)</f>
        <v>82</v>
      </c>
    </row>
    <row r="89" spans="1:28" x14ac:dyDescent="0.25">
      <c r="A89" s="3" t="s">
        <v>21</v>
      </c>
      <c r="B89" s="1">
        <v>145</v>
      </c>
      <c r="C89" s="1">
        <f t="shared" si="34"/>
        <v>474</v>
      </c>
      <c r="D89" s="1">
        <f t="shared" si="33"/>
        <v>56</v>
      </c>
      <c r="E89" s="1">
        <f t="shared" si="35"/>
        <v>16</v>
      </c>
      <c r="F89" s="1">
        <f t="shared" si="36"/>
        <v>112</v>
      </c>
      <c r="G89" s="1">
        <f t="shared" si="37"/>
        <v>85</v>
      </c>
      <c r="H89" s="1">
        <f t="shared" si="38"/>
        <v>106</v>
      </c>
      <c r="I89" s="1">
        <f t="shared" si="39"/>
        <v>67</v>
      </c>
      <c r="J89" s="1">
        <f t="shared" si="40"/>
        <v>73</v>
      </c>
      <c r="K89" s="1">
        <f t="shared" si="41"/>
        <v>96</v>
      </c>
      <c r="L89" s="1">
        <f t="shared" si="42"/>
        <v>103</v>
      </c>
      <c r="M89" s="1">
        <f t="shared" si="43"/>
        <v>107</v>
      </c>
      <c r="N89" s="1">
        <f t="shared" si="44"/>
        <v>86</v>
      </c>
      <c r="O89" s="1">
        <f t="shared" si="45"/>
        <v>55</v>
      </c>
      <c r="P89" s="1">
        <f t="shared" si="46"/>
        <v>99</v>
      </c>
      <c r="Q89" s="1">
        <f t="shared" si="47"/>
        <v>81</v>
      </c>
      <c r="R89" s="1">
        <f t="shared" si="48"/>
        <v>88</v>
      </c>
      <c r="S89" s="1">
        <f t="shared" si="49"/>
        <v>84</v>
      </c>
      <c r="T89" s="1">
        <f t="shared" ref="T89:T99" si="50">ABS($B$87-B89)</f>
        <v>94</v>
      </c>
      <c r="U89" s="1">
        <f>ABS($B$88-B89)</f>
        <v>12</v>
      </c>
    </row>
    <row r="90" spans="1:28" x14ac:dyDescent="0.25">
      <c r="A90" s="3" t="s">
        <v>22</v>
      </c>
      <c r="B90" s="1">
        <v>46</v>
      </c>
      <c r="C90" s="1">
        <f t="shared" si="34"/>
        <v>573</v>
      </c>
      <c r="D90" s="1">
        <f t="shared" si="33"/>
        <v>43</v>
      </c>
      <c r="E90" s="1">
        <f t="shared" si="35"/>
        <v>83</v>
      </c>
      <c r="F90" s="1">
        <f t="shared" si="36"/>
        <v>13</v>
      </c>
      <c r="G90" s="1">
        <f t="shared" si="37"/>
        <v>14</v>
      </c>
      <c r="H90" s="1">
        <f t="shared" si="38"/>
        <v>7</v>
      </c>
      <c r="I90" s="1">
        <f t="shared" si="39"/>
        <v>32</v>
      </c>
      <c r="J90" s="1">
        <f t="shared" si="40"/>
        <v>26</v>
      </c>
      <c r="K90" s="1">
        <f t="shared" si="41"/>
        <v>3</v>
      </c>
      <c r="L90" s="1">
        <f t="shared" si="42"/>
        <v>4</v>
      </c>
      <c r="M90" s="1">
        <f t="shared" si="43"/>
        <v>8</v>
      </c>
      <c r="N90" s="1">
        <f t="shared" si="44"/>
        <v>13</v>
      </c>
      <c r="O90" s="1">
        <f t="shared" si="45"/>
        <v>44</v>
      </c>
      <c r="P90" s="1">
        <f t="shared" si="46"/>
        <v>0</v>
      </c>
      <c r="Q90" s="1">
        <f t="shared" si="47"/>
        <v>18</v>
      </c>
      <c r="R90" s="1">
        <f t="shared" si="48"/>
        <v>11</v>
      </c>
      <c r="S90" s="1">
        <f t="shared" si="49"/>
        <v>15</v>
      </c>
      <c r="T90" s="1">
        <f t="shared" si="50"/>
        <v>5</v>
      </c>
      <c r="U90" s="1">
        <f t="shared" ref="U90:U99" si="51">ABS($B$88-B90)</f>
        <v>87</v>
      </c>
      <c r="V90" s="1">
        <f>ABS($B$89-B90)</f>
        <v>99</v>
      </c>
    </row>
    <row r="91" spans="1:28" x14ac:dyDescent="0.25">
      <c r="A91" s="3" t="s">
        <v>23</v>
      </c>
      <c r="B91" s="1">
        <v>48</v>
      </c>
      <c r="C91" s="1">
        <f t="shared" si="34"/>
        <v>571</v>
      </c>
      <c r="D91" s="1">
        <f t="shared" si="33"/>
        <v>41</v>
      </c>
      <c r="E91" s="1">
        <f t="shared" si="35"/>
        <v>81</v>
      </c>
      <c r="F91" s="1">
        <f t="shared" si="36"/>
        <v>15</v>
      </c>
      <c r="G91" s="1">
        <f t="shared" si="37"/>
        <v>12</v>
      </c>
      <c r="H91" s="1">
        <f t="shared" si="38"/>
        <v>9</v>
      </c>
      <c r="I91" s="1">
        <f t="shared" si="39"/>
        <v>30</v>
      </c>
      <c r="J91" s="1">
        <f t="shared" si="40"/>
        <v>24</v>
      </c>
      <c r="K91" s="1">
        <f t="shared" si="41"/>
        <v>1</v>
      </c>
      <c r="L91" s="1">
        <f t="shared" si="42"/>
        <v>6</v>
      </c>
      <c r="M91" s="1">
        <f t="shared" si="43"/>
        <v>10</v>
      </c>
      <c r="N91" s="1">
        <f t="shared" si="44"/>
        <v>11</v>
      </c>
      <c r="O91" s="1">
        <f t="shared" si="45"/>
        <v>42</v>
      </c>
      <c r="P91" s="1">
        <f t="shared" si="46"/>
        <v>2</v>
      </c>
      <c r="Q91" s="1">
        <f t="shared" si="47"/>
        <v>16</v>
      </c>
      <c r="R91" s="1">
        <f t="shared" si="48"/>
        <v>9</v>
      </c>
      <c r="S91" s="1">
        <f t="shared" si="49"/>
        <v>13</v>
      </c>
      <c r="T91" s="1">
        <f t="shared" si="50"/>
        <v>3</v>
      </c>
      <c r="U91" s="1">
        <f t="shared" si="51"/>
        <v>85</v>
      </c>
      <c r="V91" s="1">
        <f t="shared" ref="V91:V99" si="52">ABS($B$89-B91)</f>
        <v>97</v>
      </c>
      <c r="W91" s="1">
        <f>ABS($B$90-B91)</f>
        <v>2</v>
      </c>
    </row>
    <row r="92" spans="1:28" x14ac:dyDescent="0.25">
      <c r="A92" s="3" t="s">
        <v>24</v>
      </c>
      <c r="B92" s="1">
        <v>71</v>
      </c>
      <c r="C92" s="1">
        <f t="shared" si="34"/>
        <v>548</v>
      </c>
      <c r="D92" s="1">
        <f t="shared" si="33"/>
        <v>18</v>
      </c>
      <c r="E92" s="1">
        <f t="shared" si="35"/>
        <v>58</v>
      </c>
      <c r="F92" s="1">
        <f t="shared" si="36"/>
        <v>38</v>
      </c>
      <c r="G92" s="1">
        <f t="shared" si="37"/>
        <v>11</v>
      </c>
      <c r="H92" s="1">
        <f t="shared" si="38"/>
        <v>32</v>
      </c>
      <c r="I92" s="1">
        <f t="shared" si="39"/>
        <v>7</v>
      </c>
      <c r="J92" s="1">
        <f t="shared" si="40"/>
        <v>1</v>
      </c>
      <c r="K92" s="1">
        <f t="shared" si="41"/>
        <v>22</v>
      </c>
      <c r="L92" s="1">
        <f t="shared" si="42"/>
        <v>29</v>
      </c>
      <c r="M92" s="1">
        <f t="shared" si="43"/>
        <v>33</v>
      </c>
      <c r="N92" s="1">
        <f t="shared" si="44"/>
        <v>12</v>
      </c>
      <c r="O92" s="1">
        <f t="shared" si="45"/>
        <v>19</v>
      </c>
      <c r="P92" s="1">
        <f t="shared" si="46"/>
        <v>25</v>
      </c>
      <c r="Q92" s="1">
        <f t="shared" si="47"/>
        <v>7</v>
      </c>
      <c r="R92" s="1">
        <f t="shared" si="48"/>
        <v>14</v>
      </c>
      <c r="S92" s="1">
        <f t="shared" si="49"/>
        <v>10</v>
      </c>
      <c r="T92" s="1">
        <f t="shared" si="50"/>
        <v>20</v>
      </c>
      <c r="U92" s="1">
        <f t="shared" si="51"/>
        <v>62</v>
      </c>
      <c r="V92" s="1">
        <f t="shared" si="52"/>
        <v>74</v>
      </c>
      <c r="W92" s="1">
        <f t="shared" ref="W92:W99" si="53">ABS($B$90-B92)</f>
        <v>25</v>
      </c>
      <c r="X92" s="1">
        <f>ABS($B$91-B92)</f>
        <v>23</v>
      </c>
    </row>
    <row r="93" spans="1:28" x14ac:dyDescent="0.25">
      <c r="A93" s="3" t="s">
        <v>25</v>
      </c>
      <c r="B93" s="1">
        <v>52</v>
      </c>
      <c r="C93" s="1">
        <f t="shared" si="34"/>
        <v>567</v>
      </c>
      <c r="D93" s="1">
        <f t="shared" si="33"/>
        <v>37</v>
      </c>
      <c r="E93" s="1">
        <f t="shared" si="35"/>
        <v>77</v>
      </c>
      <c r="F93" s="1">
        <f t="shared" si="36"/>
        <v>19</v>
      </c>
      <c r="G93" s="1">
        <f t="shared" si="37"/>
        <v>8</v>
      </c>
      <c r="H93" s="1">
        <f t="shared" si="38"/>
        <v>13</v>
      </c>
      <c r="I93" s="1">
        <f t="shared" si="39"/>
        <v>26</v>
      </c>
      <c r="J93" s="1">
        <f t="shared" si="40"/>
        <v>20</v>
      </c>
      <c r="K93" s="1">
        <f t="shared" si="41"/>
        <v>3</v>
      </c>
      <c r="L93" s="1">
        <f t="shared" si="42"/>
        <v>10</v>
      </c>
      <c r="M93" s="1">
        <f t="shared" si="43"/>
        <v>14</v>
      </c>
      <c r="N93" s="1">
        <f t="shared" si="44"/>
        <v>7</v>
      </c>
      <c r="O93" s="1">
        <f t="shared" si="45"/>
        <v>38</v>
      </c>
      <c r="P93" s="1">
        <f t="shared" si="46"/>
        <v>6</v>
      </c>
      <c r="Q93" s="1">
        <f t="shared" si="47"/>
        <v>12</v>
      </c>
      <c r="R93" s="1">
        <f t="shared" si="48"/>
        <v>5</v>
      </c>
      <c r="S93" s="1">
        <f t="shared" si="49"/>
        <v>9</v>
      </c>
      <c r="T93" s="1">
        <f t="shared" si="50"/>
        <v>1</v>
      </c>
      <c r="U93" s="1">
        <f t="shared" si="51"/>
        <v>81</v>
      </c>
      <c r="V93" s="1">
        <f t="shared" si="52"/>
        <v>93</v>
      </c>
      <c r="W93" s="1">
        <f t="shared" si="53"/>
        <v>6</v>
      </c>
      <c r="X93" s="1">
        <f t="shared" ref="X93:X99" si="54">ABS($B$91-B93)</f>
        <v>4</v>
      </c>
      <c r="Y93" s="1">
        <f>ABS($B$92-B93)</f>
        <v>19</v>
      </c>
    </row>
    <row r="94" spans="1:28" x14ac:dyDescent="0.25">
      <c r="A94" s="3" t="s">
        <v>26</v>
      </c>
      <c r="B94" s="1">
        <v>58</v>
      </c>
      <c r="C94" s="1">
        <f t="shared" si="34"/>
        <v>561</v>
      </c>
      <c r="D94" s="1">
        <f t="shared" si="33"/>
        <v>31</v>
      </c>
      <c r="E94" s="1">
        <f t="shared" si="35"/>
        <v>71</v>
      </c>
      <c r="F94" s="1">
        <f t="shared" si="36"/>
        <v>25</v>
      </c>
      <c r="G94" s="1">
        <f t="shared" si="37"/>
        <v>2</v>
      </c>
      <c r="H94" s="1">
        <f t="shared" si="38"/>
        <v>19</v>
      </c>
      <c r="I94" s="1">
        <f t="shared" si="39"/>
        <v>20</v>
      </c>
      <c r="J94" s="1">
        <f t="shared" si="40"/>
        <v>14</v>
      </c>
      <c r="K94" s="1">
        <f t="shared" si="41"/>
        <v>9</v>
      </c>
      <c r="L94" s="1">
        <f t="shared" si="42"/>
        <v>16</v>
      </c>
      <c r="M94" s="1">
        <f t="shared" si="43"/>
        <v>20</v>
      </c>
      <c r="N94" s="1">
        <f t="shared" si="44"/>
        <v>1</v>
      </c>
      <c r="O94" s="1">
        <f t="shared" si="45"/>
        <v>32</v>
      </c>
      <c r="P94" s="1">
        <f t="shared" si="46"/>
        <v>12</v>
      </c>
      <c r="Q94" s="1">
        <f t="shared" si="47"/>
        <v>6</v>
      </c>
      <c r="R94" s="1">
        <f t="shared" si="48"/>
        <v>1</v>
      </c>
      <c r="S94" s="1">
        <f t="shared" si="49"/>
        <v>3</v>
      </c>
      <c r="T94" s="1">
        <f t="shared" si="50"/>
        <v>7</v>
      </c>
      <c r="U94" s="1">
        <f t="shared" si="51"/>
        <v>75</v>
      </c>
      <c r="V94" s="1">
        <f t="shared" si="52"/>
        <v>87</v>
      </c>
      <c r="W94" s="1">
        <f t="shared" si="53"/>
        <v>12</v>
      </c>
      <c r="X94" s="1">
        <f t="shared" si="54"/>
        <v>10</v>
      </c>
      <c r="Y94" s="1">
        <f t="shared" ref="Y94:Y99" si="55">ABS($B$92-B94)</f>
        <v>13</v>
      </c>
      <c r="Z94" s="1">
        <f t="shared" ref="Z94:Z99" si="56">ABS($B$93-B94)</f>
        <v>6</v>
      </c>
    </row>
    <row r="95" spans="1:28" x14ac:dyDescent="0.25">
      <c r="A95" s="3" t="s">
        <v>27</v>
      </c>
      <c r="B95" s="1">
        <v>43</v>
      </c>
      <c r="C95" s="1">
        <f t="shared" si="34"/>
        <v>576</v>
      </c>
      <c r="D95" s="1">
        <f t="shared" si="33"/>
        <v>46</v>
      </c>
      <c r="E95" s="1">
        <f t="shared" si="35"/>
        <v>86</v>
      </c>
      <c r="F95" s="1">
        <f t="shared" si="36"/>
        <v>10</v>
      </c>
      <c r="G95" s="1">
        <f t="shared" si="37"/>
        <v>17</v>
      </c>
      <c r="H95" s="1">
        <f t="shared" si="38"/>
        <v>4</v>
      </c>
      <c r="I95" s="1">
        <f t="shared" si="39"/>
        <v>35</v>
      </c>
      <c r="J95" s="1">
        <f t="shared" si="40"/>
        <v>29</v>
      </c>
      <c r="K95" s="1">
        <f t="shared" si="41"/>
        <v>6</v>
      </c>
      <c r="L95" s="1">
        <f t="shared" si="42"/>
        <v>1</v>
      </c>
      <c r="M95" s="1">
        <f t="shared" si="43"/>
        <v>5</v>
      </c>
      <c r="N95" s="1">
        <f t="shared" si="44"/>
        <v>16</v>
      </c>
      <c r="O95" s="1">
        <f t="shared" si="45"/>
        <v>47</v>
      </c>
      <c r="P95" s="1">
        <f t="shared" si="46"/>
        <v>3</v>
      </c>
      <c r="Q95" s="1">
        <f t="shared" si="47"/>
        <v>21</v>
      </c>
      <c r="R95" s="1">
        <f t="shared" si="48"/>
        <v>14</v>
      </c>
      <c r="S95" s="1">
        <f t="shared" si="49"/>
        <v>18</v>
      </c>
      <c r="T95" s="1">
        <f t="shared" si="50"/>
        <v>8</v>
      </c>
      <c r="U95" s="1">
        <f t="shared" si="51"/>
        <v>90</v>
      </c>
      <c r="V95" s="1">
        <f t="shared" si="52"/>
        <v>102</v>
      </c>
      <c r="W95" s="1">
        <f t="shared" si="53"/>
        <v>3</v>
      </c>
      <c r="X95" s="1">
        <f t="shared" si="54"/>
        <v>5</v>
      </c>
      <c r="Y95" s="1">
        <f t="shared" si="55"/>
        <v>28</v>
      </c>
      <c r="Z95" s="1">
        <f t="shared" si="56"/>
        <v>9</v>
      </c>
      <c r="AA95" s="1">
        <f>ABS($B$94-B95)</f>
        <v>15</v>
      </c>
    </row>
    <row r="96" spans="1:28" x14ac:dyDescent="0.25">
      <c r="A96" s="3" t="s">
        <v>28</v>
      </c>
      <c r="B96" s="1">
        <v>42</v>
      </c>
      <c r="C96" s="1">
        <f t="shared" si="34"/>
        <v>577</v>
      </c>
      <c r="D96" s="1">
        <f t="shared" si="33"/>
        <v>47</v>
      </c>
      <c r="E96" s="1">
        <f t="shared" si="35"/>
        <v>87</v>
      </c>
      <c r="F96" s="1">
        <f t="shared" si="36"/>
        <v>9</v>
      </c>
      <c r="G96" s="1">
        <f t="shared" si="37"/>
        <v>18</v>
      </c>
      <c r="H96" s="1">
        <f t="shared" si="38"/>
        <v>3</v>
      </c>
      <c r="I96" s="1">
        <f t="shared" si="39"/>
        <v>36</v>
      </c>
      <c r="J96" s="1">
        <f t="shared" si="40"/>
        <v>30</v>
      </c>
      <c r="K96" s="1">
        <f t="shared" si="41"/>
        <v>7</v>
      </c>
      <c r="L96" s="1">
        <f t="shared" si="42"/>
        <v>0</v>
      </c>
      <c r="M96" s="1">
        <f t="shared" si="43"/>
        <v>4</v>
      </c>
      <c r="N96" s="1">
        <f t="shared" si="44"/>
        <v>17</v>
      </c>
      <c r="O96" s="1">
        <f t="shared" si="45"/>
        <v>48</v>
      </c>
      <c r="P96" s="1">
        <f t="shared" si="46"/>
        <v>4</v>
      </c>
      <c r="Q96" s="1">
        <f t="shared" si="47"/>
        <v>22</v>
      </c>
      <c r="R96" s="1">
        <f t="shared" si="48"/>
        <v>15</v>
      </c>
      <c r="S96" s="1">
        <f t="shared" si="49"/>
        <v>19</v>
      </c>
      <c r="T96" s="1">
        <f t="shared" si="50"/>
        <v>9</v>
      </c>
      <c r="U96" s="1">
        <f t="shared" si="51"/>
        <v>91</v>
      </c>
      <c r="V96" s="1">
        <f t="shared" si="52"/>
        <v>103</v>
      </c>
      <c r="W96" s="1">
        <f t="shared" si="53"/>
        <v>4</v>
      </c>
      <c r="X96" s="1">
        <f t="shared" si="54"/>
        <v>6</v>
      </c>
      <c r="Y96" s="1">
        <f t="shared" si="55"/>
        <v>29</v>
      </c>
      <c r="Z96" s="1">
        <f t="shared" si="56"/>
        <v>10</v>
      </c>
      <c r="AA96" s="1">
        <f>ABS($B$94-B96)</f>
        <v>16</v>
      </c>
      <c r="AB96" s="1">
        <f>ABS($B$95-B96)</f>
        <v>1</v>
      </c>
    </row>
    <row r="97" spans="1:31" x14ac:dyDescent="0.25">
      <c r="A97" s="3" t="s">
        <v>29</v>
      </c>
      <c r="B97" s="1">
        <v>34</v>
      </c>
      <c r="C97" s="1">
        <f t="shared" si="34"/>
        <v>585</v>
      </c>
      <c r="D97" s="1">
        <f t="shared" si="33"/>
        <v>55</v>
      </c>
      <c r="E97" s="1">
        <f t="shared" si="35"/>
        <v>95</v>
      </c>
      <c r="F97" s="1">
        <f t="shared" si="36"/>
        <v>1</v>
      </c>
      <c r="G97" s="1">
        <f t="shared" si="37"/>
        <v>26</v>
      </c>
      <c r="H97" s="1">
        <f t="shared" si="38"/>
        <v>5</v>
      </c>
      <c r="I97" s="1">
        <f t="shared" si="39"/>
        <v>44</v>
      </c>
      <c r="J97" s="1">
        <f t="shared" si="40"/>
        <v>38</v>
      </c>
      <c r="K97" s="1">
        <f t="shared" si="41"/>
        <v>15</v>
      </c>
      <c r="L97" s="1">
        <f t="shared" si="42"/>
        <v>8</v>
      </c>
      <c r="M97" s="1">
        <f t="shared" si="43"/>
        <v>4</v>
      </c>
      <c r="N97" s="1">
        <f t="shared" si="44"/>
        <v>25</v>
      </c>
      <c r="O97" s="1">
        <f t="shared" si="45"/>
        <v>56</v>
      </c>
      <c r="P97" s="1">
        <f t="shared" si="46"/>
        <v>12</v>
      </c>
      <c r="Q97" s="1">
        <f t="shared" si="47"/>
        <v>30</v>
      </c>
      <c r="R97" s="1">
        <f t="shared" si="48"/>
        <v>23</v>
      </c>
      <c r="S97" s="1">
        <f t="shared" si="49"/>
        <v>27</v>
      </c>
      <c r="T97" s="1">
        <f t="shared" si="50"/>
        <v>17</v>
      </c>
      <c r="U97" s="1">
        <f t="shared" si="51"/>
        <v>99</v>
      </c>
      <c r="V97" s="1">
        <f t="shared" si="52"/>
        <v>111</v>
      </c>
      <c r="W97" s="1">
        <f t="shared" si="53"/>
        <v>12</v>
      </c>
      <c r="X97" s="1">
        <f t="shared" si="54"/>
        <v>14</v>
      </c>
      <c r="Y97" s="1">
        <f t="shared" si="55"/>
        <v>37</v>
      </c>
      <c r="Z97" s="1">
        <f t="shared" si="56"/>
        <v>18</v>
      </c>
      <c r="AA97" s="1">
        <f>ABS($B$94-B97)</f>
        <v>24</v>
      </c>
      <c r="AB97" s="1">
        <f>ABS($B$95-B97)</f>
        <v>9</v>
      </c>
      <c r="AC97" s="1">
        <f>ABS($B$96-B97)</f>
        <v>8</v>
      </c>
    </row>
    <row r="98" spans="1:31" x14ac:dyDescent="0.25">
      <c r="A98" s="3" t="s">
        <v>30</v>
      </c>
      <c r="B98" s="1">
        <v>70</v>
      </c>
      <c r="C98" s="1">
        <f t="shared" si="34"/>
        <v>549</v>
      </c>
      <c r="D98" s="1">
        <f t="shared" si="33"/>
        <v>19</v>
      </c>
      <c r="E98" s="1">
        <f t="shared" si="35"/>
        <v>59</v>
      </c>
      <c r="F98" s="1">
        <f t="shared" si="36"/>
        <v>37</v>
      </c>
      <c r="G98" s="1">
        <f t="shared" si="37"/>
        <v>10</v>
      </c>
      <c r="H98" s="1">
        <f t="shared" si="38"/>
        <v>31</v>
      </c>
      <c r="I98" s="1">
        <f t="shared" si="39"/>
        <v>8</v>
      </c>
      <c r="J98" s="1">
        <f t="shared" si="40"/>
        <v>2</v>
      </c>
      <c r="K98" s="1">
        <f t="shared" si="41"/>
        <v>21</v>
      </c>
      <c r="L98" s="1">
        <f t="shared" si="42"/>
        <v>28</v>
      </c>
      <c r="M98" s="1">
        <f t="shared" si="43"/>
        <v>32</v>
      </c>
      <c r="N98" s="1">
        <f t="shared" si="44"/>
        <v>11</v>
      </c>
      <c r="O98" s="1">
        <f t="shared" si="45"/>
        <v>20</v>
      </c>
      <c r="P98" s="1">
        <f t="shared" si="46"/>
        <v>24</v>
      </c>
      <c r="Q98" s="1">
        <f t="shared" si="47"/>
        <v>6</v>
      </c>
      <c r="R98" s="1">
        <f t="shared" si="48"/>
        <v>13</v>
      </c>
      <c r="S98" s="1">
        <f t="shared" si="49"/>
        <v>9</v>
      </c>
      <c r="T98" s="1">
        <f t="shared" si="50"/>
        <v>19</v>
      </c>
      <c r="U98" s="1">
        <f t="shared" si="51"/>
        <v>63</v>
      </c>
      <c r="V98" s="1">
        <f t="shared" si="52"/>
        <v>75</v>
      </c>
      <c r="W98" s="1">
        <f t="shared" si="53"/>
        <v>24</v>
      </c>
      <c r="X98" s="1">
        <f t="shared" si="54"/>
        <v>22</v>
      </c>
      <c r="Y98" s="1">
        <f t="shared" si="55"/>
        <v>1</v>
      </c>
      <c r="Z98" s="1">
        <f t="shared" si="56"/>
        <v>18</v>
      </c>
      <c r="AA98" s="1">
        <f>ABS($B$94-B98)</f>
        <v>12</v>
      </c>
      <c r="AB98" s="1">
        <f>ABS($B$95-B98)</f>
        <v>27</v>
      </c>
      <c r="AC98" s="1">
        <f>ABS($B$96-B98)</f>
        <v>28</v>
      </c>
      <c r="AD98" s="1">
        <f>ABS($B$97-B98)</f>
        <v>36</v>
      </c>
    </row>
    <row r="99" spans="1:31" x14ac:dyDescent="0.25">
      <c r="A99" s="3" t="s">
        <v>31</v>
      </c>
      <c r="B99" s="1">
        <v>85</v>
      </c>
      <c r="C99" s="1">
        <f t="shared" si="34"/>
        <v>534</v>
      </c>
      <c r="D99" s="1">
        <f t="shared" si="33"/>
        <v>4</v>
      </c>
      <c r="E99" s="1">
        <f t="shared" si="35"/>
        <v>44</v>
      </c>
      <c r="F99" s="1">
        <f t="shared" si="36"/>
        <v>52</v>
      </c>
      <c r="G99" s="1">
        <f t="shared" si="37"/>
        <v>25</v>
      </c>
      <c r="H99" s="1">
        <f t="shared" si="38"/>
        <v>46</v>
      </c>
      <c r="I99" s="1">
        <f t="shared" si="39"/>
        <v>7</v>
      </c>
      <c r="J99" s="1">
        <f t="shared" si="40"/>
        <v>13</v>
      </c>
      <c r="K99" s="1">
        <f t="shared" si="41"/>
        <v>36</v>
      </c>
      <c r="L99" s="1">
        <f t="shared" si="42"/>
        <v>43</v>
      </c>
      <c r="M99" s="1">
        <f t="shared" si="43"/>
        <v>47</v>
      </c>
      <c r="N99" s="1">
        <f t="shared" si="44"/>
        <v>26</v>
      </c>
      <c r="O99" s="1">
        <f t="shared" si="45"/>
        <v>5</v>
      </c>
      <c r="P99" s="1">
        <f t="shared" si="46"/>
        <v>39</v>
      </c>
      <c r="Q99" s="1">
        <f t="shared" si="47"/>
        <v>21</v>
      </c>
      <c r="R99" s="1">
        <f t="shared" si="48"/>
        <v>28</v>
      </c>
      <c r="S99" s="1">
        <f t="shared" si="49"/>
        <v>24</v>
      </c>
      <c r="T99" s="1">
        <f t="shared" si="50"/>
        <v>34</v>
      </c>
      <c r="U99" s="1">
        <f t="shared" si="51"/>
        <v>48</v>
      </c>
      <c r="V99" s="1">
        <f t="shared" si="52"/>
        <v>60</v>
      </c>
      <c r="W99" s="1">
        <f t="shared" si="53"/>
        <v>39</v>
      </c>
      <c r="X99" s="1">
        <f t="shared" si="54"/>
        <v>37</v>
      </c>
      <c r="Y99" s="1">
        <f t="shared" si="55"/>
        <v>14</v>
      </c>
      <c r="Z99" s="1">
        <f t="shared" si="56"/>
        <v>33</v>
      </c>
      <c r="AA99" s="1">
        <f>ABS($B$94-B99)</f>
        <v>27</v>
      </c>
      <c r="AB99" s="1">
        <f>ABS($B$95-B99)</f>
        <v>42</v>
      </c>
      <c r="AC99" s="1">
        <f>ABS($B$96-B99)</f>
        <v>43</v>
      </c>
      <c r="AD99" s="1">
        <f>ABS($B$97-B99)</f>
        <v>51</v>
      </c>
      <c r="AE99" s="1">
        <f>ABS(B98-B99)</f>
        <v>15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9"/>
  <sheetViews>
    <sheetView topLeftCell="A30" zoomScale="70" zoomScaleNormal="70" workbookViewId="0">
      <selection activeCell="A37" sqref="A37:A66"/>
    </sheetView>
  </sheetViews>
  <sheetFormatPr defaultColWidth="9" defaultRowHeight="14.4" x14ac:dyDescent="0.25"/>
  <cols>
    <col min="1" max="31" width="8.109375" style="1" customWidth="1"/>
    <col min="32" max="32" width="9" style="1"/>
  </cols>
  <sheetData>
    <row r="1" spans="1:31" ht="60" x14ac:dyDescent="0.25">
      <c r="A1" s="5" t="s">
        <v>35</v>
      </c>
      <c r="B1" s="6" t="s">
        <v>36</v>
      </c>
    </row>
    <row r="2" spans="1:31" x14ac:dyDescent="0.2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spans="1:31" x14ac:dyDescent="0.25">
      <c r="A3" s="3" t="s">
        <v>2</v>
      </c>
      <c r="B3" s="7"/>
      <c r="C3" s="1">
        <v>1351</v>
      </c>
      <c r="D3" s="1">
        <v>130</v>
      </c>
      <c r="E3" s="1">
        <v>1997</v>
      </c>
      <c r="F3" s="1">
        <v>1851</v>
      </c>
      <c r="G3" s="1">
        <v>2357</v>
      </c>
      <c r="H3" s="1">
        <v>2015</v>
      </c>
      <c r="I3" s="1">
        <v>2195</v>
      </c>
      <c r="J3" s="1">
        <v>1936</v>
      </c>
      <c r="K3" s="1">
        <v>1837</v>
      </c>
      <c r="L3" s="1">
        <v>2161</v>
      </c>
      <c r="M3" s="1">
        <v>1932</v>
      </c>
      <c r="N3" s="1">
        <v>1668</v>
      </c>
      <c r="O3" s="1">
        <v>1653</v>
      </c>
      <c r="P3" s="1">
        <v>1720</v>
      </c>
      <c r="Q3" s="1">
        <v>2132</v>
      </c>
      <c r="R3" s="1">
        <v>1841</v>
      </c>
      <c r="S3" s="1">
        <v>2042</v>
      </c>
      <c r="T3" s="1">
        <v>3046</v>
      </c>
      <c r="U3" s="1">
        <v>2093</v>
      </c>
      <c r="V3" s="1">
        <v>3104</v>
      </c>
      <c r="W3" s="1">
        <v>3146</v>
      </c>
      <c r="X3" s="1">
        <v>3084</v>
      </c>
      <c r="Y3" s="1">
        <v>2858</v>
      </c>
      <c r="Z3" s="1">
        <v>2835</v>
      </c>
      <c r="AA3" s="1">
        <v>3222</v>
      </c>
      <c r="AB3" s="1">
        <v>2524</v>
      </c>
      <c r="AC3" s="1">
        <v>3001</v>
      </c>
      <c r="AD3" s="1">
        <v>2093</v>
      </c>
      <c r="AE3" s="1">
        <v>2000</v>
      </c>
    </row>
    <row r="4" spans="1:31" x14ac:dyDescent="0.25">
      <c r="A4" s="3" t="s">
        <v>3</v>
      </c>
      <c r="B4" s="1">
        <v>1351</v>
      </c>
      <c r="C4" s="7"/>
      <c r="D4" s="1">
        <v>1221</v>
      </c>
      <c r="E4" s="1">
        <v>646</v>
      </c>
      <c r="F4" s="1">
        <v>500</v>
      </c>
      <c r="G4" s="1">
        <v>1006</v>
      </c>
      <c r="H4" s="1">
        <v>664</v>
      </c>
      <c r="I4" s="1">
        <v>844</v>
      </c>
      <c r="J4" s="1">
        <v>585</v>
      </c>
      <c r="K4" s="1">
        <v>486</v>
      </c>
      <c r="L4" s="1">
        <v>810</v>
      </c>
      <c r="M4" s="1">
        <v>581</v>
      </c>
      <c r="N4" s="1">
        <v>317</v>
      </c>
      <c r="O4" s="1">
        <v>302</v>
      </c>
      <c r="P4" s="1">
        <v>369</v>
      </c>
      <c r="Q4" s="1">
        <v>781</v>
      </c>
      <c r="R4" s="1">
        <v>490</v>
      </c>
      <c r="S4" s="1">
        <v>691</v>
      </c>
      <c r="T4" s="1">
        <v>1695</v>
      </c>
      <c r="U4" s="1">
        <v>742</v>
      </c>
      <c r="V4" s="1">
        <v>1753</v>
      </c>
      <c r="W4" s="1">
        <v>1795</v>
      </c>
      <c r="X4" s="1">
        <v>1733</v>
      </c>
      <c r="Y4" s="1">
        <v>1507</v>
      </c>
      <c r="Z4" s="1">
        <v>1484</v>
      </c>
      <c r="AA4" s="1">
        <v>1871</v>
      </c>
      <c r="AB4" s="1">
        <v>1173</v>
      </c>
      <c r="AC4" s="1">
        <v>1650</v>
      </c>
      <c r="AD4" s="1">
        <v>742</v>
      </c>
      <c r="AE4" s="1">
        <v>649</v>
      </c>
    </row>
    <row r="5" spans="1:31" x14ac:dyDescent="0.25">
      <c r="A5" s="3" t="s">
        <v>4</v>
      </c>
      <c r="B5" s="1">
        <v>130</v>
      </c>
      <c r="C5" s="1">
        <v>1221</v>
      </c>
      <c r="D5" s="7"/>
      <c r="E5" s="1">
        <v>1867</v>
      </c>
      <c r="F5" s="1">
        <v>1721</v>
      </c>
      <c r="G5" s="1">
        <v>2227</v>
      </c>
      <c r="H5" s="1">
        <v>1885</v>
      </c>
      <c r="I5" s="1">
        <v>2065</v>
      </c>
      <c r="J5" s="1">
        <v>1806</v>
      </c>
      <c r="K5" s="1">
        <v>1707</v>
      </c>
      <c r="L5" s="1">
        <v>2031</v>
      </c>
      <c r="M5" s="1">
        <v>1802</v>
      </c>
      <c r="N5" s="1">
        <v>1538</v>
      </c>
      <c r="O5" s="1">
        <v>1523</v>
      </c>
      <c r="P5" s="1">
        <v>1590</v>
      </c>
      <c r="Q5" s="1">
        <v>2002</v>
      </c>
      <c r="R5" s="1">
        <v>1711</v>
      </c>
      <c r="S5" s="1">
        <v>1912</v>
      </c>
      <c r="T5" s="1">
        <v>2916</v>
      </c>
      <c r="U5" s="1">
        <v>1963</v>
      </c>
      <c r="V5" s="1">
        <v>2974</v>
      </c>
      <c r="W5" s="1">
        <v>3016</v>
      </c>
      <c r="X5" s="1">
        <v>2954</v>
      </c>
      <c r="Y5" s="1">
        <v>2728</v>
      </c>
      <c r="Z5" s="1">
        <v>2705</v>
      </c>
      <c r="AA5" s="1">
        <v>3092</v>
      </c>
      <c r="AB5" s="1">
        <v>2394</v>
      </c>
      <c r="AC5" s="1">
        <v>2871</v>
      </c>
      <c r="AD5" s="1">
        <v>1963</v>
      </c>
      <c r="AE5" s="1">
        <v>1870</v>
      </c>
    </row>
    <row r="6" spans="1:31" x14ac:dyDescent="0.25">
      <c r="A6" s="3" t="s">
        <v>5</v>
      </c>
      <c r="B6" s="1">
        <v>1997</v>
      </c>
      <c r="C6" s="1">
        <v>646</v>
      </c>
      <c r="D6" s="1">
        <v>1867</v>
      </c>
      <c r="E6" s="7"/>
      <c r="F6" s="1">
        <v>146</v>
      </c>
      <c r="G6" s="1">
        <v>360</v>
      </c>
      <c r="H6" s="1">
        <v>18</v>
      </c>
      <c r="I6" s="1">
        <v>198</v>
      </c>
      <c r="J6" s="1">
        <v>61</v>
      </c>
      <c r="K6" s="1">
        <v>160</v>
      </c>
      <c r="L6" s="1">
        <v>164</v>
      </c>
      <c r="M6" s="1">
        <v>65</v>
      </c>
      <c r="N6" s="1">
        <v>329</v>
      </c>
      <c r="O6" s="1">
        <v>344</v>
      </c>
      <c r="P6" s="1">
        <v>277</v>
      </c>
      <c r="Q6" s="1">
        <v>135</v>
      </c>
      <c r="R6" s="1">
        <v>156</v>
      </c>
      <c r="S6" s="1">
        <v>45</v>
      </c>
      <c r="T6" s="1">
        <v>1049</v>
      </c>
      <c r="U6" s="1">
        <v>96</v>
      </c>
      <c r="V6" s="1">
        <v>1107</v>
      </c>
      <c r="W6" s="1">
        <v>1149</v>
      </c>
      <c r="X6" s="1">
        <v>1087</v>
      </c>
      <c r="Y6" s="1">
        <v>861</v>
      </c>
      <c r="Z6" s="1">
        <v>838</v>
      </c>
      <c r="AA6" s="1">
        <v>1225</v>
      </c>
      <c r="AB6" s="1">
        <v>527</v>
      </c>
      <c r="AC6" s="1">
        <v>1004</v>
      </c>
      <c r="AD6" s="1">
        <v>96</v>
      </c>
      <c r="AE6" s="1">
        <v>3</v>
      </c>
    </row>
    <row r="7" spans="1:31" x14ac:dyDescent="0.25">
      <c r="A7" s="3" t="s">
        <v>6</v>
      </c>
      <c r="B7" s="1">
        <v>1851</v>
      </c>
      <c r="C7" s="1">
        <v>500</v>
      </c>
      <c r="D7" s="1">
        <v>1721</v>
      </c>
      <c r="E7" s="1">
        <v>146</v>
      </c>
      <c r="F7" s="7"/>
      <c r="G7" s="1">
        <v>506</v>
      </c>
      <c r="H7" s="1">
        <v>164</v>
      </c>
      <c r="I7" s="1">
        <v>344</v>
      </c>
      <c r="J7" s="1">
        <v>85</v>
      </c>
      <c r="K7" s="1">
        <v>14</v>
      </c>
      <c r="L7" s="1">
        <v>310</v>
      </c>
      <c r="M7" s="1">
        <v>81</v>
      </c>
      <c r="N7" s="1">
        <v>183</v>
      </c>
      <c r="O7" s="1">
        <v>198</v>
      </c>
      <c r="P7" s="1">
        <v>131</v>
      </c>
      <c r="Q7" s="1">
        <v>281</v>
      </c>
      <c r="R7" s="1">
        <v>10</v>
      </c>
      <c r="S7" s="1">
        <v>191</v>
      </c>
      <c r="T7" s="1">
        <v>1195</v>
      </c>
      <c r="U7" s="1">
        <v>242</v>
      </c>
      <c r="V7" s="1">
        <v>1253</v>
      </c>
      <c r="W7" s="1">
        <v>1295</v>
      </c>
      <c r="X7" s="1">
        <v>1233</v>
      </c>
      <c r="Y7" s="1">
        <v>1007</v>
      </c>
      <c r="Z7" s="1">
        <v>984</v>
      </c>
      <c r="AA7" s="1">
        <v>1371</v>
      </c>
      <c r="AB7" s="1">
        <v>673</v>
      </c>
      <c r="AC7" s="1">
        <v>1150</v>
      </c>
      <c r="AD7" s="1">
        <v>242</v>
      </c>
      <c r="AE7" s="1">
        <v>149</v>
      </c>
    </row>
    <row r="8" spans="1:31" x14ac:dyDescent="0.25">
      <c r="A8" s="3" t="s">
        <v>7</v>
      </c>
      <c r="B8" s="1">
        <v>2357</v>
      </c>
      <c r="C8" s="1">
        <v>1006</v>
      </c>
      <c r="D8" s="1">
        <v>2227</v>
      </c>
      <c r="E8" s="1">
        <v>360</v>
      </c>
      <c r="F8" s="1">
        <v>506</v>
      </c>
      <c r="G8" s="7"/>
      <c r="H8" s="1">
        <v>342</v>
      </c>
      <c r="I8" s="1">
        <v>162</v>
      </c>
      <c r="J8" s="1">
        <v>421</v>
      </c>
      <c r="K8" s="1">
        <v>520</v>
      </c>
      <c r="L8" s="1">
        <v>196</v>
      </c>
      <c r="M8" s="1">
        <v>425</v>
      </c>
      <c r="N8" s="1">
        <v>689</v>
      </c>
      <c r="O8" s="1">
        <v>704</v>
      </c>
      <c r="P8" s="1">
        <v>637</v>
      </c>
      <c r="Q8" s="1">
        <v>225</v>
      </c>
      <c r="R8" s="1">
        <v>516</v>
      </c>
      <c r="S8" s="1">
        <v>315</v>
      </c>
      <c r="T8" s="1">
        <v>689</v>
      </c>
      <c r="U8" s="1">
        <v>264</v>
      </c>
      <c r="V8" s="1">
        <v>747</v>
      </c>
      <c r="W8" s="1">
        <v>789</v>
      </c>
      <c r="X8" s="1">
        <v>727</v>
      </c>
      <c r="Y8" s="1">
        <v>501</v>
      </c>
      <c r="Z8" s="1">
        <v>478</v>
      </c>
      <c r="AA8" s="1">
        <v>865</v>
      </c>
      <c r="AB8" s="1">
        <v>167</v>
      </c>
      <c r="AC8" s="1">
        <v>644</v>
      </c>
      <c r="AD8" s="1">
        <v>264</v>
      </c>
      <c r="AE8" s="1">
        <v>357</v>
      </c>
    </row>
    <row r="9" spans="1:31" x14ac:dyDescent="0.25">
      <c r="A9" s="3" t="s">
        <v>8</v>
      </c>
      <c r="B9" s="1">
        <v>2015</v>
      </c>
      <c r="C9" s="1">
        <v>664</v>
      </c>
      <c r="D9" s="1">
        <v>1885</v>
      </c>
      <c r="E9" s="1">
        <v>18</v>
      </c>
      <c r="F9" s="1">
        <v>164</v>
      </c>
      <c r="G9" s="1">
        <v>342</v>
      </c>
      <c r="H9" s="7"/>
      <c r="I9" s="1">
        <v>180</v>
      </c>
      <c r="J9" s="1">
        <v>79</v>
      </c>
      <c r="K9" s="1">
        <v>178</v>
      </c>
      <c r="L9" s="1">
        <v>146</v>
      </c>
      <c r="M9" s="1">
        <v>83</v>
      </c>
      <c r="N9" s="1">
        <v>347</v>
      </c>
      <c r="O9" s="1">
        <v>362</v>
      </c>
      <c r="P9" s="1">
        <v>295</v>
      </c>
      <c r="Q9" s="1">
        <v>117</v>
      </c>
      <c r="R9" s="1">
        <v>174</v>
      </c>
      <c r="S9" s="1">
        <v>27</v>
      </c>
      <c r="T9" s="1">
        <v>1031</v>
      </c>
      <c r="U9" s="1">
        <v>78</v>
      </c>
      <c r="V9" s="1">
        <v>1089</v>
      </c>
      <c r="W9" s="1">
        <v>1131</v>
      </c>
      <c r="X9" s="1">
        <v>1069</v>
      </c>
      <c r="Y9" s="1">
        <v>843</v>
      </c>
      <c r="Z9" s="1">
        <v>820</v>
      </c>
      <c r="AA9" s="1">
        <v>1207</v>
      </c>
      <c r="AB9" s="1">
        <v>509</v>
      </c>
      <c r="AC9" s="1">
        <v>986</v>
      </c>
      <c r="AD9" s="1">
        <v>78</v>
      </c>
      <c r="AE9" s="1">
        <v>15</v>
      </c>
    </row>
    <row r="10" spans="1:31" x14ac:dyDescent="0.25">
      <c r="A10" s="3" t="s">
        <v>9</v>
      </c>
      <c r="B10" s="1">
        <v>2195</v>
      </c>
      <c r="C10" s="1">
        <v>844</v>
      </c>
      <c r="D10" s="1">
        <v>2065</v>
      </c>
      <c r="E10" s="1">
        <v>198</v>
      </c>
      <c r="F10" s="1">
        <v>344</v>
      </c>
      <c r="G10" s="1">
        <v>162</v>
      </c>
      <c r="H10" s="1">
        <v>180</v>
      </c>
      <c r="I10" s="7"/>
      <c r="J10" s="1">
        <v>259</v>
      </c>
      <c r="K10" s="1">
        <v>358</v>
      </c>
      <c r="L10" s="1">
        <v>34</v>
      </c>
      <c r="M10" s="1">
        <v>263</v>
      </c>
      <c r="N10" s="1">
        <v>527</v>
      </c>
      <c r="O10" s="1">
        <v>542</v>
      </c>
      <c r="P10" s="1">
        <v>475</v>
      </c>
      <c r="Q10" s="1">
        <v>63</v>
      </c>
      <c r="R10" s="1">
        <v>354</v>
      </c>
      <c r="S10" s="1">
        <v>153</v>
      </c>
      <c r="T10" s="1">
        <v>851</v>
      </c>
      <c r="U10" s="1">
        <v>102</v>
      </c>
      <c r="V10" s="1">
        <v>909</v>
      </c>
      <c r="W10" s="1">
        <v>951</v>
      </c>
      <c r="X10" s="1">
        <v>889</v>
      </c>
      <c r="Y10" s="1">
        <v>663</v>
      </c>
      <c r="Z10" s="1">
        <v>640</v>
      </c>
      <c r="AA10" s="1">
        <v>1027</v>
      </c>
      <c r="AB10" s="1">
        <v>329</v>
      </c>
      <c r="AC10" s="1">
        <v>806</v>
      </c>
      <c r="AD10" s="1">
        <v>102</v>
      </c>
      <c r="AE10" s="1">
        <v>195</v>
      </c>
    </row>
    <row r="11" spans="1:31" x14ac:dyDescent="0.25">
      <c r="A11" s="3" t="s">
        <v>10</v>
      </c>
      <c r="B11" s="1">
        <v>1936</v>
      </c>
      <c r="C11" s="1">
        <v>585</v>
      </c>
      <c r="D11" s="1">
        <v>1806</v>
      </c>
      <c r="E11" s="1">
        <v>61</v>
      </c>
      <c r="F11" s="1">
        <v>85</v>
      </c>
      <c r="G11" s="1">
        <v>421</v>
      </c>
      <c r="H11" s="1">
        <v>79</v>
      </c>
      <c r="I11" s="1">
        <v>259</v>
      </c>
      <c r="J11" s="7"/>
      <c r="K11" s="1">
        <v>99</v>
      </c>
      <c r="L11" s="1">
        <v>225</v>
      </c>
      <c r="M11" s="1">
        <v>4</v>
      </c>
      <c r="N11" s="1">
        <v>268</v>
      </c>
      <c r="O11" s="1">
        <v>283</v>
      </c>
      <c r="P11" s="1">
        <v>216</v>
      </c>
      <c r="Q11" s="1">
        <v>196</v>
      </c>
      <c r="R11" s="1">
        <v>95</v>
      </c>
      <c r="S11" s="1">
        <v>106</v>
      </c>
      <c r="T11" s="1">
        <v>1110</v>
      </c>
      <c r="U11" s="1">
        <v>157</v>
      </c>
      <c r="V11" s="1">
        <v>1168</v>
      </c>
      <c r="W11" s="1">
        <v>1210</v>
      </c>
      <c r="X11" s="1">
        <v>1148</v>
      </c>
      <c r="Y11" s="1">
        <v>922</v>
      </c>
      <c r="Z11" s="1">
        <v>899</v>
      </c>
      <c r="AA11" s="1">
        <v>1286</v>
      </c>
      <c r="AB11" s="1">
        <v>588</v>
      </c>
      <c r="AC11" s="1">
        <v>1065</v>
      </c>
      <c r="AD11" s="1">
        <v>157</v>
      </c>
      <c r="AE11" s="1">
        <v>64</v>
      </c>
    </row>
    <row r="12" spans="1:31" x14ac:dyDescent="0.25">
      <c r="A12" s="3" t="s">
        <v>11</v>
      </c>
      <c r="B12" s="1">
        <v>1837</v>
      </c>
      <c r="C12" s="1">
        <v>486</v>
      </c>
      <c r="D12" s="1">
        <v>1707</v>
      </c>
      <c r="E12" s="1">
        <v>160</v>
      </c>
      <c r="F12" s="1">
        <v>14</v>
      </c>
      <c r="G12" s="1">
        <v>520</v>
      </c>
      <c r="H12" s="1">
        <v>178</v>
      </c>
      <c r="I12" s="1">
        <v>358</v>
      </c>
      <c r="J12" s="1">
        <v>99</v>
      </c>
      <c r="K12" s="7"/>
      <c r="L12" s="1">
        <v>324</v>
      </c>
      <c r="M12" s="1">
        <v>95</v>
      </c>
      <c r="N12" s="1">
        <v>169</v>
      </c>
      <c r="O12" s="1">
        <v>184</v>
      </c>
      <c r="P12" s="1">
        <v>117</v>
      </c>
      <c r="Q12" s="1">
        <v>295</v>
      </c>
      <c r="R12" s="1">
        <v>4</v>
      </c>
      <c r="S12" s="1">
        <v>205</v>
      </c>
      <c r="T12" s="1">
        <v>1209</v>
      </c>
      <c r="U12" s="1">
        <v>256</v>
      </c>
      <c r="V12" s="1">
        <v>1267</v>
      </c>
      <c r="W12" s="1">
        <v>1309</v>
      </c>
      <c r="X12" s="1">
        <v>1247</v>
      </c>
      <c r="Y12" s="1">
        <v>1021</v>
      </c>
      <c r="Z12" s="1">
        <v>998</v>
      </c>
      <c r="AA12" s="1">
        <v>1385</v>
      </c>
      <c r="AB12" s="1">
        <v>687</v>
      </c>
      <c r="AC12" s="1">
        <v>1164</v>
      </c>
      <c r="AD12" s="1">
        <v>256</v>
      </c>
      <c r="AE12" s="1">
        <v>163</v>
      </c>
    </row>
    <row r="13" spans="1:31" x14ac:dyDescent="0.25">
      <c r="A13" s="3" t="s">
        <v>12</v>
      </c>
      <c r="B13" s="1">
        <v>2161</v>
      </c>
      <c r="C13" s="1">
        <v>810</v>
      </c>
      <c r="D13" s="1">
        <v>2031</v>
      </c>
      <c r="E13" s="1">
        <v>164</v>
      </c>
      <c r="F13" s="1">
        <v>310</v>
      </c>
      <c r="G13" s="1">
        <v>196</v>
      </c>
      <c r="H13" s="1">
        <v>146</v>
      </c>
      <c r="I13" s="1">
        <v>34</v>
      </c>
      <c r="J13" s="1">
        <v>225</v>
      </c>
      <c r="K13" s="1">
        <v>324</v>
      </c>
      <c r="L13" s="7"/>
      <c r="M13" s="1">
        <v>229</v>
      </c>
      <c r="N13" s="1">
        <v>493</v>
      </c>
      <c r="O13" s="1">
        <v>508</v>
      </c>
      <c r="P13" s="1">
        <v>441</v>
      </c>
      <c r="Q13" s="1">
        <v>29</v>
      </c>
      <c r="R13" s="1">
        <v>320</v>
      </c>
      <c r="S13" s="1">
        <v>119</v>
      </c>
      <c r="T13" s="1">
        <v>885</v>
      </c>
      <c r="U13" s="1">
        <v>68</v>
      </c>
      <c r="V13" s="1">
        <v>943</v>
      </c>
      <c r="W13" s="1">
        <v>985</v>
      </c>
      <c r="X13" s="1">
        <v>923</v>
      </c>
      <c r="Y13" s="1">
        <v>697</v>
      </c>
      <c r="Z13" s="1">
        <v>674</v>
      </c>
      <c r="AA13" s="1">
        <v>1061</v>
      </c>
      <c r="AB13" s="1">
        <v>363</v>
      </c>
      <c r="AC13" s="1">
        <v>840</v>
      </c>
      <c r="AD13" s="1">
        <v>68</v>
      </c>
      <c r="AE13" s="1">
        <v>161</v>
      </c>
    </row>
    <row r="14" spans="1:31" x14ac:dyDescent="0.25">
      <c r="A14" s="3" t="s">
        <v>13</v>
      </c>
      <c r="B14" s="1">
        <v>1932</v>
      </c>
      <c r="C14" s="1">
        <v>581</v>
      </c>
      <c r="D14" s="1">
        <v>1802</v>
      </c>
      <c r="E14" s="1">
        <v>65</v>
      </c>
      <c r="F14" s="1">
        <v>81</v>
      </c>
      <c r="G14" s="1">
        <v>425</v>
      </c>
      <c r="H14" s="1">
        <v>83</v>
      </c>
      <c r="I14" s="1">
        <v>263</v>
      </c>
      <c r="J14" s="1">
        <v>4</v>
      </c>
      <c r="K14" s="1">
        <v>95</v>
      </c>
      <c r="L14" s="1">
        <v>229</v>
      </c>
      <c r="M14" s="7"/>
      <c r="N14" s="1">
        <v>264</v>
      </c>
      <c r="O14" s="1">
        <v>279</v>
      </c>
      <c r="P14" s="1">
        <v>212</v>
      </c>
      <c r="Q14" s="1">
        <v>200</v>
      </c>
      <c r="R14" s="1">
        <v>91</v>
      </c>
      <c r="S14" s="1">
        <v>110</v>
      </c>
      <c r="T14" s="1">
        <v>1114</v>
      </c>
      <c r="U14" s="1">
        <v>161</v>
      </c>
      <c r="V14" s="1">
        <v>1172</v>
      </c>
      <c r="W14" s="1">
        <v>1214</v>
      </c>
      <c r="X14" s="1">
        <v>1152</v>
      </c>
      <c r="Y14" s="1">
        <v>926</v>
      </c>
      <c r="Z14" s="1">
        <v>903</v>
      </c>
      <c r="AA14" s="1">
        <v>1290</v>
      </c>
      <c r="AB14" s="1">
        <v>592</v>
      </c>
      <c r="AC14" s="1">
        <v>1069</v>
      </c>
      <c r="AD14" s="1">
        <v>161</v>
      </c>
      <c r="AE14" s="1">
        <v>68</v>
      </c>
    </row>
    <row r="15" spans="1:31" x14ac:dyDescent="0.25">
      <c r="A15" s="3" t="s">
        <v>14</v>
      </c>
      <c r="B15" s="1">
        <v>1668</v>
      </c>
      <c r="C15" s="1">
        <v>317</v>
      </c>
      <c r="D15" s="1">
        <v>1538</v>
      </c>
      <c r="E15" s="1">
        <v>329</v>
      </c>
      <c r="F15" s="1">
        <v>183</v>
      </c>
      <c r="G15" s="1">
        <v>689</v>
      </c>
      <c r="H15" s="1">
        <v>347</v>
      </c>
      <c r="I15" s="1">
        <v>527</v>
      </c>
      <c r="J15" s="1">
        <v>268</v>
      </c>
      <c r="K15" s="1">
        <v>169</v>
      </c>
      <c r="L15" s="1">
        <v>493</v>
      </c>
      <c r="M15" s="1">
        <v>264</v>
      </c>
      <c r="N15" s="7"/>
      <c r="O15" s="1">
        <v>15</v>
      </c>
      <c r="P15" s="1">
        <v>52</v>
      </c>
      <c r="Q15" s="1">
        <v>464</v>
      </c>
      <c r="R15" s="1">
        <v>173</v>
      </c>
      <c r="S15" s="1">
        <v>374</v>
      </c>
      <c r="T15" s="1">
        <v>1378</v>
      </c>
      <c r="U15" s="1">
        <v>425</v>
      </c>
      <c r="V15" s="1">
        <v>1436</v>
      </c>
      <c r="W15" s="1">
        <v>1478</v>
      </c>
      <c r="X15" s="1">
        <v>1416</v>
      </c>
      <c r="Y15" s="1">
        <v>1190</v>
      </c>
      <c r="Z15" s="1">
        <v>1167</v>
      </c>
      <c r="AA15" s="1">
        <v>1554</v>
      </c>
      <c r="AB15" s="1">
        <v>856</v>
      </c>
      <c r="AC15" s="1">
        <v>1333</v>
      </c>
      <c r="AD15" s="1">
        <v>425</v>
      </c>
      <c r="AE15" s="1">
        <v>332</v>
      </c>
    </row>
    <row r="16" spans="1:31" x14ac:dyDescent="0.25">
      <c r="A16" s="3" t="s">
        <v>15</v>
      </c>
      <c r="B16" s="1">
        <v>1653</v>
      </c>
      <c r="C16" s="1">
        <v>302</v>
      </c>
      <c r="D16" s="1">
        <v>1523</v>
      </c>
      <c r="E16" s="1">
        <v>344</v>
      </c>
      <c r="F16" s="1">
        <v>198</v>
      </c>
      <c r="G16" s="1">
        <v>704</v>
      </c>
      <c r="H16" s="1">
        <v>362</v>
      </c>
      <c r="I16" s="1">
        <v>542</v>
      </c>
      <c r="J16" s="1">
        <v>283</v>
      </c>
      <c r="K16" s="1">
        <v>184</v>
      </c>
      <c r="L16" s="1">
        <v>508</v>
      </c>
      <c r="M16" s="1">
        <v>279</v>
      </c>
      <c r="N16" s="1">
        <v>15</v>
      </c>
      <c r="O16" s="7"/>
      <c r="P16" s="1">
        <v>67</v>
      </c>
      <c r="Q16" s="1">
        <v>479</v>
      </c>
      <c r="R16" s="1">
        <v>188</v>
      </c>
      <c r="S16" s="1">
        <v>389</v>
      </c>
      <c r="T16" s="1">
        <v>1393</v>
      </c>
      <c r="U16" s="1">
        <v>440</v>
      </c>
      <c r="V16" s="1">
        <v>1451</v>
      </c>
      <c r="W16" s="1">
        <v>1493</v>
      </c>
      <c r="X16" s="1">
        <v>1431</v>
      </c>
      <c r="Y16" s="1">
        <v>1205</v>
      </c>
      <c r="Z16" s="1">
        <v>1182</v>
      </c>
      <c r="AA16" s="1">
        <v>1569</v>
      </c>
      <c r="AB16" s="1">
        <v>871</v>
      </c>
      <c r="AC16" s="1">
        <v>1348</v>
      </c>
      <c r="AD16" s="1">
        <v>440</v>
      </c>
      <c r="AE16" s="1">
        <v>347</v>
      </c>
    </row>
    <row r="17" spans="1:31" x14ac:dyDescent="0.25">
      <c r="A17" s="3" t="s">
        <v>16</v>
      </c>
      <c r="B17" s="1">
        <v>1720</v>
      </c>
      <c r="C17" s="1">
        <v>369</v>
      </c>
      <c r="D17" s="1">
        <v>1590</v>
      </c>
      <c r="E17" s="1">
        <v>277</v>
      </c>
      <c r="F17" s="1">
        <v>131</v>
      </c>
      <c r="G17" s="1">
        <v>637</v>
      </c>
      <c r="H17" s="1">
        <v>295</v>
      </c>
      <c r="I17" s="1">
        <v>475</v>
      </c>
      <c r="J17" s="1">
        <v>216</v>
      </c>
      <c r="K17" s="1">
        <v>117</v>
      </c>
      <c r="L17" s="1">
        <v>441</v>
      </c>
      <c r="M17" s="1">
        <v>212</v>
      </c>
      <c r="N17" s="1">
        <v>52</v>
      </c>
      <c r="O17" s="1">
        <v>67</v>
      </c>
      <c r="P17" s="7"/>
      <c r="Q17" s="1">
        <v>412</v>
      </c>
      <c r="R17" s="1">
        <v>121</v>
      </c>
      <c r="S17" s="1">
        <v>322</v>
      </c>
      <c r="T17" s="1">
        <v>1326</v>
      </c>
      <c r="U17" s="1">
        <v>373</v>
      </c>
      <c r="V17" s="1">
        <v>1384</v>
      </c>
      <c r="W17" s="1">
        <v>1426</v>
      </c>
      <c r="X17" s="1">
        <v>1364</v>
      </c>
      <c r="Y17" s="1">
        <v>1138</v>
      </c>
      <c r="Z17" s="1">
        <v>1115</v>
      </c>
      <c r="AA17" s="1">
        <v>1502</v>
      </c>
      <c r="AB17" s="1">
        <v>804</v>
      </c>
      <c r="AC17" s="1">
        <v>1281</v>
      </c>
      <c r="AD17" s="1">
        <v>373</v>
      </c>
      <c r="AE17" s="1">
        <v>280</v>
      </c>
    </row>
    <row r="18" spans="1:31" x14ac:dyDescent="0.25">
      <c r="A18" s="3" t="s">
        <v>17</v>
      </c>
      <c r="B18" s="1">
        <v>2132</v>
      </c>
      <c r="C18" s="1">
        <v>781</v>
      </c>
      <c r="D18" s="1">
        <v>2002</v>
      </c>
      <c r="E18" s="1">
        <v>135</v>
      </c>
      <c r="F18" s="1">
        <v>281</v>
      </c>
      <c r="G18" s="1">
        <v>225</v>
      </c>
      <c r="H18" s="1">
        <v>117</v>
      </c>
      <c r="I18" s="1">
        <v>63</v>
      </c>
      <c r="J18" s="1">
        <v>196</v>
      </c>
      <c r="K18" s="1">
        <v>295</v>
      </c>
      <c r="L18" s="1">
        <v>29</v>
      </c>
      <c r="M18" s="1">
        <v>200</v>
      </c>
      <c r="N18" s="1">
        <v>464</v>
      </c>
      <c r="O18" s="1">
        <v>479</v>
      </c>
      <c r="P18" s="1">
        <v>412</v>
      </c>
      <c r="Q18" s="7"/>
      <c r="R18" s="1">
        <v>291</v>
      </c>
      <c r="S18" s="1">
        <v>90</v>
      </c>
      <c r="T18" s="1">
        <v>914</v>
      </c>
      <c r="U18" s="1">
        <v>39</v>
      </c>
      <c r="V18" s="1">
        <v>972</v>
      </c>
      <c r="W18" s="1">
        <v>1014</v>
      </c>
      <c r="X18" s="1">
        <v>952</v>
      </c>
      <c r="Y18" s="1">
        <v>726</v>
      </c>
      <c r="Z18" s="1">
        <v>703</v>
      </c>
      <c r="AA18" s="1">
        <v>1090</v>
      </c>
      <c r="AB18" s="1">
        <v>392</v>
      </c>
      <c r="AC18" s="1">
        <v>869</v>
      </c>
      <c r="AD18" s="1">
        <v>39</v>
      </c>
      <c r="AE18" s="1">
        <v>132</v>
      </c>
    </row>
    <row r="19" spans="1:31" x14ac:dyDescent="0.25">
      <c r="A19" s="3" t="s">
        <v>18</v>
      </c>
      <c r="B19" s="1">
        <v>1841</v>
      </c>
      <c r="C19" s="1">
        <v>490</v>
      </c>
      <c r="D19" s="1">
        <v>1711</v>
      </c>
      <c r="E19" s="1">
        <v>156</v>
      </c>
      <c r="F19" s="1">
        <v>10</v>
      </c>
      <c r="G19" s="1">
        <v>516</v>
      </c>
      <c r="H19" s="1">
        <v>174</v>
      </c>
      <c r="I19" s="1">
        <v>354</v>
      </c>
      <c r="J19" s="1">
        <v>95</v>
      </c>
      <c r="K19" s="1">
        <v>4</v>
      </c>
      <c r="L19" s="1">
        <v>320</v>
      </c>
      <c r="M19" s="1">
        <v>91</v>
      </c>
      <c r="N19" s="1">
        <v>173</v>
      </c>
      <c r="O19" s="1">
        <v>188</v>
      </c>
      <c r="P19" s="1">
        <v>121</v>
      </c>
      <c r="Q19" s="1">
        <v>291</v>
      </c>
      <c r="R19" s="7"/>
      <c r="S19" s="1">
        <v>201</v>
      </c>
      <c r="T19" s="1">
        <v>1205</v>
      </c>
      <c r="U19" s="1">
        <v>252</v>
      </c>
      <c r="V19" s="1">
        <v>1263</v>
      </c>
      <c r="W19" s="1">
        <v>1305</v>
      </c>
      <c r="X19" s="1">
        <v>1243</v>
      </c>
      <c r="Y19" s="1">
        <v>1017</v>
      </c>
      <c r="Z19" s="1">
        <v>994</v>
      </c>
      <c r="AA19" s="1">
        <v>1381</v>
      </c>
      <c r="AB19" s="1">
        <v>683</v>
      </c>
      <c r="AC19" s="1">
        <v>1160</v>
      </c>
      <c r="AD19" s="1">
        <v>252</v>
      </c>
      <c r="AE19" s="1">
        <v>159</v>
      </c>
    </row>
    <row r="20" spans="1:31" x14ac:dyDescent="0.25">
      <c r="A20" s="3" t="s">
        <v>19</v>
      </c>
      <c r="B20" s="1">
        <v>2042</v>
      </c>
      <c r="C20" s="1">
        <v>691</v>
      </c>
      <c r="D20" s="1">
        <v>1912</v>
      </c>
      <c r="E20" s="1">
        <v>45</v>
      </c>
      <c r="F20" s="1">
        <v>191</v>
      </c>
      <c r="G20" s="1">
        <v>315</v>
      </c>
      <c r="H20" s="1">
        <v>27</v>
      </c>
      <c r="I20" s="1">
        <v>153</v>
      </c>
      <c r="J20" s="1">
        <v>106</v>
      </c>
      <c r="K20" s="1">
        <v>205</v>
      </c>
      <c r="L20" s="1">
        <v>119</v>
      </c>
      <c r="M20" s="1">
        <v>110</v>
      </c>
      <c r="N20" s="1">
        <v>374</v>
      </c>
      <c r="O20" s="1">
        <v>389</v>
      </c>
      <c r="P20" s="1">
        <v>322</v>
      </c>
      <c r="Q20" s="1">
        <v>90</v>
      </c>
      <c r="R20" s="1">
        <v>201</v>
      </c>
      <c r="S20" s="7"/>
      <c r="T20" s="1">
        <v>1004</v>
      </c>
      <c r="U20" s="1">
        <v>51</v>
      </c>
      <c r="V20" s="1">
        <v>1062</v>
      </c>
      <c r="W20" s="1">
        <v>1104</v>
      </c>
      <c r="X20" s="1">
        <v>1042</v>
      </c>
      <c r="Y20" s="1">
        <v>816</v>
      </c>
      <c r="Z20" s="1">
        <v>793</v>
      </c>
      <c r="AA20" s="1">
        <v>1180</v>
      </c>
      <c r="AB20" s="1">
        <v>482</v>
      </c>
      <c r="AC20" s="1">
        <v>959</v>
      </c>
      <c r="AD20" s="1">
        <v>51</v>
      </c>
      <c r="AE20" s="1">
        <v>42</v>
      </c>
    </row>
    <row r="21" spans="1:31" x14ac:dyDescent="0.25">
      <c r="A21" s="3" t="s">
        <v>20</v>
      </c>
      <c r="B21" s="1">
        <v>3046</v>
      </c>
      <c r="C21" s="1">
        <v>1695</v>
      </c>
      <c r="D21" s="1">
        <v>2916</v>
      </c>
      <c r="E21" s="1">
        <v>1049</v>
      </c>
      <c r="F21" s="1">
        <v>1195</v>
      </c>
      <c r="G21" s="1">
        <v>689</v>
      </c>
      <c r="H21" s="1">
        <v>1031</v>
      </c>
      <c r="I21" s="1">
        <v>851</v>
      </c>
      <c r="J21" s="1">
        <v>1110</v>
      </c>
      <c r="K21" s="1">
        <v>1209</v>
      </c>
      <c r="L21" s="1">
        <v>885</v>
      </c>
      <c r="M21" s="1">
        <v>1114</v>
      </c>
      <c r="N21" s="1">
        <v>1378</v>
      </c>
      <c r="O21" s="1">
        <v>1393</v>
      </c>
      <c r="P21" s="1">
        <v>1326</v>
      </c>
      <c r="Q21" s="1">
        <v>914</v>
      </c>
      <c r="R21" s="1">
        <v>1205</v>
      </c>
      <c r="S21" s="1">
        <v>1004</v>
      </c>
      <c r="T21" s="7"/>
      <c r="U21" s="1">
        <v>953</v>
      </c>
      <c r="V21" s="1">
        <v>58</v>
      </c>
      <c r="W21" s="1">
        <v>100</v>
      </c>
      <c r="X21" s="1">
        <v>38</v>
      </c>
      <c r="Y21" s="1">
        <v>188</v>
      </c>
      <c r="Z21" s="1">
        <v>211</v>
      </c>
      <c r="AA21" s="1">
        <v>176</v>
      </c>
      <c r="AB21" s="1">
        <v>522</v>
      </c>
      <c r="AC21" s="1">
        <v>45</v>
      </c>
      <c r="AD21" s="1">
        <v>953</v>
      </c>
      <c r="AE21" s="1">
        <v>1046</v>
      </c>
    </row>
    <row r="22" spans="1:31" x14ac:dyDescent="0.25">
      <c r="A22" s="3" t="s">
        <v>21</v>
      </c>
      <c r="B22" s="1">
        <v>2093</v>
      </c>
      <c r="C22" s="1">
        <v>742</v>
      </c>
      <c r="D22" s="1">
        <v>1963</v>
      </c>
      <c r="E22" s="1">
        <v>96</v>
      </c>
      <c r="F22" s="1">
        <v>242</v>
      </c>
      <c r="G22" s="1">
        <v>264</v>
      </c>
      <c r="H22" s="1">
        <v>78</v>
      </c>
      <c r="I22" s="1">
        <v>102</v>
      </c>
      <c r="J22" s="1">
        <v>157</v>
      </c>
      <c r="K22" s="1">
        <v>256</v>
      </c>
      <c r="L22" s="1">
        <v>68</v>
      </c>
      <c r="M22" s="1">
        <v>161</v>
      </c>
      <c r="N22" s="1">
        <v>425</v>
      </c>
      <c r="O22" s="1">
        <v>440</v>
      </c>
      <c r="P22" s="1">
        <v>373</v>
      </c>
      <c r="Q22" s="1">
        <v>39</v>
      </c>
      <c r="R22" s="1">
        <v>252</v>
      </c>
      <c r="S22" s="1">
        <v>51</v>
      </c>
      <c r="T22" s="1">
        <v>953</v>
      </c>
      <c r="U22" s="7"/>
      <c r="V22" s="1">
        <v>1011</v>
      </c>
      <c r="W22" s="1">
        <v>1053</v>
      </c>
      <c r="X22" s="1">
        <v>991</v>
      </c>
      <c r="Y22" s="1">
        <v>765</v>
      </c>
      <c r="Z22" s="1">
        <v>742</v>
      </c>
      <c r="AA22" s="1">
        <v>1129</v>
      </c>
      <c r="AB22" s="1">
        <v>431</v>
      </c>
      <c r="AC22" s="1">
        <v>908</v>
      </c>
      <c r="AD22" s="1">
        <v>0</v>
      </c>
      <c r="AE22" s="1">
        <v>93</v>
      </c>
    </row>
    <row r="23" spans="1:31" x14ac:dyDescent="0.25">
      <c r="A23" s="3" t="s">
        <v>22</v>
      </c>
      <c r="B23" s="1">
        <v>3104</v>
      </c>
      <c r="C23" s="1">
        <v>1753</v>
      </c>
      <c r="D23" s="1">
        <v>2974</v>
      </c>
      <c r="E23" s="1">
        <v>1107</v>
      </c>
      <c r="F23" s="1">
        <v>1253</v>
      </c>
      <c r="G23" s="1">
        <v>747</v>
      </c>
      <c r="H23" s="1">
        <v>1089</v>
      </c>
      <c r="I23" s="1">
        <v>909</v>
      </c>
      <c r="J23" s="1">
        <v>1168</v>
      </c>
      <c r="K23" s="1">
        <v>1267</v>
      </c>
      <c r="L23" s="1">
        <v>943</v>
      </c>
      <c r="M23" s="1">
        <v>1172</v>
      </c>
      <c r="N23" s="1">
        <v>1436</v>
      </c>
      <c r="O23" s="1">
        <v>1451</v>
      </c>
      <c r="P23" s="1">
        <v>1384</v>
      </c>
      <c r="Q23" s="1">
        <v>972</v>
      </c>
      <c r="R23" s="1">
        <v>1263</v>
      </c>
      <c r="S23" s="1">
        <v>1062</v>
      </c>
      <c r="T23" s="1">
        <v>58</v>
      </c>
      <c r="U23" s="1">
        <v>1011</v>
      </c>
      <c r="V23" s="7"/>
      <c r="W23" s="1">
        <v>42</v>
      </c>
      <c r="X23" s="1">
        <v>20</v>
      </c>
      <c r="Y23" s="1">
        <v>246</v>
      </c>
      <c r="Z23" s="1">
        <v>269</v>
      </c>
      <c r="AA23" s="1">
        <v>118</v>
      </c>
      <c r="AB23" s="1">
        <v>580</v>
      </c>
      <c r="AC23" s="1">
        <v>103</v>
      </c>
      <c r="AD23" s="1">
        <v>1011</v>
      </c>
      <c r="AE23" s="1">
        <v>1104</v>
      </c>
    </row>
    <row r="24" spans="1:31" x14ac:dyDescent="0.25">
      <c r="A24" s="3" t="s">
        <v>23</v>
      </c>
      <c r="B24" s="1">
        <v>3146</v>
      </c>
      <c r="C24" s="1">
        <v>1795</v>
      </c>
      <c r="D24" s="1">
        <v>3016</v>
      </c>
      <c r="E24" s="1">
        <v>1149</v>
      </c>
      <c r="F24" s="1">
        <v>1295</v>
      </c>
      <c r="G24" s="1">
        <v>789</v>
      </c>
      <c r="H24" s="1">
        <v>1131</v>
      </c>
      <c r="I24" s="1">
        <v>951</v>
      </c>
      <c r="J24" s="1">
        <v>1210</v>
      </c>
      <c r="K24" s="1">
        <v>1309</v>
      </c>
      <c r="L24" s="1">
        <v>985</v>
      </c>
      <c r="M24" s="1">
        <v>1214</v>
      </c>
      <c r="N24" s="1">
        <v>1478</v>
      </c>
      <c r="O24" s="1">
        <v>1493</v>
      </c>
      <c r="P24" s="1">
        <v>1426</v>
      </c>
      <c r="Q24" s="1">
        <v>1014</v>
      </c>
      <c r="R24" s="1">
        <v>1305</v>
      </c>
      <c r="S24" s="1">
        <v>1104</v>
      </c>
      <c r="T24" s="1">
        <v>100</v>
      </c>
      <c r="U24" s="1">
        <v>1053</v>
      </c>
      <c r="V24" s="1">
        <v>42</v>
      </c>
      <c r="W24" s="7"/>
      <c r="X24" s="1">
        <v>62</v>
      </c>
      <c r="Y24" s="1">
        <v>288</v>
      </c>
      <c r="Z24" s="1">
        <v>311</v>
      </c>
      <c r="AA24" s="1">
        <v>76</v>
      </c>
      <c r="AB24" s="1">
        <v>622</v>
      </c>
      <c r="AC24" s="1">
        <v>145</v>
      </c>
      <c r="AD24" s="1">
        <v>1053</v>
      </c>
      <c r="AE24" s="1">
        <v>1146</v>
      </c>
    </row>
    <row r="25" spans="1:31" x14ac:dyDescent="0.25">
      <c r="A25" s="3" t="s">
        <v>24</v>
      </c>
      <c r="B25" s="1">
        <v>3084</v>
      </c>
      <c r="C25" s="1">
        <v>1733</v>
      </c>
      <c r="D25" s="1">
        <v>2954</v>
      </c>
      <c r="E25" s="1">
        <v>1087</v>
      </c>
      <c r="F25" s="1">
        <v>1233</v>
      </c>
      <c r="G25" s="1">
        <v>727</v>
      </c>
      <c r="H25" s="1">
        <v>1069</v>
      </c>
      <c r="I25" s="1">
        <v>889</v>
      </c>
      <c r="J25" s="1">
        <v>1148</v>
      </c>
      <c r="K25" s="1">
        <v>1247</v>
      </c>
      <c r="L25" s="1">
        <v>923</v>
      </c>
      <c r="M25" s="1">
        <v>1152</v>
      </c>
      <c r="N25" s="1">
        <v>1416</v>
      </c>
      <c r="O25" s="1">
        <v>1431</v>
      </c>
      <c r="P25" s="1">
        <v>1364</v>
      </c>
      <c r="Q25" s="1">
        <v>952</v>
      </c>
      <c r="R25" s="1">
        <v>1243</v>
      </c>
      <c r="S25" s="1">
        <v>1042</v>
      </c>
      <c r="T25" s="1">
        <v>38</v>
      </c>
      <c r="U25" s="1">
        <v>991</v>
      </c>
      <c r="V25" s="1">
        <v>20</v>
      </c>
      <c r="W25" s="1">
        <v>62</v>
      </c>
      <c r="X25" s="7"/>
      <c r="Y25" s="1">
        <v>226</v>
      </c>
      <c r="Z25" s="1">
        <v>249</v>
      </c>
      <c r="AA25" s="1">
        <v>138</v>
      </c>
      <c r="AB25" s="1">
        <v>560</v>
      </c>
      <c r="AC25" s="1">
        <v>83</v>
      </c>
      <c r="AD25" s="1">
        <v>991</v>
      </c>
      <c r="AE25" s="1">
        <v>1084</v>
      </c>
    </row>
    <row r="26" spans="1:31" x14ac:dyDescent="0.25">
      <c r="A26" s="3" t="s">
        <v>25</v>
      </c>
      <c r="B26" s="1">
        <v>2858</v>
      </c>
      <c r="C26" s="1">
        <v>1507</v>
      </c>
      <c r="D26" s="1">
        <v>2728</v>
      </c>
      <c r="E26" s="1">
        <v>861</v>
      </c>
      <c r="F26" s="1">
        <v>1007</v>
      </c>
      <c r="G26" s="1">
        <v>501</v>
      </c>
      <c r="H26" s="1">
        <v>843</v>
      </c>
      <c r="I26" s="1">
        <v>663</v>
      </c>
      <c r="J26" s="1">
        <v>922</v>
      </c>
      <c r="K26" s="1">
        <v>1021</v>
      </c>
      <c r="L26" s="1">
        <v>697</v>
      </c>
      <c r="M26" s="1">
        <v>926</v>
      </c>
      <c r="N26" s="1">
        <v>1190</v>
      </c>
      <c r="O26" s="1">
        <v>1205</v>
      </c>
      <c r="P26" s="1">
        <v>1138</v>
      </c>
      <c r="Q26" s="1">
        <v>726</v>
      </c>
      <c r="R26" s="1">
        <v>1017</v>
      </c>
      <c r="S26" s="1">
        <v>816</v>
      </c>
      <c r="T26" s="1">
        <v>188</v>
      </c>
      <c r="U26" s="1">
        <v>765</v>
      </c>
      <c r="V26" s="1">
        <v>246</v>
      </c>
      <c r="W26" s="1">
        <v>288</v>
      </c>
      <c r="X26" s="1">
        <v>226</v>
      </c>
      <c r="Y26" s="7"/>
      <c r="Z26" s="1">
        <v>23</v>
      </c>
      <c r="AA26" s="1">
        <v>364</v>
      </c>
      <c r="AB26" s="1">
        <v>334</v>
      </c>
      <c r="AC26" s="1">
        <v>143</v>
      </c>
      <c r="AD26" s="1">
        <v>765</v>
      </c>
      <c r="AE26" s="1">
        <v>858</v>
      </c>
    </row>
    <row r="27" spans="1:31" x14ac:dyDescent="0.25">
      <c r="A27" s="3" t="s">
        <v>26</v>
      </c>
      <c r="B27" s="1">
        <v>2835</v>
      </c>
      <c r="C27" s="1">
        <v>1484</v>
      </c>
      <c r="D27" s="1">
        <v>2705</v>
      </c>
      <c r="E27" s="1">
        <v>838</v>
      </c>
      <c r="F27" s="1">
        <v>984</v>
      </c>
      <c r="G27" s="1">
        <v>478</v>
      </c>
      <c r="H27" s="1">
        <v>820</v>
      </c>
      <c r="I27" s="1">
        <v>640</v>
      </c>
      <c r="J27" s="1">
        <v>899</v>
      </c>
      <c r="K27" s="1">
        <v>998</v>
      </c>
      <c r="L27" s="1">
        <v>674</v>
      </c>
      <c r="M27" s="1">
        <v>903</v>
      </c>
      <c r="N27" s="1">
        <v>1167</v>
      </c>
      <c r="O27" s="1">
        <v>1182</v>
      </c>
      <c r="P27" s="1">
        <v>1115</v>
      </c>
      <c r="Q27" s="1">
        <v>703</v>
      </c>
      <c r="R27" s="1">
        <v>994</v>
      </c>
      <c r="S27" s="1">
        <v>793</v>
      </c>
      <c r="T27" s="1">
        <v>211</v>
      </c>
      <c r="U27" s="1">
        <v>742</v>
      </c>
      <c r="V27" s="1">
        <v>269</v>
      </c>
      <c r="W27" s="1">
        <v>311</v>
      </c>
      <c r="X27" s="1">
        <v>249</v>
      </c>
      <c r="Y27" s="1">
        <v>23</v>
      </c>
      <c r="Z27" s="7"/>
      <c r="AA27" s="1">
        <v>387</v>
      </c>
      <c r="AB27" s="1">
        <v>311</v>
      </c>
      <c r="AC27" s="1">
        <v>166</v>
      </c>
      <c r="AD27" s="1">
        <v>742</v>
      </c>
      <c r="AE27" s="1">
        <v>835</v>
      </c>
    </row>
    <row r="28" spans="1:31" x14ac:dyDescent="0.25">
      <c r="A28" s="3" t="s">
        <v>27</v>
      </c>
      <c r="B28" s="1">
        <v>3222</v>
      </c>
      <c r="C28" s="1">
        <v>1871</v>
      </c>
      <c r="D28" s="1">
        <v>3092</v>
      </c>
      <c r="E28" s="1">
        <v>1225</v>
      </c>
      <c r="F28" s="1">
        <v>1371</v>
      </c>
      <c r="G28" s="1">
        <v>865</v>
      </c>
      <c r="H28" s="1">
        <v>1207</v>
      </c>
      <c r="I28" s="1">
        <v>1027</v>
      </c>
      <c r="J28" s="1">
        <v>1286</v>
      </c>
      <c r="K28" s="1">
        <v>1385</v>
      </c>
      <c r="L28" s="1">
        <v>1061</v>
      </c>
      <c r="M28" s="1">
        <v>1290</v>
      </c>
      <c r="N28" s="1">
        <v>1554</v>
      </c>
      <c r="O28" s="1">
        <v>1569</v>
      </c>
      <c r="P28" s="1">
        <v>1502</v>
      </c>
      <c r="Q28" s="1">
        <v>1090</v>
      </c>
      <c r="R28" s="1">
        <v>1381</v>
      </c>
      <c r="S28" s="1">
        <v>1180</v>
      </c>
      <c r="T28" s="1">
        <v>176</v>
      </c>
      <c r="U28" s="1">
        <v>1129</v>
      </c>
      <c r="V28" s="1">
        <v>118</v>
      </c>
      <c r="W28" s="1">
        <v>76</v>
      </c>
      <c r="X28" s="1">
        <v>138</v>
      </c>
      <c r="Y28" s="1">
        <v>364</v>
      </c>
      <c r="Z28" s="1">
        <v>387</v>
      </c>
      <c r="AA28" s="7"/>
      <c r="AB28" s="1">
        <v>698</v>
      </c>
      <c r="AC28" s="1">
        <v>221</v>
      </c>
      <c r="AD28" s="1">
        <v>1129</v>
      </c>
      <c r="AE28" s="1">
        <v>1222</v>
      </c>
    </row>
    <row r="29" spans="1:31" x14ac:dyDescent="0.25">
      <c r="A29" s="3" t="s">
        <v>28</v>
      </c>
      <c r="B29" s="1">
        <v>2524</v>
      </c>
      <c r="C29" s="1">
        <v>1173</v>
      </c>
      <c r="D29" s="1">
        <v>2394</v>
      </c>
      <c r="E29" s="1">
        <v>527</v>
      </c>
      <c r="F29" s="1">
        <v>673</v>
      </c>
      <c r="G29" s="1">
        <v>167</v>
      </c>
      <c r="H29" s="1">
        <v>509</v>
      </c>
      <c r="I29" s="1">
        <v>329</v>
      </c>
      <c r="J29" s="1">
        <v>588</v>
      </c>
      <c r="K29" s="1">
        <v>687</v>
      </c>
      <c r="L29" s="1">
        <v>363</v>
      </c>
      <c r="M29" s="1">
        <v>592</v>
      </c>
      <c r="N29" s="1">
        <v>856</v>
      </c>
      <c r="O29" s="1">
        <v>871</v>
      </c>
      <c r="P29" s="1">
        <v>804</v>
      </c>
      <c r="Q29" s="1">
        <v>392</v>
      </c>
      <c r="R29" s="1">
        <v>683</v>
      </c>
      <c r="S29" s="1">
        <v>482</v>
      </c>
      <c r="T29" s="1">
        <v>522</v>
      </c>
      <c r="U29" s="1">
        <v>431</v>
      </c>
      <c r="V29" s="1">
        <v>580</v>
      </c>
      <c r="W29" s="1">
        <v>622</v>
      </c>
      <c r="X29" s="1">
        <v>560</v>
      </c>
      <c r="Y29" s="1">
        <v>334</v>
      </c>
      <c r="Z29" s="1">
        <v>311</v>
      </c>
      <c r="AA29" s="1">
        <v>698</v>
      </c>
      <c r="AB29" s="7"/>
      <c r="AC29" s="1">
        <v>477</v>
      </c>
      <c r="AD29" s="1">
        <v>431</v>
      </c>
      <c r="AE29" s="1">
        <v>524</v>
      </c>
    </row>
    <row r="30" spans="1:31" x14ac:dyDescent="0.25">
      <c r="A30" s="3" t="s">
        <v>29</v>
      </c>
      <c r="B30" s="1">
        <v>3001</v>
      </c>
      <c r="C30" s="1">
        <v>1650</v>
      </c>
      <c r="D30" s="1">
        <v>2871</v>
      </c>
      <c r="E30" s="1">
        <v>1004</v>
      </c>
      <c r="F30" s="1">
        <v>1150</v>
      </c>
      <c r="G30" s="1">
        <v>644</v>
      </c>
      <c r="H30" s="1">
        <v>986</v>
      </c>
      <c r="I30" s="1">
        <v>806</v>
      </c>
      <c r="J30" s="1">
        <v>1065</v>
      </c>
      <c r="K30" s="1">
        <v>1164</v>
      </c>
      <c r="L30" s="1">
        <v>840</v>
      </c>
      <c r="M30" s="1">
        <v>1069</v>
      </c>
      <c r="N30" s="1">
        <v>1333</v>
      </c>
      <c r="O30" s="1">
        <v>1348</v>
      </c>
      <c r="P30" s="1">
        <v>1281</v>
      </c>
      <c r="Q30" s="1">
        <v>869</v>
      </c>
      <c r="R30" s="1">
        <v>1160</v>
      </c>
      <c r="S30" s="1">
        <v>959</v>
      </c>
      <c r="T30" s="1">
        <v>45</v>
      </c>
      <c r="U30" s="1">
        <v>908</v>
      </c>
      <c r="V30" s="1">
        <v>103</v>
      </c>
      <c r="W30" s="1">
        <v>145</v>
      </c>
      <c r="X30" s="1">
        <v>83</v>
      </c>
      <c r="Y30" s="1">
        <v>143</v>
      </c>
      <c r="Z30" s="1">
        <v>166</v>
      </c>
      <c r="AA30" s="1">
        <v>221</v>
      </c>
      <c r="AB30" s="1">
        <v>477</v>
      </c>
      <c r="AC30" s="7"/>
      <c r="AD30" s="1">
        <v>908</v>
      </c>
      <c r="AE30" s="1">
        <v>1001</v>
      </c>
    </row>
    <row r="31" spans="1:31" x14ac:dyDescent="0.25">
      <c r="A31" s="3" t="s">
        <v>30</v>
      </c>
      <c r="B31" s="1">
        <v>2093</v>
      </c>
      <c r="C31" s="1">
        <v>742</v>
      </c>
      <c r="D31" s="1">
        <v>1963</v>
      </c>
      <c r="E31" s="1">
        <v>96</v>
      </c>
      <c r="F31" s="1">
        <v>242</v>
      </c>
      <c r="G31" s="1">
        <v>264</v>
      </c>
      <c r="H31" s="1">
        <v>78</v>
      </c>
      <c r="I31" s="1">
        <v>102</v>
      </c>
      <c r="J31" s="1">
        <v>157</v>
      </c>
      <c r="K31" s="1">
        <v>256</v>
      </c>
      <c r="L31" s="1">
        <v>68</v>
      </c>
      <c r="M31" s="1">
        <v>161</v>
      </c>
      <c r="N31" s="1">
        <v>425</v>
      </c>
      <c r="O31" s="1">
        <v>440</v>
      </c>
      <c r="P31" s="1">
        <v>373</v>
      </c>
      <c r="Q31" s="1">
        <v>39</v>
      </c>
      <c r="R31" s="1">
        <v>252</v>
      </c>
      <c r="S31" s="1">
        <v>51</v>
      </c>
      <c r="T31" s="1">
        <v>953</v>
      </c>
      <c r="U31" s="1">
        <v>0</v>
      </c>
      <c r="V31" s="1">
        <v>1011</v>
      </c>
      <c r="W31" s="1">
        <v>1053</v>
      </c>
      <c r="X31" s="1">
        <v>991</v>
      </c>
      <c r="Y31" s="1">
        <v>765</v>
      </c>
      <c r="Z31" s="1">
        <v>742</v>
      </c>
      <c r="AA31" s="1">
        <v>1129</v>
      </c>
      <c r="AB31" s="1">
        <v>431</v>
      </c>
      <c r="AC31" s="1">
        <v>908</v>
      </c>
      <c r="AD31" s="7"/>
      <c r="AE31" s="1">
        <v>93</v>
      </c>
    </row>
    <row r="32" spans="1:31" x14ac:dyDescent="0.25">
      <c r="A32" s="3" t="s">
        <v>31</v>
      </c>
      <c r="B32" s="1">
        <v>2000</v>
      </c>
      <c r="C32" s="1">
        <v>649</v>
      </c>
      <c r="D32" s="1">
        <v>1870</v>
      </c>
      <c r="E32" s="1">
        <v>3</v>
      </c>
      <c r="F32" s="1">
        <v>149</v>
      </c>
      <c r="G32" s="1">
        <v>357</v>
      </c>
      <c r="H32" s="1">
        <v>15</v>
      </c>
      <c r="I32" s="1">
        <v>195</v>
      </c>
      <c r="J32" s="1">
        <v>64</v>
      </c>
      <c r="K32" s="1">
        <v>163</v>
      </c>
      <c r="L32" s="1">
        <v>161</v>
      </c>
      <c r="M32" s="1">
        <v>68</v>
      </c>
      <c r="N32" s="1">
        <v>332</v>
      </c>
      <c r="O32" s="1">
        <v>347</v>
      </c>
      <c r="P32" s="1">
        <v>280</v>
      </c>
      <c r="Q32" s="1">
        <v>132</v>
      </c>
      <c r="R32" s="1">
        <v>159</v>
      </c>
      <c r="S32" s="1">
        <v>42</v>
      </c>
      <c r="T32" s="1">
        <v>1046</v>
      </c>
      <c r="U32" s="1">
        <v>93</v>
      </c>
      <c r="V32" s="1">
        <v>1104</v>
      </c>
      <c r="W32" s="1">
        <v>1146</v>
      </c>
      <c r="X32" s="1">
        <v>1084</v>
      </c>
      <c r="Y32" s="1">
        <v>858</v>
      </c>
      <c r="Z32" s="1">
        <v>835</v>
      </c>
      <c r="AA32" s="1">
        <v>1222</v>
      </c>
      <c r="AB32" s="1">
        <v>524</v>
      </c>
      <c r="AC32" s="1">
        <v>1001</v>
      </c>
      <c r="AD32" s="1">
        <v>93</v>
      </c>
      <c r="AE32" s="7"/>
    </row>
    <row r="35" spans="1:31" x14ac:dyDescent="0.25">
      <c r="B35" s="10" t="s">
        <v>34</v>
      </c>
      <c r="C35" s="10">
        <f>SUM(B3:AE32)/870</f>
        <v>816.09195402298803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x14ac:dyDescent="0.25"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  <c r="U36" s="3" t="s">
        <v>21</v>
      </c>
      <c r="V36" s="3" t="s">
        <v>22</v>
      </c>
      <c r="W36" s="3" t="s">
        <v>23</v>
      </c>
      <c r="X36" s="3" t="s">
        <v>24</v>
      </c>
      <c r="Y36" s="3" t="s">
        <v>25</v>
      </c>
      <c r="Z36" s="3" t="s">
        <v>26</v>
      </c>
      <c r="AA36" s="3" t="s">
        <v>27</v>
      </c>
      <c r="AB36" s="3" t="s">
        <v>28</v>
      </c>
      <c r="AC36" s="3" t="s">
        <v>29</v>
      </c>
      <c r="AD36" s="3" t="s">
        <v>30</v>
      </c>
      <c r="AE36" s="3" t="s">
        <v>31</v>
      </c>
    </row>
    <row r="37" spans="1:31" x14ac:dyDescent="0.25">
      <c r="A37" s="3" t="s">
        <v>2</v>
      </c>
      <c r="B37" s="10">
        <f>IF(B3&gt;$C$35,1,0)</f>
        <v>0</v>
      </c>
      <c r="C37" s="10">
        <f t="shared" ref="C37:AE37" si="0">IF(C3&gt;$C$35,1,0)</f>
        <v>1</v>
      </c>
      <c r="D37" s="10">
        <f t="shared" si="0"/>
        <v>0</v>
      </c>
      <c r="E37" s="10">
        <f t="shared" si="0"/>
        <v>1</v>
      </c>
      <c r="F37" s="10">
        <f t="shared" si="0"/>
        <v>1</v>
      </c>
      <c r="G37" s="10">
        <f t="shared" si="0"/>
        <v>1</v>
      </c>
      <c r="H37" s="10">
        <f t="shared" si="0"/>
        <v>1</v>
      </c>
      <c r="I37" s="10">
        <f t="shared" si="0"/>
        <v>1</v>
      </c>
      <c r="J37" s="10">
        <f t="shared" si="0"/>
        <v>1</v>
      </c>
      <c r="K37" s="10">
        <f t="shared" si="0"/>
        <v>1</v>
      </c>
      <c r="L37" s="10">
        <f t="shared" si="0"/>
        <v>1</v>
      </c>
      <c r="M37" s="10">
        <f t="shared" si="0"/>
        <v>1</v>
      </c>
      <c r="N37" s="10">
        <f t="shared" si="0"/>
        <v>1</v>
      </c>
      <c r="O37" s="10">
        <f t="shared" si="0"/>
        <v>1</v>
      </c>
      <c r="P37" s="10">
        <f t="shared" si="0"/>
        <v>1</v>
      </c>
      <c r="Q37" s="10">
        <f t="shared" si="0"/>
        <v>1</v>
      </c>
      <c r="R37" s="10">
        <f t="shared" si="0"/>
        <v>1</v>
      </c>
      <c r="S37" s="10">
        <f t="shared" si="0"/>
        <v>1</v>
      </c>
      <c r="T37" s="10">
        <f t="shared" si="0"/>
        <v>1</v>
      </c>
      <c r="U37" s="10">
        <f t="shared" si="0"/>
        <v>1</v>
      </c>
      <c r="V37" s="10">
        <f t="shared" si="0"/>
        <v>1</v>
      </c>
      <c r="W37" s="10">
        <f t="shared" si="0"/>
        <v>1</v>
      </c>
      <c r="X37" s="10">
        <f t="shared" si="0"/>
        <v>1</v>
      </c>
      <c r="Y37" s="10">
        <f t="shared" si="0"/>
        <v>1</v>
      </c>
      <c r="Z37" s="10">
        <f t="shared" si="0"/>
        <v>1</v>
      </c>
      <c r="AA37" s="10">
        <f t="shared" si="0"/>
        <v>1</v>
      </c>
      <c r="AB37" s="10">
        <f t="shared" si="0"/>
        <v>1</v>
      </c>
      <c r="AC37" s="10">
        <f t="shared" si="0"/>
        <v>1</v>
      </c>
      <c r="AD37" s="10">
        <f t="shared" si="0"/>
        <v>1</v>
      </c>
      <c r="AE37" s="10">
        <f t="shared" si="0"/>
        <v>1</v>
      </c>
    </row>
    <row r="38" spans="1:31" x14ac:dyDescent="0.25">
      <c r="A38" s="3" t="s">
        <v>3</v>
      </c>
      <c r="B38" s="10">
        <f t="shared" ref="B38:B66" si="1">IF(B4&gt;$C$35,1,0)</f>
        <v>1</v>
      </c>
      <c r="C38" s="10">
        <f t="shared" ref="C38:C66" si="2">IF(C4&gt;$C$35,1,0)</f>
        <v>0</v>
      </c>
      <c r="D38" s="10">
        <f t="shared" ref="D38:D66" si="3">IF(D4&gt;$C$35,1,0)</f>
        <v>1</v>
      </c>
      <c r="E38" s="10">
        <f t="shared" ref="E38:E66" si="4">IF(E4&gt;$C$35,1,0)</f>
        <v>0</v>
      </c>
      <c r="F38" s="10">
        <f t="shared" ref="F38:F66" si="5">IF(F4&gt;$C$35,1,0)</f>
        <v>0</v>
      </c>
      <c r="G38" s="10">
        <f t="shared" ref="G38:G66" si="6">IF(G4&gt;$C$35,1,0)</f>
        <v>1</v>
      </c>
      <c r="H38" s="10">
        <f t="shared" ref="H38:H66" si="7">IF(H4&gt;$C$35,1,0)</f>
        <v>0</v>
      </c>
      <c r="I38" s="10">
        <f t="shared" ref="I38:I66" si="8">IF(I4&gt;$C$35,1,0)</f>
        <v>1</v>
      </c>
      <c r="J38" s="10">
        <f t="shared" ref="J38:J66" si="9">IF(J4&gt;$C$35,1,0)</f>
        <v>0</v>
      </c>
      <c r="K38" s="10">
        <f t="shared" ref="K38:K66" si="10">IF(K4&gt;$C$35,1,0)</f>
        <v>0</v>
      </c>
      <c r="L38" s="10">
        <f t="shared" ref="L38:L66" si="11">IF(L4&gt;$C$35,1,0)</f>
        <v>0</v>
      </c>
      <c r="M38" s="10">
        <f t="shared" ref="M38:M66" si="12">IF(M4&gt;$C$35,1,0)</f>
        <v>0</v>
      </c>
      <c r="N38" s="10">
        <f t="shared" ref="N38:N66" si="13">IF(N4&gt;$C$35,1,0)</f>
        <v>0</v>
      </c>
      <c r="O38" s="10">
        <f t="shared" ref="O38:O66" si="14">IF(O4&gt;$C$35,1,0)</f>
        <v>0</v>
      </c>
      <c r="P38" s="10">
        <f t="shared" ref="P38:P66" si="15">IF(P4&gt;$C$35,1,0)</f>
        <v>0</v>
      </c>
      <c r="Q38" s="10">
        <f t="shared" ref="Q38:Q66" si="16">IF(Q4&gt;$C$35,1,0)</f>
        <v>0</v>
      </c>
      <c r="R38" s="10">
        <f t="shared" ref="R38:R66" si="17">IF(R4&gt;$C$35,1,0)</f>
        <v>0</v>
      </c>
      <c r="S38" s="10">
        <f t="shared" ref="S38:S66" si="18">IF(S4&gt;$C$35,1,0)</f>
        <v>0</v>
      </c>
      <c r="T38" s="10">
        <f t="shared" ref="T38:T66" si="19">IF(T4&gt;$C$35,1,0)</f>
        <v>1</v>
      </c>
      <c r="U38" s="10">
        <f t="shared" ref="U38:U66" si="20">IF(U4&gt;$C$35,1,0)</f>
        <v>0</v>
      </c>
      <c r="V38" s="10">
        <f t="shared" ref="V38:V66" si="21">IF(V4&gt;$C$35,1,0)</f>
        <v>1</v>
      </c>
      <c r="W38" s="10">
        <f t="shared" ref="W38:W66" si="22">IF(W4&gt;$C$35,1,0)</f>
        <v>1</v>
      </c>
      <c r="X38" s="10">
        <f t="shared" ref="X38:X66" si="23">IF(X4&gt;$C$35,1,0)</f>
        <v>1</v>
      </c>
      <c r="Y38" s="10">
        <f t="shared" ref="Y38:Y66" si="24">IF(Y4&gt;$C$35,1,0)</f>
        <v>1</v>
      </c>
      <c r="Z38" s="10">
        <f t="shared" ref="Z38:Z66" si="25">IF(Z4&gt;$C$35,1,0)</f>
        <v>1</v>
      </c>
      <c r="AA38" s="10">
        <f t="shared" ref="AA38:AA66" si="26">IF(AA4&gt;$C$35,1,0)</f>
        <v>1</v>
      </c>
      <c r="AB38" s="10">
        <f t="shared" ref="AB38:AB66" si="27">IF(AB4&gt;$C$35,1,0)</f>
        <v>1</v>
      </c>
      <c r="AC38" s="10">
        <f t="shared" ref="AC38:AC66" si="28">IF(AC4&gt;$C$35,1,0)</f>
        <v>1</v>
      </c>
      <c r="AD38" s="10">
        <f t="shared" ref="AD38:AD66" si="29">IF(AD4&gt;$C$35,1,0)</f>
        <v>0</v>
      </c>
      <c r="AE38" s="10">
        <f t="shared" ref="AE38:AE66" si="30">IF(AE4&gt;$C$35,1,0)</f>
        <v>0</v>
      </c>
    </row>
    <row r="39" spans="1:31" x14ac:dyDescent="0.25">
      <c r="A39" s="3" t="s">
        <v>4</v>
      </c>
      <c r="B39" s="10">
        <f t="shared" si="1"/>
        <v>0</v>
      </c>
      <c r="C39" s="10">
        <f t="shared" si="2"/>
        <v>1</v>
      </c>
      <c r="D39" s="10">
        <f t="shared" si="3"/>
        <v>0</v>
      </c>
      <c r="E39" s="10">
        <f t="shared" si="4"/>
        <v>1</v>
      </c>
      <c r="F39" s="10">
        <f t="shared" si="5"/>
        <v>1</v>
      </c>
      <c r="G39" s="10">
        <f t="shared" si="6"/>
        <v>1</v>
      </c>
      <c r="H39" s="10">
        <f t="shared" si="7"/>
        <v>1</v>
      </c>
      <c r="I39" s="10">
        <f t="shared" si="8"/>
        <v>1</v>
      </c>
      <c r="J39" s="10">
        <f t="shared" si="9"/>
        <v>1</v>
      </c>
      <c r="K39" s="10">
        <f t="shared" si="10"/>
        <v>1</v>
      </c>
      <c r="L39" s="10">
        <f t="shared" si="11"/>
        <v>1</v>
      </c>
      <c r="M39" s="10">
        <f t="shared" si="12"/>
        <v>1</v>
      </c>
      <c r="N39" s="10">
        <f t="shared" si="13"/>
        <v>1</v>
      </c>
      <c r="O39" s="10">
        <f t="shared" si="14"/>
        <v>1</v>
      </c>
      <c r="P39" s="10">
        <f t="shared" si="15"/>
        <v>1</v>
      </c>
      <c r="Q39" s="10">
        <f t="shared" si="16"/>
        <v>1</v>
      </c>
      <c r="R39" s="10">
        <f t="shared" si="17"/>
        <v>1</v>
      </c>
      <c r="S39" s="10">
        <f t="shared" si="18"/>
        <v>1</v>
      </c>
      <c r="T39" s="10">
        <f t="shared" si="19"/>
        <v>1</v>
      </c>
      <c r="U39" s="10">
        <f t="shared" si="20"/>
        <v>1</v>
      </c>
      <c r="V39" s="10">
        <f t="shared" si="21"/>
        <v>1</v>
      </c>
      <c r="W39" s="10">
        <f t="shared" si="22"/>
        <v>1</v>
      </c>
      <c r="X39" s="10">
        <f t="shared" si="23"/>
        <v>1</v>
      </c>
      <c r="Y39" s="10">
        <f t="shared" si="24"/>
        <v>1</v>
      </c>
      <c r="Z39" s="10">
        <f t="shared" si="25"/>
        <v>1</v>
      </c>
      <c r="AA39" s="10">
        <f t="shared" si="26"/>
        <v>1</v>
      </c>
      <c r="AB39" s="10">
        <f t="shared" si="27"/>
        <v>1</v>
      </c>
      <c r="AC39" s="10">
        <f t="shared" si="28"/>
        <v>1</v>
      </c>
      <c r="AD39" s="10">
        <f t="shared" si="29"/>
        <v>1</v>
      </c>
      <c r="AE39" s="10">
        <f t="shared" si="30"/>
        <v>1</v>
      </c>
    </row>
    <row r="40" spans="1:31" x14ac:dyDescent="0.25">
      <c r="A40" s="3" t="s">
        <v>5</v>
      </c>
      <c r="B40" s="10">
        <f t="shared" si="1"/>
        <v>1</v>
      </c>
      <c r="C40" s="10">
        <f t="shared" si="2"/>
        <v>0</v>
      </c>
      <c r="D40" s="10">
        <f t="shared" si="3"/>
        <v>1</v>
      </c>
      <c r="E40" s="10">
        <f t="shared" si="4"/>
        <v>0</v>
      </c>
      <c r="F40" s="10">
        <f t="shared" si="5"/>
        <v>0</v>
      </c>
      <c r="G40" s="10">
        <f t="shared" si="6"/>
        <v>0</v>
      </c>
      <c r="H40" s="10">
        <f t="shared" si="7"/>
        <v>0</v>
      </c>
      <c r="I40" s="10">
        <f t="shared" si="8"/>
        <v>0</v>
      </c>
      <c r="J40" s="10">
        <f t="shared" si="9"/>
        <v>0</v>
      </c>
      <c r="K40" s="10">
        <f t="shared" si="10"/>
        <v>0</v>
      </c>
      <c r="L40" s="10">
        <f t="shared" si="11"/>
        <v>0</v>
      </c>
      <c r="M40" s="10">
        <f t="shared" si="12"/>
        <v>0</v>
      </c>
      <c r="N40" s="10">
        <f t="shared" si="13"/>
        <v>0</v>
      </c>
      <c r="O40" s="10">
        <f t="shared" si="14"/>
        <v>0</v>
      </c>
      <c r="P40" s="10">
        <f t="shared" si="15"/>
        <v>0</v>
      </c>
      <c r="Q40" s="10">
        <f t="shared" si="16"/>
        <v>0</v>
      </c>
      <c r="R40" s="10">
        <f t="shared" si="17"/>
        <v>0</v>
      </c>
      <c r="S40" s="10">
        <f t="shared" si="18"/>
        <v>0</v>
      </c>
      <c r="T40" s="10">
        <f t="shared" si="19"/>
        <v>1</v>
      </c>
      <c r="U40" s="10">
        <f t="shared" si="20"/>
        <v>0</v>
      </c>
      <c r="V40" s="10">
        <f t="shared" si="21"/>
        <v>1</v>
      </c>
      <c r="W40" s="10">
        <f t="shared" si="22"/>
        <v>1</v>
      </c>
      <c r="X40" s="10">
        <f t="shared" si="23"/>
        <v>1</v>
      </c>
      <c r="Y40" s="10">
        <f t="shared" si="24"/>
        <v>1</v>
      </c>
      <c r="Z40" s="10">
        <f t="shared" si="25"/>
        <v>1</v>
      </c>
      <c r="AA40" s="10">
        <f t="shared" si="26"/>
        <v>1</v>
      </c>
      <c r="AB40" s="10">
        <f t="shared" si="27"/>
        <v>0</v>
      </c>
      <c r="AC40" s="10">
        <f t="shared" si="28"/>
        <v>1</v>
      </c>
      <c r="AD40" s="10">
        <f t="shared" si="29"/>
        <v>0</v>
      </c>
      <c r="AE40" s="10">
        <f t="shared" si="30"/>
        <v>0</v>
      </c>
    </row>
    <row r="41" spans="1:31" x14ac:dyDescent="0.25">
      <c r="A41" s="3" t="s">
        <v>6</v>
      </c>
      <c r="B41" s="10">
        <f t="shared" si="1"/>
        <v>1</v>
      </c>
      <c r="C41" s="10">
        <f t="shared" si="2"/>
        <v>0</v>
      </c>
      <c r="D41" s="10">
        <f t="shared" si="3"/>
        <v>1</v>
      </c>
      <c r="E41" s="10">
        <f t="shared" si="4"/>
        <v>0</v>
      </c>
      <c r="F41" s="10">
        <f t="shared" si="5"/>
        <v>0</v>
      </c>
      <c r="G41" s="10">
        <f t="shared" si="6"/>
        <v>0</v>
      </c>
      <c r="H41" s="10">
        <f t="shared" si="7"/>
        <v>0</v>
      </c>
      <c r="I41" s="10">
        <f t="shared" si="8"/>
        <v>0</v>
      </c>
      <c r="J41" s="10">
        <f t="shared" si="9"/>
        <v>0</v>
      </c>
      <c r="K41" s="10">
        <f t="shared" si="10"/>
        <v>0</v>
      </c>
      <c r="L41" s="10">
        <f t="shared" si="11"/>
        <v>0</v>
      </c>
      <c r="M41" s="10">
        <f t="shared" si="12"/>
        <v>0</v>
      </c>
      <c r="N41" s="10">
        <f t="shared" si="13"/>
        <v>0</v>
      </c>
      <c r="O41" s="10">
        <f t="shared" si="14"/>
        <v>0</v>
      </c>
      <c r="P41" s="10">
        <f t="shared" si="15"/>
        <v>0</v>
      </c>
      <c r="Q41" s="10">
        <f t="shared" si="16"/>
        <v>0</v>
      </c>
      <c r="R41" s="10">
        <f t="shared" si="17"/>
        <v>0</v>
      </c>
      <c r="S41" s="10">
        <f t="shared" si="18"/>
        <v>0</v>
      </c>
      <c r="T41" s="10">
        <f t="shared" si="19"/>
        <v>1</v>
      </c>
      <c r="U41" s="10">
        <f t="shared" si="20"/>
        <v>0</v>
      </c>
      <c r="V41" s="10">
        <f t="shared" si="21"/>
        <v>1</v>
      </c>
      <c r="W41" s="10">
        <f t="shared" si="22"/>
        <v>1</v>
      </c>
      <c r="X41" s="10">
        <f t="shared" si="23"/>
        <v>1</v>
      </c>
      <c r="Y41" s="10">
        <f t="shared" si="24"/>
        <v>1</v>
      </c>
      <c r="Z41" s="10">
        <f t="shared" si="25"/>
        <v>1</v>
      </c>
      <c r="AA41" s="10">
        <f t="shared" si="26"/>
        <v>1</v>
      </c>
      <c r="AB41" s="10">
        <f t="shared" si="27"/>
        <v>0</v>
      </c>
      <c r="AC41" s="10">
        <f t="shared" si="28"/>
        <v>1</v>
      </c>
      <c r="AD41" s="10">
        <f t="shared" si="29"/>
        <v>0</v>
      </c>
      <c r="AE41" s="10">
        <f t="shared" si="30"/>
        <v>0</v>
      </c>
    </row>
    <row r="42" spans="1:31" x14ac:dyDescent="0.25">
      <c r="A42" s="3" t="s">
        <v>7</v>
      </c>
      <c r="B42" s="10">
        <f t="shared" si="1"/>
        <v>1</v>
      </c>
      <c r="C42" s="10">
        <f t="shared" si="2"/>
        <v>1</v>
      </c>
      <c r="D42" s="10">
        <f t="shared" si="3"/>
        <v>1</v>
      </c>
      <c r="E42" s="10">
        <f t="shared" si="4"/>
        <v>0</v>
      </c>
      <c r="F42" s="10">
        <f t="shared" si="5"/>
        <v>0</v>
      </c>
      <c r="G42" s="10">
        <f t="shared" si="6"/>
        <v>0</v>
      </c>
      <c r="H42" s="10">
        <f t="shared" si="7"/>
        <v>0</v>
      </c>
      <c r="I42" s="10">
        <f t="shared" si="8"/>
        <v>0</v>
      </c>
      <c r="J42" s="10">
        <f t="shared" si="9"/>
        <v>0</v>
      </c>
      <c r="K42" s="10">
        <f t="shared" si="10"/>
        <v>0</v>
      </c>
      <c r="L42" s="10">
        <f t="shared" si="11"/>
        <v>0</v>
      </c>
      <c r="M42" s="10">
        <f t="shared" si="12"/>
        <v>0</v>
      </c>
      <c r="N42" s="10">
        <f t="shared" si="13"/>
        <v>0</v>
      </c>
      <c r="O42" s="10">
        <f t="shared" si="14"/>
        <v>0</v>
      </c>
      <c r="P42" s="10">
        <f t="shared" si="15"/>
        <v>0</v>
      </c>
      <c r="Q42" s="10">
        <f t="shared" si="16"/>
        <v>0</v>
      </c>
      <c r="R42" s="10">
        <f t="shared" si="17"/>
        <v>0</v>
      </c>
      <c r="S42" s="10">
        <f t="shared" si="18"/>
        <v>0</v>
      </c>
      <c r="T42" s="10">
        <f t="shared" si="19"/>
        <v>0</v>
      </c>
      <c r="U42" s="10">
        <f t="shared" si="20"/>
        <v>0</v>
      </c>
      <c r="V42" s="10">
        <f t="shared" si="21"/>
        <v>0</v>
      </c>
      <c r="W42" s="10">
        <f t="shared" si="22"/>
        <v>0</v>
      </c>
      <c r="X42" s="10">
        <f t="shared" si="23"/>
        <v>0</v>
      </c>
      <c r="Y42" s="10">
        <f t="shared" si="24"/>
        <v>0</v>
      </c>
      <c r="Z42" s="10">
        <f t="shared" si="25"/>
        <v>0</v>
      </c>
      <c r="AA42" s="10">
        <f t="shared" si="26"/>
        <v>1</v>
      </c>
      <c r="AB42" s="10">
        <f t="shared" si="27"/>
        <v>0</v>
      </c>
      <c r="AC42" s="10">
        <f t="shared" si="28"/>
        <v>0</v>
      </c>
      <c r="AD42" s="10">
        <f t="shared" si="29"/>
        <v>0</v>
      </c>
      <c r="AE42" s="10">
        <f t="shared" si="30"/>
        <v>0</v>
      </c>
    </row>
    <row r="43" spans="1:31" x14ac:dyDescent="0.25">
      <c r="A43" s="3" t="s">
        <v>8</v>
      </c>
      <c r="B43" s="10">
        <f t="shared" si="1"/>
        <v>1</v>
      </c>
      <c r="C43" s="10">
        <f t="shared" si="2"/>
        <v>0</v>
      </c>
      <c r="D43" s="10">
        <f t="shared" si="3"/>
        <v>1</v>
      </c>
      <c r="E43" s="10">
        <f t="shared" si="4"/>
        <v>0</v>
      </c>
      <c r="F43" s="10">
        <f t="shared" si="5"/>
        <v>0</v>
      </c>
      <c r="G43" s="10">
        <f t="shared" si="6"/>
        <v>0</v>
      </c>
      <c r="H43" s="10">
        <f t="shared" si="7"/>
        <v>0</v>
      </c>
      <c r="I43" s="10">
        <f t="shared" si="8"/>
        <v>0</v>
      </c>
      <c r="J43" s="10">
        <f t="shared" si="9"/>
        <v>0</v>
      </c>
      <c r="K43" s="10">
        <f t="shared" si="10"/>
        <v>0</v>
      </c>
      <c r="L43" s="10">
        <f t="shared" si="11"/>
        <v>0</v>
      </c>
      <c r="M43" s="10">
        <f t="shared" si="12"/>
        <v>0</v>
      </c>
      <c r="N43" s="10">
        <f t="shared" si="13"/>
        <v>0</v>
      </c>
      <c r="O43" s="10">
        <f t="shared" si="14"/>
        <v>0</v>
      </c>
      <c r="P43" s="10">
        <f t="shared" si="15"/>
        <v>0</v>
      </c>
      <c r="Q43" s="10">
        <f t="shared" si="16"/>
        <v>0</v>
      </c>
      <c r="R43" s="10">
        <f t="shared" si="17"/>
        <v>0</v>
      </c>
      <c r="S43" s="10">
        <f t="shared" si="18"/>
        <v>0</v>
      </c>
      <c r="T43" s="10">
        <f t="shared" si="19"/>
        <v>1</v>
      </c>
      <c r="U43" s="10">
        <f t="shared" si="20"/>
        <v>0</v>
      </c>
      <c r="V43" s="10">
        <f t="shared" si="21"/>
        <v>1</v>
      </c>
      <c r="W43" s="10">
        <f t="shared" si="22"/>
        <v>1</v>
      </c>
      <c r="X43" s="10">
        <f t="shared" si="23"/>
        <v>1</v>
      </c>
      <c r="Y43" s="10">
        <f t="shared" si="24"/>
        <v>1</v>
      </c>
      <c r="Z43" s="10">
        <f t="shared" si="25"/>
        <v>1</v>
      </c>
      <c r="AA43" s="10">
        <f t="shared" si="26"/>
        <v>1</v>
      </c>
      <c r="AB43" s="10">
        <f t="shared" si="27"/>
        <v>0</v>
      </c>
      <c r="AC43" s="10">
        <f t="shared" si="28"/>
        <v>1</v>
      </c>
      <c r="AD43" s="10">
        <f t="shared" si="29"/>
        <v>0</v>
      </c>
      <c r="AE43" s="10">
        <f t="shared" si="30"/>
        <v>0</v>
      </c>
    </row>
    <row r="44" spans="1:31" x14ac:dyDescent="0.25">
      <c r="A44" s="3" t="s">
        <v>9</v>
      </c>
      <c r="B44" s="10">
        <f t="shared" si="1"/>
        <v>1</v>
      </c>
      <c r="C44" s="10">
        <f t="shared" si="2"/>
        <v>1</v>
      </c>
      <c r="D44" s="10">
        <f t="shared" si="3"/>
        <v>1</v>
      </c>
      <c r="E44" s="10">
        <f t="shared" si="4"/>
        <v>0</v>
      </c>
      <c r="F44" s="10">
        <f t="shared" si="5"/>
        <v>0</v>
      </c>
      <c r="G44" s="10">
        <f t="shared" si="6"/>
        <v>0</v>
      </c>
      <c r="H44" s="10">
        <f t="shared" si="7"/>
        <v>0</v>
      </c>
      <c r="I44" s="10">
        <f t="shared" si="8"/>
        <v>0</v>
      </c>
      <c r="J44" s="10">
        <f t="shared" si="9"/>
        <v>0</v>
      </c>
      <c r="K44" s="10">
        <f t="shared" si="10"/>
        <v>0</v>
      </c>
      <c r="L44" s="10">
        <f t="shared" si="11"/>
        <v>0</v>
      </c>
      <c r="M44" s="10">
        <f t="shared" si="12"/>
        <v>0</v>
      </c>
      <c r="N44" s="10">
        <f t="shared" si="13"/>
        <v>0</v>
      </c>
      <c r="O44" s="10">
        <f t="shared" si="14"/>
        <v>0</v>
      </c>
      <c r="P44" s="10">
        <f t="shared" si="15"/>
        <v>0</v>
      </c>
      <c r="Q44" s="10">
        <f t="shared" si="16"/>
        <v>0</v>
      </c>
      <c r="R44" s="10">
        <f t="shared" si="17"/>
        <v>0</v>
      </c>
      <c r="S44" s="10">
        <f t="shared" si="18"/>
        <v>0</v>
      </c>
      <c r="T44" s="10">
        <f t="shared" si="19"/>
        <v>1</v>
      </c>
      <c r="U44" s="10">
        <f t="shared" si="20"/>
        <v>0</v>
      </c>
      <c r="V44" s="10">
        <f t="shared" si="21"/>
        <v>1</v>
      </c>
      <c r="W44" s="10">
        <f t="shared" si="22"/>
        <v>1</v>
      </c>
      <c r="X44" s="10">
        <f t="shared" si="23"/>
        <v>1</v>
      </c>
      <c r="Y44" s="10">
        <f t="shared" si="24"/>
        <v>0</v>
      </c>
      <c r="Z44" s="10">
        <f t="shared" si="25"/>
        <v>0</v>
      </c>
      <c r="AA44" s="10">
        <f t="shared" si="26"/>
        <v>1</v>
      </c>
      <c r="AB44" s="10">
        <f t="shared" si="27"/>
        <v>0</v>
      </c>
      <c r="AC44" s="10">
        <f t="shared" si="28"/>
        <v>0</v>
      </c>
      <c r="AD44" s="10">
        <f t="shared" si="29"/>
        <v>0</v>
      </c>
      <c r="AE44" s="10">
        <f t="shared" si="30"/>
        <v>0</v>
      </c>
    </row>
    <row r="45" spans="1:31" x14ac:dyDescent="0.25">
      <c r="A45" s="3" t="s">
        <v>10</v>
      </c>
      <c r="B45" s="10">
        <f t="shared" si="1"/>
        <v>1</v>
      </c>
      <c r="C45" s="10">
        <f t="shared" si="2"/>
        <v>0</v>
      </c>
      <c r="D45" s="10">
        <f t="shared" si="3"/>
        <v>1</v>
      </c>
      <c r="E45" s="10">
        <f t="shared" si="4"/>
        <v>0</v>
      </c>
      <c r="F45" s="10">
        <f t="shared" si="5"/>
        <v>0</v>
      </c>
      <c r="G45" s="10">
        <f t="shared" si="6"/>
        <v>0</v>
      </c>
      <c r="H45" s="10">
        <f t="shared" si="7"/>
        <v>0</v>
      </c>
      <c r="I45" s="10">
        <f t="shared" si="8"/>
        <v>0</v>
      </c>
      <c r="J45" s="10">
        <f t="shared" si="9"/>
        <v>0</v>
      </c>
      <c r="K45" s="10">
        <f t="shared" si="10"/>
        <v>0</v>
      </c>
      <c r="L45" s="10">
        <f t="shared" si="11"/>
        <v>0</v>
      </c>
      <c r="M45" s="10">
        <f t="shared" si="12"/>
        <v>0</v>
      </c>
      <c r="N45" s="10">
        <f t="shared" si="13"/>
        <v>0</v>
      </c>
      <c r="O45" s="10">
        <f t="shared" si="14"/>
        <v>0</v>
      </c>
      <c r="P45" s="10">
        <f t="shared" si="15"/>
        <v>0</v>
      </c>
      <c r="Q45" s="10">
        <f t="shared" si="16"/>
        <v>0</v>
      </c>
      <c r="R45" s="10">
        <f t="shared" si="17"/>
        <v>0</v>
      </c>
      <c r="S45" s="10">
        <f t="shared" si="18"/>
        <v>0</v>
      </c>
      <c r="T45" s="10">
        <f t="shared" si="19"/>
        <v>1</v>
      </c>
      <c r="U45" s="10">
        <f t="shared" si="20"/>
        <v>0</v>
      </c>
      <c r="V45" s="10">
        <f t="shared" si="21"/>
        <v>1</v>
      </c>
      <c r="W45" s="10">
        <f t="shared" si="22"/>
        <v>1</v>
      </c>
      <c r="X45" s="10">
        <f t="shared" si="23"/>
        <v>1</v>
      </c>
      <c r="Y45" s="10">
        <f t="shared" si="24"/>
        <v>1</v>
      </c>
      <c r="Z45" s="10">
        <f t="shared" si="25"/>
        <v>1</v>
      </c>
      <c r="AA45" s="10">
        <f t="shared" si="26"/>
        <v>1</v>
      </c>
      <c r="AB45" s="10">
        <f t="shared" si="27"/>
        <v>0</v>
      </c>
      <c r="AC45" s="10">
        <f t="shared" si="28"/>
        <v>1</v>
      </c>
      <c r="AD45" s="10">
        <f t="shared" si="29"/>
        <v>0</v>
      </c>
      <c r="AE45" s="10">
        <f t="shared" si="30"/>
        <v>0</v>
      </c>
    </row>
    <row r="46" spans="1:31" x14ac:dyDescent="0.25">
      <c r="A46" s="3" t="s">
        <v>11</v>
      </c>
      <c r="B46" s="10">
        <f t="shared" si="1"/>
        <v>1</v>
      </c>
      <c r="C46" s="10">
        <f t="shared" si="2"/>
        <v>0</v>
      </c>
      <c r="D46" s="10">
        <f t="shared" si="3"/>
        <v>1</v>
      </c>
      <c r="E46" s="10">
        <f t="shared" si="4"/>
        <v>0</v>
      </c>
      <c r="F46" s="10">
        <f t="shared" si="5"/>
        <v>0</v>
      </c>
      <c r="G46" s="10">
        <f t="shared" si="6"/>
        <v>0</v>
      </c>
      <c r="H46" s="10">
        <f t="shared" si="7"/>
        <v>0</v>
      </c>
      <c r="I46" s="10">
        <f t="shared" si="8"/>
        <v>0</v>
      </c>
      <c r="J46" s="10">
        <f t="shared" si="9"/>
        <v>0</v>
      </c>
      <c r="K46" s="10">
        <f t="shared" si="10"/>
        <v>0</v>
      </c>
      <c r="L46" s="10">
        <f t="shared" si="11"/>
        <v>0</v>
      </c>
      <c r="M46" s="10">
        <f t="shared" si="12"/>
        <v>0</v>
      </c>
      <c r="N46" s="10">
        <f t="shared" si="13"/>
        <v>0</v>
      </c>
      <c r="O46" s="10">
        <f t="shared" si="14"/>
        <v>0</v>
      </c>
      <c r="P46" s="10">
        <f t="shared" si="15"/>
        <v>0</v>
      </c>
      <c r="Q46" s="10">
        <f t="shared" si="16"/>
        <v>0</v>
      </c>
      <c r="R46" s="10">
        <f t="shared" si="17"/>
        <v>0</v>
      </c>
      <c r="S46" s="10">
        <f t="shared" si="18"/>
        <v>0</v>
      </c>
      <c r="T46" s="10">
        <f t="shared" si="19"/>
        <v>1</v>
      </c>
      <c r="U46" s="10">
        <f t="shared" si="20"/>
        <v>0</v>
      </c>
      <c r="V46" s="10">
        <f t="shared" si="21"/>
        <v>1</v>
      </c>
      <c r="W46" s="10">
        <f t="shared" si="22"/>
        <v>1</v>
      </c>
      <c r="X46" s="10">
        <f t="shared" si="23"/>
        <v>1</v>
      </c>
      <c r="Y46" s="10">
        <f t="shared" si="24"/>
        <v>1</v>
      </c>
      <c r="Z46" s="10">
        <f t="shared" si="25"/>
        <v>1</v>
      </c>
      <c r="AA46" s="10">
        <f t="shared" si="26"/>
        <v>1</v>
      </c>
      <c r="AB46" s="10">
        <f t="shared" si="27"/>
        <v>0</v>
      </c>
      <c r="AC46" s="10">
        <f t="shared" si="28"/>
        <v>1</v>
      </c>
      <c r="AD46" s="10">
        <f t="shared" si="29"/>
        <v>0</v>
      </c>
      <c r="AE46" s="10">
        <f t="shared" si="30"/>
        <v>0</v>
      </c>
    </row>
    <row r="47" spans="1:31" x14ac:dyDescent="0.25">
      <c r="A47" s="3" t="s">
        <v>12</v>
      </c>
      <c r="B47" s="10">
        <f t="shared" si="1"/>
        <v>1</v>
      </c>
      <c r="C47" s="10">
        <f t="shared" si="2"/>
        <v>0</v>
      </c>
      <c r="D47" s="10">
        <f t="shared" si="3"/>
        <v>1</v>
      </c>
      <c r="E47" s="10">
        <f t="shared" si="4"/>
        <v>0</v>
      </c>
      <c r="F47" s="10">
        <f t="shared" si="5"/>
        <v>0</v>
      </c>
      <c r="G47" s="10">
        <f t="shared" si="6"/>
        <v>0</v>
      </c>
      <c r="H47" s="10">
        <f t="shared" si="7"/>
        <v>0</v>
      </c>
      <c r="I47" s="10">
        <f t="shared" si="8"/>
        <v>0</v>
      </c>
      <c r="J47" s="10">
        <f t="shared" si="9"/>
        <v>0</v>
      </c>
      <c r="K47" s="10">
        <f t="shared" si="10"/>
        <v>0</v>
      </c>
      <c r="L47" s="10">
        <f t="shared" si="11"/>
        <v>0</v>
      </c>
      <c r="M47" s="10">
        <f t="shared" si="12"/>
        <v>0</v>
      </c>
      <c r="N47" s="10">
        <f t="shared" si="13"/>
        <v>0</v>
      </c>
      <c r="O47" s="10">
        <f t="shared" si="14"/>
        <v>0</v>
      </c>
      <c r="P47" s="10">
        <f t="shared" si="15"/>
        <v>0</v>
      </c>
      <c r="Q47" s="10">
        <f t="shared" si="16"/>
        <v>0</v>
      </c>
      <c r="R47" s="10">
        <f t="shared" si="17"/>
        <v>0</v>
      </c>
      <c r="S47" s="10">
        <f t="shared" si="18"/>
        <v>0</v>
      </c>
      <c r="T47" s="10">
        <f t="shared" si="19"/>
        <v>1</v>
      </c>
      <c r="U47" s="10">
        <f t="shared" si="20"/>
        <v>0</v>
      </c>
      <c r="V47" s="10">
        <f t="shared" si="21"/>
        <v>1</v>
      </c>
      <c r="W47" s="10">
        <f t="shared" si="22"/>
        <v>1</v>
      </c>
      <c r="X47" s="10">
        <f t="shared" si="23"/>
        <v>1</v>
      </c>
      <c r="Y47" s="10">
        <f t="shared" si="24"/>
        <v>0</v>
      </c>
      <c r="Z47" s="10">
        <f t="shared" si="25"/>
        <v>0</v>
      </c>
      <c r="AA47" s="10">
        <f t="shared" si="26"/>
        <v>1</v>
      </c>
      <c r="AB47" s="10">
        <f t="shared" si="27"/>
        <v>0</v>
      </c>
      <c r="AC47" s="10">
        <f t="shared" si="28"/>
        <v>1</v>
      </c>
      <c r="AD47" s="10">
        <f t="shared" si="29"/>
        <v>0</v>
      </c>
      <c r="AE47" s="10">
        <f t="shared" si="30"/>
        <v>0</v>
      </c>
    </row>
    <row r="48" spans="1:31" x14ac:dyDescent="0.25">
      <c r="A48" s="3" t="s">
        <v>13</v>
      </c>
      <c r="B48" s="10">
        <f t="shared" si="1"/>
        <v>1</v>
      </c>
      <c r="C48" s="10">
        <f t="shared" si="2"/>
        <v>0</v>
      </c>
      <c r="D48" s="10">
        <f t="shared" si="3"/>
        <v>1</v>
      </c>
      <c r="E48" s="10">
        <f t="shared" si="4"/>
        <v>0</v>
      </c>
      <c r="F48" s="10">
        <f t="shared" si="5"/>
        <v>0</v>
      </c>
      <c r="G48" s="10">
        <f t="shared" si="6"/>
        <v>0</v>
      </c>
      <c r="H48" s="10">
        <f t="shared" si="7"/>
        <v>0</v>
      </c>
      <c r="I48" s="10">
        <f t="shared" si="8"/>
        <v>0</v>
      </c>
      <c r="J48" s="10">
        <f t="shared" si="9"/>
        <v>0</v>
      </c>
      <c r="K48" s="10">
        <f t="shared" si="10"/>
        <v>0</v>
      </c>
      <c r="L48" s="10">
        <f t="shared" si="11"/>
        <v>0</v>
      </c>
      <c r="M48" s="10">
        <f t="shared" si="12"/>
        <v>0</v>
      </c>
      <c r="N48" s="10">
        <f t="shared" si="13"/>
        <v>0</v>
      </c>
      <c r="O48" s="10">
        <f t="shared" si="14"/>
        <v>0</v>
      </c>
      <c r="P48" s="10">
        <f t="shared" si="15"/>
        <v>0</v>
      </c>
      <c r="Q48" s="10">
        <f t="shared" si="16"/>
        <v>0</v>
      </c>
      <c r="R48" s="10">
        <f t="shared" si="17"/>
        <v>0</v>
      </c>
      <c r="S48" s="10">
        <f t="shared" si="18"/>
        <v>0</v>
      </c>
      <c r="T48" s="10">
        <f t="shared" si="19"/>
        <v>1</v>
      </c>
      <c r="U48" s="10">
        <f t="shared" si="20"/>
        <v>0</v>
      </c>
      <c r="V48" s="10">
        <f t="shared" si="21"/>
        <v>1</v>
      </c>
      <c r="W48" s="10">
        <f t="shared" si="22"/>
        <v>1</v>
      </c>
      <c r="X48" s="10">
        <f t="shared" si="23"/>
        <v>1</v>
      </c>
      <c r="Y48" s="10">
        <f t="shared" si="24"/>
        <v>1</v>
      </c>
      <c r="Z48" s="10">
        <f t="shared" si="25"/>
        <v>1</v>
      </c>
      <c r="AA48" s="10">
        <f t="shared" si="26"/>
        <v>1</v>
      </c>
      <c r="AB48" s="10">
        <f t="shared" si="27"/>
        <v>0</v>
      </c>
      <c r="AC48" s="10">
        <f t="shared" si="28"/>
        <v>1</v>
      </c>
      <c r="AD48" s="10">
        <f t="shared" si="29"/>
        <v>0</v>
      </c>
      <c r="AE48" s="10">
        <f t="shared" si="30"/>
        <v>0</v>
      </c>
    </row>
    <row r="49" spans="1:31" x14ac:dyDescent="0.25">
      <c r="A49" s="3" t="s">
        <v>14</v>
      </c>
      <c r="B49" s="10">
        <f t="shared" si="1"/>
        <v>1</v>
      </c>
      <c r="C49" s="10">
        <f t="shared" si="2"/>
        <v>0</v>
      </c>
      <c r="D49" s="10">
        <f t="shared" si="3"/>
        <v>1</v>
      </c>
      <c r="E49" s="10">
        <f t="shared" si="4"/>
        <v>0</v>
      </c>
      <c r="F49" s="10">
        <f t="shared" si="5"/>
        <v>0</v>
      </c>
      <c r="G49" s="10">
        <f t="shared" si="6"/>
        <v>0</v>
      </c>
      <c r="H49" s="10">
        <f t="shared" si="7"/>
        <v>0</v>
      </c>
      <c r="I49" s="10">
        <f t="shared" si="8"/>
        <v>0</v>
      </c>
      <c r="J49" s="10">
        <f t="shared" si="9"/>
        <v>0</v>
      </c>
      <c r="K49" s="10">
        <f t="shared" si="10"/>
        <v>0</v>
      </c>
      <c r="L49" s="10">
        <f t="shared" si="11"/>
        <v>0</v>
      </c>
      <c r="M49" s="10">
        <f t="shared" si="12"/>
        <v>0</v>
      </c>
      <c r="N49" s="10">
        <f t="shared" si="13"/>
        <v>0</v>
      </c>
      <c r="O49" s="10">
        <f t="shared" si="14"/>
        <v>0</v>
      </c>
      <c r="P49" s="10">
        <f t="shared" si="15"/>
        <v>0</v>
      </c>
      <c r="Q49" s="10">
        <f t="shared" si="16"/>
        <v>0</v>
      </c>
      <c r="R49" s="10">
        <f t="shared" si="17"/>
        <v>0</v>
      </c>
      <c r="S49" s="10">
        <f t="shared" si="18"/>
        <v>0</v>
      </c>
      <c r="T49" s="10">
        <f t="shared" si="19"/>
        <v>1</v>
      </c>
      <c r="U49" s="10">
        <f t="shared" si="20"/>
        <v>0</v>
      </c>
      <c r="V49" s="10">
        <f t="shared" si="21"/>
        <v>1</v>
      </c>
      <c r="W49" s="10">
        <f t="shared" si="22"/>
        <v>1</v>
      </c>
      <c r="X49" s="10">
        <f t="shared" si="23"/>
        <v>1</v>
      </c>
      <c r="Y49" s="10">
        <f t="shared" si="24"/>
        <v>1</v>
      </c>
      <c r="Z49" s="10">
        <f t="shared" si="25"/>
        <v>1</v>
      </c>
      <c r="AA49" s="10">
        <f t="shared" si="26"/>
        <v>1</v>
      </c>
      <c r="AB49" s="10">
        <f t="shared" si="27"/>
        <v>1</v>
      </c>
      <c r="AC49" s="10">
        <f t="shared" si="28"/>
        <v>1</v>
      </c>
      <c r="AD49" s="10">
        <f t="shared" si="29"/>
        <v>0</v>
      </c>
      <c r="AE49" s="10">
        <f t="shared" si="30"/>
        <v>0</v>
      </c>
    </row>
    <row r="50" spans="1:31" x14ac:dyDescent="0.25">
      <c r="A50" s="3" t="s">
        <v>15</v>
      </c>
      <c r="B50" s="10">
        <f t="shared" si="1"/>
        <v>1</v>
      </c>
      <c r="C50" s="10">
        <f t="shared" si="2"/>
        <v>0</v>
      </c>
      <c r="D50" s="10">
        <f t="shared" si="3"/>
        <v>1</v>
      </c>
      <c r="E50" s="10">
        <f t="shared" si="4"/>
        <v>0</v>
      </c>
      <c r="F50" s="10">
        <f t="shared" si="5"/>
        <v>0</v>
      </c>
      <c r="G50" s="10">
        <f t="shared" si="6"/>
        <v>0</v>
      </c>
      <c r="H50" s="10">
        <f t="shared" si="7"/>
        <v>0</v>
      </c>
      <c r="I50" s="10">
        <f t="shared" si="8"/>
        <v>0</v>
      </c>
      <c r="J50" s="10">
        <f t="shared" si="9"/>
        <v>0</v>
      </c>
      <c r="K50" s="10">
        <f t="shared" si="10"/>
        <v>0</v>
      </c>
      <c r="L50" s="10">
        <f t="shared" si="11"/>
        <v>0</v>
      </c>
      <c r="M50" s="10">
        <f t="shared" si="12"/>
        <v>0</v>
      </c>
      <c r="N50" s="10">
        <f t="shared" si="13"/>
        <v>0</v>
      </c>
      <c r="O50" s="10">
        <f t="shared" si="14"/>
        <v>0</v>
      </c>
      <c r="P50" s="10">
        <f t="shared" si="15"/>
        <v>0</v>
      </c>
      <c r="Q50" s="10">
        <f t="shared" si="16"/>
        <v>0</v>
      </c>
      <c r="R50" s="10">
        <f t="shared" si="17"/>
        <v>0</v>
      </c>
      <c r="S50" s="10">
        <f t="shared" si="18"/>
        <v>0</v>
      </c>
      <c r="T50" s="10">
        <f t="shared" si="19"/>
        <v>1</v>
      </c>
      <c r="U50" s="10">
        <f t="shared" si="20"/>
        <v>0</v>
      </c>
      <c r="V50" s="10">
        <f t="shared" si="21"/>
        <v>1</v>
      </c>
      <c r="W50" s="10">
        <f t="shared" si="22"/>
        <v>1</v>
      </c>
      <c r="X50" s="10">
        <f t="shared" si="23"/>
        <v>1</v>
      </c>
      <c r="Y50" s="10">
        <f t="shared" si="24"/>
        <v>1</v>
      </c>
      <c r="Z50" s="10">
        <f t="shared" si="25"/>
        <v>1</v>
      </c>
      <c r="AA50" s="10">
        <f t="shared" si="26"/>
        <v>1</v>
      </c>
      <c r="AB50" s="10">
        <f t="shared" si="27"/>
        <v>1</v>
      </c>
      <c r="AC50" s="10">
        <f t="shared" si="28"/>
        <v>1</v>
      </c>
      <c r="AD50" s="10">
        <f t="shared" si="29"/>
        <v>0</v>
      </c>
      <c r="AE50" s="10">
        <f t="shared" si="30"/>
        <v>0</v>
      </c>
    </row>
    <row r="51" spans="1:31" x14ac:dyDescent="0.25">
      <c r="A51" s="3" t="s">
        <v>16</v>
      </c>
      <c r="B51" s="10">
        <f t="shared" si="1"/>
        <v>1</v>
      </c>
      <c r="C51" s="10">
        <f t="shared" si="2"/>
        <v>0</v>
      </c>
      <c r="D51" s="10">
        <f t="shared" si="3"/>
        <v>1</v>
      </c>
      <c r="E51" s="10">
        <f t="shared" si="4"/>
        <v>0</v>
      </c>
      <c r="F51" s="10">
        <f t="shared" si="5"/>
        <v>0</v>
      </c>
      <c r="G51" s="10">
        <f t="shared" si="6"/>
        <v>0</v>
      </c>
      <c r="H51" s="10">
        <f t="shared" si="7"/>
        <v>0</v>
      </c>
      <c r="I51" s="10">
        <f t="shared" si="8"/>
        <v>0</v>
      </c>
      <c r="J51" s="10">
        <f t="shared" si="9"/>
        <v>0</v>
      </c>
      <c r="K51" s="10">
        <f t="shared" si="10"/>
        <v>0</v>
      </c>
      <c r="L51" s="10">
        <f t="shared" si="11"/>
        <v>0</v>
      </c>
      <c r="M51" s="10">
        <f t="shared" si="12"/>
        <v>0</v>
      </c>
      <c r="N51" s="10">
        <f t="shared" si="13"/>
        <v>0</v>
      </c>
      <c r="O51" s="10">
        <f t="shared" si="14"/>
        <v>0</v>
      </c>
      <c r="P51" s="10">
        <f t="shared" si="15"/>
        <v>0</v>
      </c>
      <c r="Q51" s="10">
        <f t="shared" si="16"/>
        <v>0</v>
      </c>
      <c r="R51" s="10">
        <f t="shared" si="17"/>
        <v>0</v>
      </c>
      <c r="S51" s="10">
        <f t="shared" si="18"/>
        <v>0</v>
      </c>
      <c r="T51" s="10">
        <f t="shared" si="19"/>
        <v>1</v>
      </c>
      <c r="U51" s="10">
        <f t="shared" si="20"/>
        <v>0</v>
      </c>
      <c r="V51" s="10">
        <f t="shared" si="21"/>
        <v>1</v>
      </c>
      <c r="W51" s="10">
        <f t="shared" si="22"/>
        <v>1</v>
      </c>
      <c r="X51" s="10">
        <f t="shared" si="23"/>
        <v>1</v>
      </c>
      <c r="Y51" s="10">
        <f t="shared" si="24"/>
        <v>1</v>
      </c>
      <c r="Z51" s="10">
        <f t="shared" si="25"/>
        <v>1</v>
      </c>
      <c r="AA51" s="10">
        <f t="shared" si="26"/>
        <v>1</v>
      </c>
      <c r="AB51" s="10">
        <f t="shared" si="27"/>
        <v>0</v>
      </c>
      <c r="AC51" s="10">
        <f t="shared" si="28"/>
        <v>1</v>
      </c>
      <c r="AD51" s="10">
        <f t="shared" si="29"/>
        <v>0</v>
      </c>
      <c r="AE51" s="10">
        <f t="shared" si="30"/>
        <v>0</v>
      </c>
    </row>
    <row r="52" spans="1:31" x14ac:dyDescent="0.25">
      <c r="A52" s="3" t="s">
        <v>17</v>
      </c>
      <c r="B52" s="10">
        <f t="shared" si="1"/>
        <v>1</v>
      </c>
      <c r="C52" s="10">
        <f t="shared" si="2"/>
        <v>0</v>
      </c>
      <c r="D52" s="10">
        <f t="shared" si="3"/>
        <v>1</v>
      </c>
      <c r="E52" s="10">
        <f t="shared" si="4"/>
        <v>0</v>
      </c>
      <c r="F52" s="10">
        <f t="shared" si="5"/>
        <v>0</v>
      </c>
      <c r="G52" s="10">
        <f t="shared" si="6"/>
        <v>0</v>
      </c>
      <c r="H52" s="10">
        <f t="shared" si="7"/>
        <v>0</v>
      </c>
      <c r="I52" s="10">
        <f t="shared" si="8"/>
        <v>0</v>
      </c>
      <c r="J52" s="10">
        <f t="shared" si="9"/>
        <v>0</v>
      </c>
      <c r="K52" s="10">
        <f t="shared" si="10"/>
        <v>0</v>
      </c>
      <c r="L52" s="10">
        <f t="shared" si="11"/>
        <v>0</v>
      </c>
      <c r="M52" s="10">
        <f t="shared" si="12"/>
        <v>0</v>
      </c>
      <c r="N52" s="10">
        <f t="shared" si="13"/>
        <v>0</v>
      </c>
      <c r="O52" s="10">
        <f t="shared" si="14"/>
        <v>0</v>
      </c>
      <c r="P52" s="10">
        <f t="shared" si="15"/>
        <v>0</v>
      </c>
      <c r="Q52" s="10">
        <f t="shared" si="16"/>
        <v>0</v>
      </c>
      <c r="R52" s="10">
        <f t="shared" si="17"/>
        <v>0</v>
      </c>
      <c r="S52" s="10">
        <f t="shared" si="18"/>
        <v>0</v>
      </c>
      <c r="T52" s="10">
        <f t="shared" si="19"/>
        <v>1</v>
      </c>
      <c r="U52" s="10">
        <f t="shared" si="20"/>
        <v>0</v>
      </c>
      <c r="V52" s="10">
        <f t="shared" si="21"/>
        <v>1</v>
      </c>
      <c r="W52" s="10">
        <f t="shared" si="22"/>
        <v>1</v>
      </c>
      <c r="X52" s="10">
        <f t="shared" si="23"/>
        <v>1</v>
      </c>
      <c r="Y52" s="10">
        <f t="shared" si="24"/>
        <v>0</v>
      </c>
      <c r="Z52" s="10">
        <f t="shared" si="25"/>
        <v>0</v>
      </c>
      <c r="AA52" s="10">
        <f t="shared" si="26"/>
        <v>1</v>
      </c>
      <c r="AB52" s="10">
        <f t="shared" si="27"/>
        <v>0</v>
      </c>
      <c r="AC52" s="10">
        <f t="shared" si="28"/>
        <v>1</v>
      </c>
      <c r="AD52" s="10">
        <f t="shared" si="29"/>
        <v>0</v>
      </c>
      <c r="AE52" s="10">
        <f t="shared" si="30"/>
        <v>0</v>
      </c>
    </row>
    <row r="53" spans="1:31" x14ac:dyDescent="0.25">
      <c r="A53" s="3" t="s">
        <v>18</v>
      </c>
      <c r="B53" s="10">
        <f t="shared" si="1"/>
        <v>1</v>
      </c>
      <c r="C53" s="10">
        <f t="shared" si="2"/>
        <v>0</v>
      </c>
      <c r="D53" s="10">
        <f t="shared" si="3"/>
        <v>1</v>
      </c>
      <c r="E53" s="10">
        <f t="shared" si="4"/>
        <v>0</v>
      </c>
      <c r="F53" s="10">
        <f t="shared" si="5"/>
        <v>0</v>
      </c>
      <c r="G53" s="10">
        <f t="shared" si="6"/>
        <v>0</v>
      </c>
      <c r="H53" s="10">
        <f t="shared" si="7"/>
        <v>0</v>
      </c>
      <c r="I53" s="10">
        <f t="shared" si="8"/>
        <v>0</v>
      </c>
      <c r="J53" s="10">
        <f t="shared" si="9"/>
        <v>0</v>
      </c>
      <c r="K53" s="10">
        <f t="shared" si="10"/>
        <v>0</v>
      </c>
      <c r="L53" s="10">
        <f t="shared" si="11"/>
        <v>0</v>
      </c>
      <c r="M53" s="10">
        <f t="shared" si="12"/>
        <v>0</v>
      </c>
      <c r="N53" s="10">
        <f t="shared" si="13"/>
        <v>0</v>
      </c>
      <c r="O53" s="10">
        <f t="shared" si="14"/>
        <v>0</v>
      </c>
      <c r="P53" s="10">
        <f t="shared" si="15"/>
        <v>0</v>
      </c>
      <c r="Q53" s="10">
        <f t="shared" si="16"/>
        <v>0</v>
      </c>
      <c r="R53" s="10">
        <f t="shared" si="17"/>
        <v>0</v>
      </c>
      <c r="S53" s="10">
        <f t="shared" si="18"/>
        <v>0</v>
      </c>
      <c r="T53" s="10">
        <f t="shared" si="19"/>
        <v>1</v>
      </c>
      <c r="U53" s="10">
        <f t="shared" si="20"/>
        <v>0</v>
      </c>
      <c r="V53" s="10">
        <f t="shared" si="21"/>
        <v>1</v>
      </c>
      <c r="W53" s="10">
        <f t="shared" si="22"/>
        <v>1</v>
      </c>
      <c r="X53" s="10">
        <f t="shared" si="23"/>
        <v>1</v>
      </c>
      <c r="Y53" s="10">
        <f t="shared" si="24"/>
        <v>1</v>
      </c>
      <c r="Z53" s="10">
        <f t="shared" si="25"/>
        <v>1</v>
      </c>
      <c r="AA53" s="10">
        <f t="shared" si="26"/>
        <v>1</v>
      </c>
      <c r="AB53" s="10">
        <f t="shared" si="27"/>
        <v>0</v>
      </c>
      <c r="AC53" s="10">
        <f t="shared" si="28"/>
        <v>1</v>
      </c>
      <c r="AD53" s="10">
        <f t="shared" si="29"/>
        <v>0</v>
      </c>
      <c r="AE53" s="10">
        <f t="shared" si="30"/>
        <v>0</v>
      </c>
    </row>
    <row r="54" spans="1:31" x14ac:dyDescent="0.25">
      <c r="A54" s="3" t="s">
        <v>19</v>
      </c>
      <c r="B54" s="10">
        <f t="shared" si="1"/>
        <v>1</v>
      </c>
      <c r="C54" s="10">
        <f t="shared" si="2"/>
        <v>0</v>
      </c>
      <c r="D54" s="10">
        <f t="shared" si="3"/>
        <v>1</v>
      </c>
      <c r="E54" s="10">
        <f t="shared" si="4"/>
        <v>0</v>
      </c>
      <c r="F54" s="10">
        <f t="shared" si="5"/>
        <v>0</v>
      </c>
      <c r="G54" s="10">
        <f t="shared" si="6"/>
        <v>0</v>
      </c>
      <c r="H54" s="10">
        <f t="shared" si="7"/>
        <v>0</v>
      </c>
      <c r="I54" s="10">
        <f t="shared" si="8"/>
        <v>0</v>
      </c>
      <c r="J54" s="10">
        <f t="shared" si="9"/>
        <v>0</v>
      </c>
      <c r="K54" s="10">
        <f t="shared" si="10"/>
        <v>0</v>
      </c>
      <c r="L54" s="10">
        <f t="shared" si="11"/>
        <v>0</v>
      </c>
      <c r="M54" s="10">
        <f t="shared" si="12"/>
        <v>0</v>
      </c>
      <c r="N54" s="10">
        <f t="shared" si="13"/>
        <v>0</v>
      </c>
      <c r="O54" s="10">
        <f t="shared" si="14"/>
        <v>0</v>
      </c>
      <c r="P54" s="10">
        <f t="shared" si="15"/>
        <v>0</v>
      </c>
      <c r="Q54" s="10">
        <f t="shared" si="16"/>
        <v>0</v>
      </c>
      <c r="R54" s="10">
        <f t="shared" si="17"/>
        <v>0</v>
      </c>
      <c r="S54" s="10">
        <f t="shared" si="18"/>
        <v>0</v>
      </c>
      <c r="T54" s="10">
        <f t="shared" si="19"/>
        <v>1</v>
      </c>
      <c r="U54" s="10">
        <f t="shared" si="20"/>
        <v>0</v>
      </c>
      <c r="V54" s="10">
        <f t="shared" si="21"/>
        <v>1</v>
      </c>
      <c r="W54" s="10">
        <f t="shared" si="22"/>
        <v>1</v>
      </c>
      <c r="X54" s="10">
        <f t="shared" si="23"/>
        <v>1</v>
      </c>
      <c r="Y54" s="10">
        <f t="shared" si="24"/>
        <v>0</v>
      </c>
      <c r="Z54" s="10">
        <f t="shared" si="25"/>
        <v>0</v>
      </c>
      <c r="AA54" s="10">
        <f t="shared" si="26"/>
        <v>1</v>
      </c>
      <c r="AB54" s="10">
        <f t="shared" si="27"/>
        <v>0</v>
      </c>
      <c r="AC54" s="10">
        <f t="shared" si="28"/>
        <v>1</v>
      </c>
      <c r="AD54" s="10">
        <f t="shared" si="29"/>
        <v>0</v>
      </c>
      <c r="AE54" s="10">
        <f t="shared" si="30"/>
        <v>0</v>
      </c>
    </row>
    <row r="55" spans="1:31" x14ac:dyDescent="0.25">
      <c r="A55" s="3" t="s">
        <v>20</v>
      </c>
      <c r="B55" s="10">
        <f t="shared" si="1"/>
        <v>1</v>
      </c>
      <c r="C55" s="10">
        <f t="shared" si="2"/>
        <v>1</v>
      </c>
      <c r="D55" s="10">
        <f t="shared" si="3"/>
        <v>1</v>
      </c>
      <c r="E55" s="10">
        <f t="shared" si="4"/>
        <v>1</v>
      </c>
      <c r="F55" s="10">
        <f t="shared" si="5"/>
        <v>1</v>
      </c>
      <c r="G55" s="10">
        <f t="shared" si="6"/>
        <v>0</v>
      </c>
      <c r="H55" s="10">
        <f t="shared" si="7"/>
        <v>1</v>
      </c>
      <c r="I55" s="10">
        <f t="shared" si="8"/>
        <v>1</v>
      </c>
      <c r="J55" s="10">
        <f t="shared" si="9"/>
        <v>1</v>
      </c>
      <c r="K55" s="10">
        <f t="shared" si="10"/>
        <v>1</v>
      </c>
      <c r="L55" s="10">
        <f t="shared" si="11"/>
        <v>1</v>
      </c>
      <c r="M55" s="10">
        <f t="shared" si="12"/>
        <v>1</v>
      </c>
      <c r="N55" s="10">
        <f t="shared" si="13"/>
        <v>1</v>
      </c>
      <c r="O55" s="10">
        <f t="shared" si="14"/>
        <v>1</v>
      </c>
      <c r="P55" s="10">
        <f t="shared" si="15"/>
        <v>1</v>
      </c>
      <c r="Q55" s="10">
        <f t="shared" si="16"/>
        <v>1</v>
      </c>
      <c r="R55" s="10">
        <f t="shared" si="17"/>
        <v>1</v>
      </c>
      <c r="S55" s="10">
        <f t="shared" si="18"/>
        <v>1</v>
      </c>
      <c r="T55" s="10">
        <f t="shared" si="19"/>
        <v>0</v>
      </c>
      <c r="U55" s="10">
        <f t="shared" si="20"/>
        <v>1</v>
      </c>
      <c r="V55" s="10">
        <f t="shared" si="21"/>
        <v>0</v>
      </c>
      <c r="W55" s="10">
        <f t="shared" si="22"/>
        <v>0</v>
      </c>
      <c r="X55" s="10">
        <f t="shared" si="23"/>
        <v>0</v>
      </c>
      <c r="Y55" s="10">
        <f t="shared" si="24"/>
        <v>0</v>
      </c>
      <c r="Z55" s="10">
        <f t="shared" si="25"/>
        <v>0</v>
      </c>
      <c r="AA55" s="10">
        <f t="shared" si="26"/>
        <v>0</v>
      </c>
      <c r="AB55" s="10">
        <f t="shared" si="27"/>
        <v>0</v>
      </c>
      <c r="AC55" s="10">
        <f t="shared" si="28"/>
        <v>0</v>
      </c>
      <c r="AD55" s="10">
        <f t="shared" si="29"/>
        <v>1</v>
      </c>
      <c r="AE55" s="10">
        <f t="shared" si="30"/>
        <v>1</v>
      </c>
    </row>
    <row r="56" spans="1:31" x14ac:dyDescent="0.25">
      <c r="A56" s="3" t="s">
        <v>21</v>
      </c>
      <c r="B56" s="10">
        <f t="shared" si="1"/>
        <v>1</v>
      </c>
      <c r="C56" s="10">
        <f t="shared" si="2"/>
        <v>0</v>
      </c>
      <c r="D56" s="10">
        <f t="shared" si="3"/>
        <v>1</v>
      </c>
      <c r="E56" s="10">
        <f t="shared" si="4"/>
        <v>0</v>
      </c>
      <c r="F56" s="10">
        <f t="shared" si="5"/>
        <v>0</v>
      </c>
      <c r="G56" s="10">
        <f t="shared" si="6"/>
        <v>0</v>
      </c>
      <c r="H56" s="10">
        <f t="shared" si="7"/>
        <v>0</v>
      </c>
      <c r="I56" s="10">
        <f t="shared" si="8"/>
        <v>0</v>
      </c>
      <c r="J56" s="10">
        <f t="shared" si="9"/>
        <v>0</v>
      </c>
      <c r="K56" s="10">
        <f t="shared" si="10"/>
        <v>0</v>
      </c>
      <c r="L56" s="10">
        <f t="shared" si="11"/>
        <v>0</v>
      </c>
      <c r="M56" s="10">
        <f t="shared" si="12"/>
        <v>0</v>
      </c>
      <c r="N56" s="10">
        <f t="shared" si="13"/>
        <v>0</v>
      </c>
      <c r="O56" s="10">
        <f t="shared" si="14"/>
        <v>0</v>
      </c>
      <c r="P56" s="10">
        <f t="shared" si="15"/>
        <v>0</v>
      </c>
      <c r="Q56" s="10">
        <f t="shared" si="16"/>
        <v>0</v>
      </c>
      <c r="R56" s="10">
        <f t="shared" si="17"/>
        <v>0</v>
      </c>
      <c r="S56" s="10">
        <f t="shared" si="18"/>
        <v>0</v>
      </c>
      <c r="T56" s="10">
        <f t="shared" si="19"/>
        <v>1</v>
      </c>
      <c r="U56" s="10">
        <f t="shared" si="20"/>
        <v>0</v>
      </c>
      <c r="V56" s="10">
        <f t="shared" si="21"/>
        <v>1</v>
      </c>
      <c r="W56" s="10">
        <f t="shared" si="22"/>
        <v>1</v>
      </c>
      <c r="X56" s="10">
        <f t="shared" si="23"/>
        <v>1</v>
      </c>
      <c r="Y56" s="10">
        <f t="shared" si="24"/>
        <v>0</v>
      </c>
      <c r="Z56" s="10">
        <f t="shared" si="25"/>
        <v>0</v>
      </c>
      <c r="AA56" s="10">
        <f t="shared" si="26"/>
        <v>1</v>
      </c>
      <c r="AB56" s="10">
        <f t="shared" si="27"/>
        <v>0</v>
      </c>
      <c r="AC56" s="10">
        <f t="shared" si="28"/>
        <v>1</v>
      </c>
      <c r="AD56" s="10">
        <f t="shared" si="29"/>
        <v>0</v>
      </c>
      <c r="AE56" s="10">
        <f t="shared" si="30"/>
        <v>0</v>
      </c>
    </row>
    <row r="57" spans="1:31" x14ac:dyDescent="0.25">
      <c r="A57" s="3" t="s">
        <v>22</v>
      </c>
      <c r="B57" s="10">
        <f t="shared" si="1"/>
        <v>1</v>
      </c>
      <c r="C57" s="10">
        <f t="shared" si="2"/>
        <v>1</v>
      </c>
      <c r="D57" s="10">
        <f t="shared" si="3"/>
        <v>1</v>
      </c>
      <c r="E57" s="10">
        <f t="shared" si="4"/>
        <v>1</v>
      </c>
      <c r="F57" s="10">
        <f t="shared" si="5"/>
        <v>1</v>
      </c>
      <c r="G57" s="10">
        <f t="shared" si="6"/>
        <v>0</v>
      </c>
      <c r="H57" s="10">
        <f t="shared" si="7"/>
        <v>1</v>
      </c>
      <c r="I57" s="10">
        <f t="shared" si="8"/>
        <v>1</v>
      </c>
      <c r="J57" s="10">
        <f t="shared" si="9"/>
        <v>1</v>
      </c>
      <c r="K57" s="10">
        <f t="shared" si="10"/>
        <v>1</v>
      </c>
      <c r="L57" s="10">
        <f t="shared" si="11"/>
        <v>1</v>
      </c>
      <c r="M57" s="10">
        <f t="shared" si="12"/>
        <v>1</v>
      </c>
      <c r="N57" s="10">
        <f t="shared" si="13"/>
        <v>1</v>
      </c>
      <c r="O57" s="10">
        <f t="shared" si="14"/>
        <v>1</v>
      </c>
      <c r="P57" s="10">
        <f t="shared" si="15"/>
        <v>1</v>
      </c>
      <c r="Q57" s="10">
        <f t="shared" si="16"/>
        <v>1</v>
      </c>
      <c r="R57" s="10">
        <f t="shared" si="17"/>
        <v>1</v>
      </c>
      <c r="S57" s="10">
        <f t="shared" si="18"/>
        <v>1</v>
      </c>
      <c r="T57" s="10">
        <f t="shared" si="19"/>
        <v>0</v>
      </c>
      <c r="U57" s="10">
        <f t="shared" si="20"/>
        <v>1</v>
      </c>
      <c r="V57" s="10">
        <f t="shared" si="21"/>
        <v>0</v>
      </c>
      <c r="W57" s="10">
        <f t="shared" si="22"/>
        <v>0</v>
      </c>
      <c r="X57" s="10">
        <f t="shared" si="23"/>
        <v>0</v>
      </c>
      <c r="Y57" s="10">
        <f t="shared" si="24"/>
        <v>0</v>
      </c>
      <c r="Z57" s="10">
        <f t="shared" si="25"/>
        <v>0</v>
      </c>
      <c r="AA57" s="10">
        <f t="shared" si="26"/>
        <v>0</v>
      </c>
      <c r="AB57" s="10">
        <f t="shared" si="27"/>
        <v>0</v>
      </c>
      <c r="AC57" s="10">
        <f t="shared" si="28"/>
        <v>0</v>
      </c>
      <c r="AD57" s="10">
        <f t="shared" si="29"/>
        <v>1</v>
      </c>
      <c r="AE57" s="10">
        <f t="shared" si="30"/>
        <v>1</v>
      </c>
    </row>
    <row r="58" spans="1:31" x14ac:dyDescent="0.25">
      <c r="A58" s="3" t="s">
        <v>23</v>
      </c>
      <c r="B58" s="10">
        <f t="shared" si="1"/>
        <v>1</v>
      </c>
      <c r="C58" s="10">
        <f t="shared" si="2"/>
        <v>1</v>
      </c>
      <c r="D58" s="10">
        <f t="shared" si="3"/>
        <v>1</v>
      </c>
      <c r="E58" s="10">
        <f t="shared" si="4"/>
        <v>1</v>
      </c>
      <c r="F58" s="10">
        <f t="shared" si="5"/>
        <v>1</v>
      </c>
      <c r="G58" s="10">
        <f t="shared" si="6"/>
        <v>0</v>
      </c>
      <c r="H58" s="10">
        <f t="shared" si="7"/>
        <v>1</v>
      </c>
      <c r="I58" s="10">
        <f t="shared" si="8"/>
        <v>1</v>
      </c>
      <c r="J58" s="10">
        <f t="shared" si="9"/>
        <v>1</v>
      </c>
      <c r="K58" s="10">
        <f t="shared" si="10"/>
        <v>1</v>
      </c>
      <c r="L58" s="10">
        <f t="shared" si="11"/>
        <v>1</v>
      </c>
      <c r="M58" s="10">
        <f t="shared" si="12"/>
        <v>1</v>
      </c>
      <c r="N58" s="10">
        <f t="shared" si="13"/>
        <v>1</v>
      </c>
      <c r="O58" s="10">
        <f t="shared" si="14"/>
        <v>1</v>
      </c>
      <c r="P58" s="10">
        <f t="shared" si="15"/>
        <v>1</v>
      </c>
      <c r="Q58" s="10">
        <f t="shared" si="16"/>
        <v>1</v>
      </c>
      <c r="R58" s="10">
        <f t="shared" si="17"/>
        <v>1</v>
      </c>
      <c r="S58" s="10">
        <f t="shared" si="18"/>
        <v>1</v>
      </c>
      <c r="T58" s="10">
        <f t="shared" si="19"/>
        <v>0</v>
      </c>
      <c r="U58" s="10">
        <f t="shared" si="20"/>
        <v>1</v>
      </c>
      <c r="V58" s="10">
        <f t="shared" si="21"/>
        <v>0</v>
      </c>
      <c r="W58" s="10">
        <f t="shared" si="22"/>
        <v>0</v>
      </c>
      <c r="X58" s="10">
        <f t="shared" si="23"/>
        <v>0</v>
      </c>
      <c r="Y58" s="10">
        <f t="shared" si="24"/>
        <v>0</v>
      </c>
      <c r="Z58" s="10">
        <f t="shared" si="25"/>
        <v>0</v>
      </c>
      <c r="AA58" s="10">
        <f t="shared" si="26"/>
        <v>0</v>
      </c>
      <c r="AB58" s="10">
        <f t="shared" si="27"/>
        <v>0</v>
      </c>
      <c r="AC58" s="10">
        <f t="shared" si="28"/>
        <v>0</v>
      </c>
      <c r="AD58" s="10">
        <f t="shared" si="29"/>
        <v>1</v>
      </c>
      <c r="AE58" s="10">
        <f t="shared" si="30"/>
        <v>1</v>
      </c>
    </row>
    <row r="59" spans="1:31" x14ac:dyDescent="0.25">
      <c r="A59" s="3" t="s">
        <v>24</v>
      </c>
      <c r="B59" s="10">
        <f t="shared" si="1"/>
        <v>1</v>
      </c>
      <c r="C59" s="10">
        <f t="shared" si="2"/>
        <v>1</v>
      </c>
      <c r="D59" s="10">
        <f t="shared" si="3"/>
        <v>1</v>
      </c>
      <c r="E59" s="10">
        <f t="shared" si="4"/>
        <v>1</v>
      </c>
      <c r="F59" s="10">
        <f t="shared" si="5"/>
        <v>1</v>
      </c>
      <c r="G59" s="10">
        <f t="shared" si="6"/>
        <v>0</v>
      </c>
      <c r="H59" s="10">
        <f t="shared" si="7"/>
        <v>1</v>
      </c>
      <c r="I59" s="10">
        <f t="shared" si="8"/>
        <v>1</v>
      </c>
      <c r="J59" s="10">
        <f t="shared" si="9"/>
        <v>1</v>
      </c>
      <c r="K59" s="10">
        <f t="shared" si="10"/>
        <v>1</v>
      </c>
      <c r="L59" s="10">
        <f t="shared" si="11"/>
        <v>1</v>
      </c>
      <c r="M59" s="10">
        <f t="shared" si="12"/>
        <v>1</v>
      </c>
      <c r="N59" s="10">
        <f t="shared" si="13"/>
        <v>1</v>
      </c>
      <c r="O59" s="10">
        <f t="shared" si="14"/>
        <v>1</v>
      </c>
      <c r="P59" s="10">
        <f t="shared" si="15"/>
        <v>1</v>
      </c>
      <c r="Q59" s="10">
        <f t="shared" si="16"/>
        <v>1</v>
      </c>
      <c r="R59" s="10">
        <f t="shared" si="17"/>
        <v>1</v>
      </c>
      <c r="S59" s="10">
        <f t="shared" si="18"/>
        <v>1</v>
      </c>
      <c r="T59" s="10">
        <f t="shared" si="19"/>
        <v>0</v>
      </c>
      <c r="U59" s="10">
        <f t="shared" si="20"/>
        <v>1</v>
      </c>
      <c r="V59" s="10">
        <f t="shared" si="21"/>
        <v>0</v>
      </c>
      <c r="W59" s="10">
        <f t="shared" si="22"/>
        <v>0</v>
      </c>
      <c r="X59" s="10">
        <f t="shared" si="23"/>
        <v>0</v>
      </c>
      <c r="Y59" s="10">
        <f t="shared" si="24"/>
        <v>0</v>
      </c>
      <c r="Z59" s="10">
        <f t="shared" si="25"/>
        <v>0</v>
      </c>
      <c r="AA59" s="10">
        <f t="shared" si="26"/>
        <v>0</v>
      </c>
      <c r="AB59" s="10">
        <f t="shared" si="27"/>
        <v>0</v>
      </c>
      <c r="AC59" s="10">
        <f t="shared" si="28"/>
        <v>0</v>
      </c>
      <c r="AD59" s="10">
        <f t="shared" si="29"/>
        <v>1</v>
      </c>
      <c r="AE59" s="10">
        <f t="shared" si="30"/>
        <v>1</v>
      </c>
    </row>
    <row r="60" spans="1:31" x14ac:dyDescent="0.25">
      <c r="A60" s="3" t="s">
        <v>25</v>
      </c>
      <c r="B60" s="10">
        <f t="shared" si="1"/>
        <v>1</v>
      </c>
      <c r="C60" s="10">
        <f t="shared" si="2"/>
        <v>1</v>
      </c>
      <c r="D60" s="10">
        <f t="shared" si="3"/>
        <v>1</v>
      </c>
      <c r="E60" s="10">
        <f t="shared" si="4"/>
        <v>1</v>
      </c>
      <c r="F60" s="10">
        <f t="shared" si="5"/>
        <v>1</v>
      </c>
      <c r="G60" s="10">
        <f t="shared" si="6"/>
        <v>0</v>
      </c>
      <c r="H60" s="10">
        <f t="shared" si="7"/>
        <v>1</v>
      </c>
      <c r="I60" s="10">
        <f t="shared" si="8"/>
        <v>0</v>
      </c>
      <c r="J60" s="10">
        <f t="shared" si="9"/>
        <v>1</v>
      </c>
      <c r="K60" s="10">
        <f t="shared" si="10"/>
        <v>1</v>
      </c>
      <c r="L60" s="10">
        <f t="shared" si="11"/>
        <v>0</v>
      </c>
      <c r="M60" s="10">
        <f t="shared" si="12"/>
        <v>1</v>
      </c>
      <c r="N60" s="10">
        <f t="shared" si="13"/>
        <v>1</v>
      </c>
      <c r="O60" s="10">
        <f t="shared" si="14"/>
        <v>1</v>
      </c>
      <c r="P60" s="10">
        <f t="shared" si="15"/>
        <v>1</v>
      </c>
      <c r="Q60" s="10">
        <f t="shared" si="16"/>
        <v>0</v>
      </c>
      <c r="R60" s="10">
        <f t="shared" si="17"/>
        <v>1</v>
      </c>
      <c r="S60" s="10">
        <f t="shared" si="18"/>
        <v>0</v>
      </c>
      <c r="T60" s="10">
        <f t="shared" si="19"/>
        <v>0</v>
      </c>
      <c r="U60" s="10">
        <f t="shared" si="20"/>
        <v>0</v>
      </c>
      <c r="V60" s="10">
        <f t="shared" si="21"/>
        <v>0</v>
      </c>
      <c r="W60" s="10">
        <f t="shared" si="22"/>
        <v>0</v>
      </c>
      <c r="X60" s="10">
        <f t="shared" si="23"/>
        <v>0</v>
      </c>
      <c r="Y60" s="10">
        <f t="shared" si="24"/>
        <v>0</v>
      </c>
      <c r="Z60" s="10">
        <f t="shared" si="25"/>
        <v>0</v>
      </c>
      <c r="AA60" s="10">
        <f t="shared" si="26"/>
        <v>0</v>
      </c>
      <c r="AB60" s="10">
        <f t="shared" si="27"/>
        <v>0</v>
      </c>
      <c r="AC60" s="10">
        <f t="shared" si="28"/>
        <v>0</v>
      </c>
      <c r="AD60" s="10">
        <f t="shared" si="29"/>
        <v>0</v>
      </c>
      <c r="AE60" s="10">
        <f t="shared" si="30"/>
        <v>1</v>
      </c>
    </row>
    <row r="61" spans="1:31" x14ac:dyDescent="0.25">
      <c r="A61" s="3" t="s">
        <v>26</v>
      </c>
      <c r="B61" s="10">
        <f t="shared" si="1"/>
        <v>1</v>
      </c>
      <c r="C61" s="10">
        <f t="shared" si="2"/>
        <v>1</v>
      </c>
      <c r="D61" s="10">
        <f t="shared" si="3"/>
        <v>1</v>
      </c>
      <c r="E61" s="10">
        <f t="shared" si="4"/>
        <v>1</v>
      </c>
      <c r="F61" s="10">
        <f t="shared" si="5"/>
        <v>1</v>
      </c>
      <c r="G61" s="10">
        <f t="shared" si="6"/>
        <v>0</v>
      </c>
      <c r="H61" s="10">
        <f t="shared" si="7"/>
        <v>1</v>
      </c>
      <c r="I61" s="10">
        <f t="shared" si="8"/>
        <v>0</v>
      </c>
      <c r="J61" s="10">
        <f t="shared" si="9"/>
        <v>1</v>
      </c>
      <c r="K61" s="10">
        <f t="shared" si="10"/>
        <v>1</v>
      </c>
      <c r="L61" s="10">
        <f t="shared" si="11"/>
        <v>0</v>
      </c>
      <c r="M61" s="10">
        <f t="shared" si="12"/>
        <v>1</v>
      </c>
      <c r="N61" s="10">
        <f t="shared" si="13"/>
        <v>1</v>
      </c>
      <c r="O61" s="10">
        <f t="shared" si="14"/>
        <v>1</v>
      </c>
      <c r="P61" s="10">
        <f t="shared" si="15"/>
        <v>1</v>
      </c>
      <c r="Q61" s="10">
        <f t="shared" si="16"/>
        <v>0</v>
      </c>
      <c r="R61" s="10">
        <f t="shared" si="17"/>
        <v>1</v>
      </c>
      <c r="S61" s="10">
        <f t="shared" si="18"/>
        <v>0</v>
      </c>
      <c r="T61" s="10">
        <f t="shared" si="19"/>
        <v>0</v>
      </c>
      <c r="U61" s="10">
        <f t="shared" si="20"/>
        <v>0</v>
      </c>
      <c r="V61" s="10">
        <f t="shared" si="21"/>
        <v>0</v>
      </c>
      <c r="W61" s="10">
        <f t="shared" si="22"/>
        <v>0</v>
      </c>
      <c r="X61" s="10">
        <f t="shared" si="23"/>
        <v>0</v>
      </c>
      <c r="Y61" s="10">
        <f t="shared" si="24"/>
        <v>0</v>
      </c>
      <c r="Z61" s="10">
        <f t="shared" si="25"/>
        <v>0</v>
      </c>
      <c r="AA61" s="10">
        <f t="shared" si="26"/>
        <v>0</v>
      </c>
      <c r="AB61" s="10">
        <f t="shared" si="27"/>
        <v>0</v>
      </c>
      <c r="AC61" s="10">
        <f t="shared" si="28"/>
        <v>0</v>
      </c>
      <c r="AD61" s="10">
        <f t="shared" si="29"/>
        <v>0</v>
      </c>
      <c r="AE61" s="10">
        <f t="shared" si="30"/>
        <v>1</v>
      </c>
    </row>
    <row r="62" spans="1:31" x14ac:dyDescent="0.25">
      <c r="A62" s="3" t="s">
        <v>27</v>
      </c>
      <c r="B62" s="10">
        <f t="shared" si="1"/>
        <v>1</v>
      </c>
      <c r="C62" s="10">
        <f t="shared" si="2"/>
        <v>1</v>
      </c>
      <c r="D62" s="10">
        <f t="shared" si="3"/>
        <v>1</v>
      </c>
      <c r="E62" s="10">
        <f t="shared" si="4"/>
        <v>1</v>
      </c>
      <c r="F62" s="10">
        <f t="shared" si="5"/>
        <v>1</v>
      </c>
      <c r="G62" s="10">
        <f t="shared" si="6"/>
        <v>1</v>
      </c>
      <c r="H62" s="10">
        <f t="shared" si="7"/>
        <v>1</v>
      </c>
      <c r="I62" s="10">
        <f t="shared" si="8"/>
        <v>1</v>
      </c>
      <c r="J62" s="10">
        <f t="shared" si="9"/>
        <v>1</v>
      </c>
      <c r="K62" s="10">
        <f t="shared" si="10"/>
        <v>1</v>
      </c>
      <c r="L62" s="10">
        <f t="shared" si="11"/>
        <v>1</v>
      </c>
      <c r="M62" s="10">
        <f t="shared" si="12"/>
        <v>1</v>
      </c>
      <c r="N62" s="10">
        <f t="shared" si="13"/>
        <v>1</v>
      </c>
      <c r="O62" s="10">
        <f t="shared" si="14"/>
        <v>1</v>
      </c>
      <c r="P62" s="10">
        <f t="shared" si="15"/>
        <v>1</v>
      </c>
      <c r="Q62" s="10">
        <f t="shared" si="16"/>
        <v>1</v>
      </c>
      <c r="R62" s="10">
        <f t="shared" si="17"/>
        <v>1</v>
      </c>
      <c r="S62" s="10">
        <f t="shared" si="18"/>
        <v>1</v>
      </c>
      <c r="T62" s="10">
        <f t="shared" si="19"/>
        <v>0</v>
      </c>
      <c r="U62" s="10">
        <f t="shared" si="20"/>
        <v>1</v>
      </c>
      <c r="V62" s="10">
        <f t="shared" si="21"/>
        <v>0</v>
      </c>
      <c r="W62" s="10">
        <f t="shared" si="22"/>
        <v>0</v>
      </c>
      <c r="X62" s="10">
        <f t="shared" si="23"/>
        <v>0</v>
      </c>
      <c r="Y62" s="10">
        <f t="shared" si="24"/>
        <v>0</v>
      </c>
      <c r="Z62" s="10">
        <f t="shared" si="25"/>
        <v>0</v>
      </c>
      <c r="AA62" s="10">
        <f t="shared" si="26"/>
        <v>0</v>
      </c>
      <c r="AB62" s="10">
        <f t="shared" si="27"/>
        <v>0</v>
      </c>
      <c r="AC62" s="10">
        <f t="shared" si="28"/>
        <v>0</v>
      </c>
      <c r="AD62" s="10">
        <f t="shared" si="29"/>
        <v>1</v>
      </c>
      <c r="AE62" s="10">
        <f t="shared" si="30"/>
        <v>1</v>
      </c>
    </row>
    <row r="63" spans="1:31" x14ac:dyDescent="0.25">
      <c r="A63" s="3" t="s">
        <v>28</v>
      </c>
      <c r="B63" s="10">
        <f t="shared" si="1"/>
        <v>1</v>
      </c>
      <c r="C63" s="10">
        <f t="shared" si="2"/>
        <v>1</v>
      </c>
      <c r="D63" s="10">
        <f t="shared" si="3"/>
        <v>1</v>
      </c>
      <c r="E63" s="10">
        <f t="shared" si="4"/>
        <v>0</v>
      </c>
      <c r="F63" s="10">
        <f t="shared" si="5"/>
        <v>0</v>
      </c>
      <c r="G63" s="10">
        <f t="shared" si="6"/>
        <v>0</v>
      </c>
      <c r="H63" s="10">
        <f t="shared" si="7"/>
        <v>0</v>
      </c>
      <c r="I63" s="10">
        <f t="shared" si="8"/>
        <v>0</v>
      </c>
      <c r="J63" s="10">
        <f t="shared" si="9"/>
        <v>0</v>
      </c>
      <c r="K63" s="10">
        <f t="shared" si="10"/>
        <v>0</v>
      </c>
      <c r="L63" s="10">
        <f t="shared" si="11"/>
        <v>0</v>
      </c>
      <c r="M63" s="10">
        <f t="shared" si="12"/>
        <v>0</v>
      </c>
      <c r="N63" s="10">
        <f t="shared" si="13"/>
        <v>1</v>
      </c>
      <c r="O63" s="10">
        <f t="shared" si="14"/>
        <v>1</v>
      </c>
      <c r="P63" s="10">
        <f t="shared" si="15"/>
        <v>0</v>
      </c>
      <c r="Q63" s="10">
        <f t="shared" si="16"/>
        <v>0</v>
      </c>
      <c r="R63" s="10">
        <f t="shared" si="17"/>
        <v>0</v>
      </c>
      <c r="S63" s="10">
        <f t="shared" si="18"/>
        <v>0</v>
      </c>
      <c r="T63" s="10">
        <f t="shared" si="19"/>
        <v>0</v>
      </c>
      <c r="U63" s="10">
        <f t="shared" si="20"/>
        <v>0</v>
      </c>
      <c r="V63" s="10">
        <f t="shared" si="21"/>
        <v>0</v>
      </c>
      <c r="W63" s="10">
        <f t="shared" si="22"/>
        <v>0</v>
      </c>
      <c r="X63" s="10">
        <f t="shared" si="23"/>
        <v>0</v>
      </c>
      <c r="Y63" s="10">
        <f t="shared" si="24"/>
        <v>0</v>
      </c>
      <c r="Z63" s="10">
        <f t="shared" si="25"/>
        <v>0</v>
      </c>
      <c r="AA63" s="10">
        <f t="shared" si="26"/>
        <v>0</v>
      </c>
      <c r="AB63" s="10">
        <f t="shared" si="27"/>
        <v>0</v>
      </c>
      <c r="AC63" s="10">
        <f t="shared" si="28"/>
        <v>0</v>
      </c>
      <c r="AD63" s="10">
        <f t="shared" si="29"/>
        <v>0</v>
      </c>
      <c r="AE63" s="10">
        <f t="shared" si="30"/>
        <v>0</v>
      </c>
    </row>
    <row r="64" spans="1:31" x14ac:dyDescent="0.25">
      <c r="A64" s="3" t="s">
        <v>29</v>
      </c>
      <c r="B64" s="10">
        <f t="shared" si="1"/>
        <v>1</v>
      </c>
      <c r="C64" s="10">
        <f t="shared" si="2"/>
        <v>1</v>
      </c>
      <c r="D64" s="10">
        <f t="shared" si="3"/>
        <v>1</v>
      </c>
      <c r="E64" s="10">
        <f t="shared" si="4"/>
        <v>1</v>
      </c>
      <c r="F64" s="10">
        <f t="shared" si="5"/>
        <v>1</v>
      </c>
      <c r="G64" s="10">
        <f t="shared" si="6"/>
        <v>0</v>
      </c>
      <c r="H64" s="10">
        <f t="shared" si="7"/>
        <v>1</v>
      </c>
      <c r="I64" s="10">
        <f t="shared" si="8"/>
        <v>0</v>
      </c>
      <c r="J64" s="10">
        <f t="shared" si="9"/>
        <v>1</v>
      </c>
      <c r="K64" s="10">
        <f t="shared" si="10"/>
        <v>1</v>
      </c>
      <c r="L64" s="10">
        <f t="shared" si="11"/>
        <v>1</v>
      </c>
      <c r="M64" s="10">
        <f t="shared" si="12"/>
        <v>1</v>
      </c>
      <c r="N64" s="10">
        <f t="shared" si="13"/>
        <v>1</v>
      </c>
      <c r="O64" s="10">
        <f t="shared" si="14"/>
        <v>1</v>
      </c>
      <c r="P64" s="10">
        <f t="shared" si="15"/>
        <v>1</v>
      </c>
      <c r="Q64" s="10">
        <f t="shared" si="16"/>
        <v>1</v>
      </c>
      <c r="R64" s="10">
        <f t="shared" si="17"/>
        <v>1</v>
      </c>
      <c r="S64" s="10">
        <f t="shared" si="18"/>
        <v>1</v>
      </c>
      <c r="T64" s="10">
        <f t="shared" si="19"/>
        <v>0</v>
      </c>
      <c r="U64" s="10">
        <f t="shared" si="20"/>
        <v>1</v>
      </c>
      <c r="V64" s="10">
        <f t="shared" si="21"/>
        <v>0</v>
      </c>
      <c r="W64" s="10">
        <f t="shared" si="22"/>
        <v>0</v>
      </c>
      <c r="X64" s="10">
        <f t="shared" si="23"/>
        <v>0</v>
      </c>
      <c r="Y64" s="10">
        <f t="shared" si="24"/>
        <v>0</v>
      </c>
      <c r="Z64" s="10">
        <f t="shared" si="25"/>
        <v>0</v>
      </c>
      <c r="AA64" s="10">
        <f t="shared" si="26"/>
        <v>0</v>
      </c>
      <c r="AB64" s="10">
        <f t="shared" si="27"/>
        <v>0</v>
      </c>
      <c r="AC64" s="10">
        <f t="shared" si="28"/>
        <v>0</v>
      </c>
      <c r="AD64" s="10">
        <f t="shared" si="29"/>
        <v>1</v>
      </c>
      <c r="AE64" s="10">
        <f t="shared" si="30"/>
        <v>1</v>
      </c>
    </row>
    <row r="65" spans="1:32" x14ac:dyDescent="0.25">
      <c r="A65" s="3" t="s">
        <v>30</v>
      </c>
      <c r="B65" s="10">
        <f t="shared" si="1"/>
        <v>1</v>
      </c>
      <c r="C65" s="10">
        <f t="shared" si="2"/>
        <v>0</v>
      </c>
      <c r="D65" s="10">
        <f t="shared" si="3"/>
        <v>1</v>
      </c>
      <c r="E65" s="10">
        <f t="shared" si="4"/>
        <v>0</v>
      </c>
      <c r="F65" s="10">
        <f t="shared" si="5"/>
        <v>0</v>
      </c>
      <c r="G65" s="10">
        <f t="shared" si="6"/>
        <v>0</v>
      </c>
      <c r="H65" s="10">
        <f t="shared" si="7"/>
        <v>0</v>
      </c>
      <c r="I65" s="10">
        <f t="shared" si="8"/>
        <v>0</v>
      </c>
      <c r="J65" s="10">
        <f t="shared" si="9"/>
        <v>0</v>
      </c>
      <c r="K65" s="10">
        <f t="shared" si="10"/>
        <v>0</v>
      </c>
      <c r="L65" s="10">
        <f t="shared" si="11"/>
        <v>0</v>
      </c>
      <c r="M65" s="10">
        <f t="shared" si="12"/>
        <v>0</v>
      </c>
      <c r="N65" s="10">
        <f t="shared" si="13"/>
        <v>0</v>
      </c>
      <c r="O65" s="10">
        <f t="shared" si="14"/>
        <v>0</v>
      </c>
      <c r="P65" s="10">
        <f t="shared" si="15"/>
        <v>0</v>
      </c>
      <c r="Q65" s="10">
        <f t="shared" si="16"/>
        <v>0</v>
      </c>
      <c r="R65" s="10">
        <f t="shared" si="17"/>
        <v>0</v>
      </c>
      <c r="S65" s="10">
        <f t="shared" si="18"/>
        <v>0</v>
      </c>
      <c r="T65" s="10">
        <f t="shared" si="19"/>
        <v>1</v>
      </c>
      <c r="U65" s="10">
        <f t="shared" si="20"/>
        <v>0</v>
      </c>
      <c r="V65" s="10">
        <f t="shared" si="21"/>
        <v>1</v>
      </c>
      <c r="W65" s="10">
        <f t="shared" si="22"/>
        <v>1</v>
      </c>
      <c r="X65" s="10">
        <f t="shared" si="23"/>
        <v>1</v>
      </c>
      <c r="Y65" s="10">
        <f t="shared" si="24"/>
        <v>0</v>
      </c>
      <c r="Z65" s="10">
        <f t="shared" si="25"/>
        <v>0</v>
      </c>
      <c r="AA65" s="10">
        <f t="shared" si="26"/>
        <v>1</v>
      </c>
      <c r="AB65" s="10">
        <f t="shared" si="27"/>
        <v>0</v>
      </c>
      <c r="AC65" s="10">
        <f t="shared" si="28"/>
        <v>1</v>
      </c>
      <c r="AD65" s="10">
        <f t="shared" si="29"/>
        <v>0</v>
      </c>
      <c r="AE65" s="10">
        <f t="shared" si="30"/>
        <v>0</v>
      </c>
    </row>
    <row r="66" spans="1:32" x14ac:dyDescent="0.25">
      <c r="A66" s="3" t="s">
        <v>31</v>
      </c>
      <c r="B66" s="10">
        <f t="shared" si="1"/>
        <v>1</v>
      </c>
      <c r="C66" s="10">
        <f t="shared" si="2"/>
        <v>0</v>
      </c>
      <c r="D66" s="10">
        <f t="shared" si="3"/>
        <v>1</v>
      </c>
      <c r="E66" s="10">
        <f t="shared" si="4"/>
        <v>0</v>
      </c>
      <c r="F66" s="10">
        <f t="shared" si="5"/>
        <v>0</v>
      </c>
      <c r="G66" s="10">
        <f t="shared" si="6"/>
        <v>0</v>
      </c>
      <c r="H66" s="10">
        <f t="shared" si="7"/>
        <v>0</v>
      </c>
      <c r="I66" s="10">
        <f t="shared" si="8"/>
        <v>0</v>
      </c>
      <c r="J66" s="10">
        <f t="shared" si="9"/>
        <v>0</v>
      </c>
      <c r="K66" s="10">
        <f t="shared" si="10"/>
        <v>0</v>
      </c>
      <c r="L66" s="10">
        <f t="shared" si="11"/>
        <v>0</v>
      </c>
      <c r="M66" s="10">
        <f t="shared" si="12"/>
        <v>0</v>
      </c>
      <c r="N66" s="10">
        <f t="shared" si="13"/>
        <v>0</v>
      </c>
      <c r="O66" s="10">
        <f t="shared" si="14"/>
        <v>0</v>
      </c>
      <c r="P66" s="10">
        <f t="shared" si="15"/>
        <v>0</v>
      </c>
      <c r="Q66" s="10">
        <f t="shared" si="16"/>
        <v>0</v>
      </c>
      <c r="R66" s="10">
        <f t="shared" si="17"/>
        <v>0</v>
      </c>
      <c r="S66" s="10">
        <f t="shared" si="18"/>
        <v>0</v>
      </c>
      <c r="T66" s="10">
        <f t="shared" si="19"/>
        <v>1</v>
      </c>
      <c r="U66" s="10">
        <f t="shared" si="20"/>
        <v>0</v>
      </c>
      <c r="V66" s="10">
        <f t="shared" si="21"/>
        <v>1</v>
      </c>
      <c r="W66" s="10">
        <f t="shared" si="22"/>
        <v>1</v>
      </c>
      <c r="X66" s="10">
        <f t="shared" si="23"/>
        <v>1</v>
      </c>
      <c r="Y66" s="10">
        <f t="shared" si="24"/>
        <v>1</v>
      </c>
      <c r="Z66" s="10">
        <f t="shared" si="25"/>
        <v>1</v>
      </c>
      <c r="AA66" s="10">
        <f t="shared" si="26"/>
        <v>1</v>
      </c>
      <c r="AB66" s="10">
        <f t="shared" si="27"/>
        <v>0</v>
      </c>
      <c r="AC66" s="10">
        <f t="shared" si="28"/>
        <v>1</v>
      </c>
      <c r="AD66" s="10">
        <f t="shared" si="29"/>
        <v>0</v>
      </c>
      <c r="AE66" s="10">
        <f t="shared" si="30"/>
        <v>0</v>
      </c>
    </row>
    <row r="67" spans="1:32" x14ac:dyDescent="0.2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9" spans="1:32" x14ac:dyDescent="0.25">
      <c r="C69" s="3" t="s">
        <v>2</v>
      </c>
      <c r="D69" s="3" t="s">
        <v>3</v>
      </c>
      <c r="E69" s="3" t="s">
        <v>4</v>
      </c>
      <c r="F69" s="3" t="s">
        <v>5</v>
      </c>
      <c r="G69" s="3" t="s">
        <v>6</v>
      </c>
      <c r="H69" s="3" t="s">
        <v>7</v>
      </c>
      <c r="I69" s="3" t="s">
        <v>8</v>
      </c>
      <c r="J69" s="3" t="s">
        <v>9</v>
      </c>
      <c r="K69" s="3" t="s">
        <v>10</v>
      </c>
      <c r="L69" s="3" t="s">
        <v>11</v>
      </c>
      <c r="M69" s="3" t="s">
        <v>12</v>
      </c>
      <c r="N69" s="3" t="s">
        <v>13</v>
      </c>
      <c r="O69" s="3" t="s">
        <v>14</v>
      </c>
      <c r="P69" s="3" t="s">
        <v>15</v>
      </c>
      <c r="Q69" s="3" t="s">
        <v>16</v>
      </c>
      <c r="R69" s="3" t="s">
        <v>17</v>
      </c>
      <c r="S69" s="3" t="s">
        <v>18</v>
      </c>
      <c r="T69" s="3" t="s">
        <v>19</v>
      </c>
      <c r="U69" s="3" t="s">
        <v>20</v>
      </c>
      <c r="V69" s="3" t="s">
        <v>21</v>
      </c>
      <c r="W69" s="3" t="s">
        <v>22</v>
      </c>
      <c r="X69" s="3" t="s">
        <v>23</v>
      </c>
      <c r="Y69" s="3" t="s">
        <v>24</v>
      </c>
      <c r="Z69" s="3" t="s">
        <v>25</v>
      </c>
      <c r="AA69" s="3" t="s">
        <v>26</v>
      </c>
      <c r="AB69" s="3" t="s">
        <v>27</v>
      </c>
      <c r="AC69" s="3" t="s">
        <v>28</v>
      </c>
      <c r="AD69" s="3" t="s">
        <v>29</v>
      </c>
      <c r="AE69" s="3" t="s">
        <v>30</v>
      </c>
      <c r="AF69" s="3" t="s">
        <v>31</v>
      </c>
    </row>
    <row r="70" spans="1:32" x14ac:dyDescent="0.25">
      <c r="A70" s="3" t="s">
        <v>2</v>
      </c>
      <c r="B70" s="1">
        <v>4648</v>
      </c>
    </row>
    <row r="71" spans="1:32" x14ac:dyDescent="0.25">
      <c r="A71" s="3" t="s">
        <v>3</v>
      </c>
      <c r="B71" s="1">
        <v>3297</v>
      </c>
      <c r="C71" s="1">
        <f>ABS($B$70-B71)</f>
        <v>1351</v>
      </c>
    </row>
    <row r="72" spans="1:32" x14ac:dyDescent="0.25">
      <c r="A72" s="3" t="s">
        <v>4</v>
      </c>
      <c r="B72" s="1">
        <v>4518</v>
      </c>
      <c r="C72" s="1">
        <f t="shared" ref="C72:C99" si="31">ABS($B$70-B72)</f>
        <v>130</v>
      </c>
      <c r="D72" s="1">
        <f>ABS($B$71-B72)</f>
        <v>1221</v>
      </c>
    </row>
    <row r="73" spans="1:32" x14ac:dyDescent="0.25">
      <c r="A73" s="3" t="s">
        <v>5</v>
      </c>
      <c r="B73" s="1">
        <v>2651</v>
      </c>
      <c r="C73" s="1">
        <f t="shared" si="31"/>
        <v>1997</v>
      </c>
      <c r="D73" s="1">
        <f t="shared" ref="D73:D99" si="32">ABS($B$71-B73)</f>
        <v>646</v>
      </c>
      <c r="E73" s="1">
        <f>ABS($B$72-B73)</f>
        <v>1867</v>
      </c>
    </row>
    <row r="74" spans="1:32" x14ac:dyDescent="0.25">
      <c r="A74" s="3" t="s">
        <v>6</v>
      </c>
      <c r="B74" s="1">
        <v>2797</v>
      </c>
      <c r="C74" s="1">
        <f t="shared" si="31"/>
        <v>1851</v>
      </c>
      <c r="D74" s="1">
        <f t="shared" si="32"/>
        <v>500</v>
      </c>
      <c r="E74" s="1">
        <f t="shared" ref="E74:E99" si="33">ABS($B$72-B74)</f>
        <v>1721</v>
      </c>
      <c r="F74" s="1">
        <f>ABS($B$73-B74)</f>
        <v>146</v>
      </c>
    </row>
    <row r="75" spans="1:32" x14ac:dyDescent="0.25">
      <c r="A75" s="3" t="s">
        <v>7</v>
      </c>
      <c r="B75" s="1">
        <v>2291</v>
      </c>
      <c r="C75" s="1">
        <f t="shared" si="31"/>
        <v>2357</v>
      </c>
      <c r="D75" s="1">
        <f t="shared" si="32"/>
        <v>1006</v>
      </c>
      <c r="E75" s="1">
        <f t="shared" si="33"/>
        <v>2227</v>
      </c>
      <c r="F75" s="1">
        <f t="shared" ref="F75:F99" si="34">ABS($B$73-B75)</f>
        <v>360</v>
      </c>
      <c r="G75" s="1">
        <f>ABS($B$74-B75)</f>
        <v>506</v>
      </c>
    </row>
    <row r="76" spans="1:32" x14ac:dyDescent="0.25">
      <c r="A76" s="3" t="s">
        <v>8</v>
      </c>
      <c r="B76" s="1">
        <v>2633</v>
      </c>
      <c r="C76" s="1">
        <f t="shared" si="31"/>
        <v>2015</v>
      </c>
      <c r="D76" s="1">
        <f t="shared" si="32"/>
        <v>664</v>
      </c>
      <c r="E76" s="1">
        <f t="shared" si="33"/>
        <v>1885</v>
      </c>
      <c r="F76" s="1">
        <f t="shared" si="34"/>
        <v>18</v>
      </c>
      <c r="G76" s="1">
        <f t="shared" ref="G76:G99" si="35">ABS($B$74-B76)</f>
        <v>164</v>
      </c>
      <c r="H76" s="1">
        <f>ABS($B$75-B76)</f>
        <v>342</v>
      </c>
    </row>
    <row r="77" spans="1:32" x14ac:dyDescent="0.25">
      <c r="A77" s="3" t="s">
        <v>9</v>
      </c>
      <c r="B77" s="1">
        <v>2453</v>
      </c>
      <c r="C77" s="1">
        <f t="shared" si="31"/>
        <v>2195</v>
      </c>
      <c r="D77" s="1">
        <f t="shared" si="32"/>
        <v>844</v>
      </c>
      <c r="E77" s="1">
        <f t="shared" si="33"/>
        <v>2065</v>
      </c>
      <c r="F77" s="1">
        <f t="shared" si="34"/>
        <v>198</v>
      </c>
      <c r="G77" s="1">
        <f t="shared" si="35"/>
        <v>344</v>
      </c>
      <c r="H77" s="1">
        <f t="shared" ref="H77:H99" si="36">ABS($B$75-B77)</f>
        <v>162</v>
      </c>
      <c r="I77" s="1">
        <f>ABS($B$76-B77)</f>
        <v>180</v>
      </c>
    </row>
    <row r="78" spans="1:32" x14ac:dyDescent="0.25">
      <c r="A78" s="3" t="s">
        <v>10</v>
      </c>
      <c r="B78" s="1">
        <v>2712</v>
      </c>
      <c r="C78" s="1">
        <f t="shared" si="31"/>
        <v>1936</v>
      </c>
      <c r="D78" s="1">
        <f t="shared" si="32"/>
        <v>585</v>
      </c>
      <c r="E78" s="1">
        <f t="shared" si="33"/>
        <v>1806</v>
      </c>
      <c r="F78" s="1">
        <f t="shared" si="34"/>
        <v>61</v>
      </c>
      <c r="G78" s="1">
        <f t="shared" si="35"/>
        <v>85</v>
      </c>
      <c r="H78" s="1">
        <f t="shared" si="36"/>
        <v>421</v>
      </c>
      <c r="I78" s="1">
        <f t="shared" ref="I78:I99" si="37">ABS($B$76-B78)</f>
        <v>79</v>
      </c>
      <c r="J78" s="1">
        <f>ABS($B$77-B78)</f>
        <v>259</v>
      </c>
    </row>
    <row r="79" spans="1:32" x14ac:dyDescent="0.25">
      <c r="A79" s="3" t="s">
        <v>11</v>
      </c>
      <c r="B79" s="1">
        <v>2811</v>
      </c>
      <c r="C79" s="1">
        <f t="shared" si="31"/>
        <v>1837</v>
      </c>
      <c r="D79" s="1">
        <f t="shared" si="32"/>
        <v>486</v>
      </c>
      <c r="E79" s="1">
        <f t="shared" si="33"/>
        <v>1707</v>
      </c>
      <c r="F79" s="1">
        <f t="shared" si="34"/>
        <v>160</v>
      </c>
      <c r="G79" s="1">
        <f t="shared" si="35"/>
        <v>14</v>
      </c>
      <c r="H79" s="1">
        <f t="shared" si="36"/>
        <v>520</v>
      </c>
      <c r="I79" s="1">
        <f t="shared" si="37"/>
        <v>178</v>
      </c>
      <c r="J79" s="1">
        <f t="shared" ref="J79:J99" si="38">ABS($B$77-B79)</f>
        <v>358</v>
      </c>
      <c r="K79" s="1">
        <f>ABS($B$78-B79)</f>
        <v>99</v>
      </c>
    </row>
    <row r="80" spans="1:32" x14ac:dyDescent="0.25">
      <c r="A80" s="3" t="s">
        <v>12</v>
      </c>
      <c r="B80" s="1">
        <v>2487</v>
      </c>
      <c r="C80" s="1">
        <f t="shared" si="31"/>
        <v>2161</v>
      </c>
      <c r="D80" s="1">
        <f t="shared" si="32"/>
        <v>810</v>
      </c>
      <c r="E80" s="1">
        <f t="shared" si="33"/>
        <v>2031</v>
      </c>
      <c r="F80" s="1">
        <f t="shared" si="34"/>
        <v>164</v>
      </c>
      <c r="G80" s="1">
        <f t="shared" si="35"/>
        <v>310</v>
      </c>
      <c r="H80" s="1">
        <f t="shared" si="36"/>
        <v>196</v>
      </c>
      <c r="I80" s="1">
        <f t="shared" si="37"/>
        <v>146</v>
      </c>
      <c r="J80" s="1">
        <f t="shared" si="38"/>
        <v>34</v>
      </c>
      <c r="K80" s="1">
        <f t="shared" ref="K80:K99" si="39">ABS($B$78-B80)</f>
        <v>225</v>
      </c>
      <c r="L80" s="1">
        <f>ABS($B$79-B80)</f>
        <v>324</v>
      </c>
    </row>
    <row r="81" spans="1:28" x14ac:dyDescent="0.25">
      <c r="A81" s="3" t="s">
        <v>13</v>
      </c>
      <c r="B81" s="1">
        <v>2716</v>
      </c>
      <c r="C81" s="1">
        <f t="shared" si="31"/>
        <v>1932</v>
      </c>
      <c r="D81" s="1">
        <f t="shared" si="32"/>
        <v>581</v>
      </c>
      <c r="E81" s="1">
        <f t="shared" si="33"/>
        <v>1802</v>
      </c>
      <c r="F81" s="1">
        <f t="shared" si="34"/>
        <v>65</v>
      </c>
      <c r="G81" s="1">
        <f t="shared" si="35"/>
        <v>81</v>
      </c>
      <c r="H81" s="1">
        <f t="shared" si="36"/>
        <v>425</v>
      </c>
      <c r="I81" s="1">
        <f t="shared" si="37"/>
        <v>83</v>
      </c>
      <c r="J81" s="1">
        <f t="shared" si="38"/>
        <v>263</v>
      </c>
      <c r="K81" s="1">
        <f t="shared" si="39"/>
        <v>4</v>
      </c>
      <c r="L81" s="1">
        <f t="shared" ref="L81:L99" si="40">ABS($B$79-B81)</f>
        <v>95</v>
      </c>
      <c r="M81" s="1">
        <f>ABS($B$80-B81)</f>
        <v>229</v>
      </c>
    </row>
    <row r="82" spans="1:28" x14ac:dyDescent="0.25">
      <c r="A82" s="3" t="s">
        <v>14</v>
      </c>
      <c r="B82" s="1">
        <v>2980</v>
      </c>
      <c r="C82" s="1">
        <f t="shared" si="31"/>
        <v>1668</v>
      </c>
      <c r="D82" s="1">
        <f t="shared" si="32"/>
        <v>317</v>
      </c>
      <c r="E82" s="1">
        <f t="shared" si="33"/>
        <v>1538</v>
      </c>
      <c r="F82" s="1">
        <f t="shared" si="34"/>
        <v>329</v>
      </c>
      <c r="G82" s="1">
        <f t="shared" si="35"/>
        <v>183</v>
      </c>
      <c r="H82" s="1">
        <f t="shared" si="36"/>
        <v>689</v>
      </c>
      <c r="I82" s="1">
        <f t="shared" si="37"/>
        <v>347</v>
      </c>
      <c r="J82" s="1">
        <f t="shared" si="38"/>
        <v>527</v>
      </c>
      <c r="K82" s="1">
        <f t="shared" si="39"/>
        <v>268</v>
      </c>
      <c r="L82" s="1">
        <f t="shared" si="40"/>
        <v>169</v>
      </c>
      <c r="M82" s="1">
        <f t="shared" ref="M82:M99" si="41">ABS($B$80-B82)</f>
        <v>493</v>
      </c>
      <c r="N82" s="1">
        <f>ABS($B$81-B82)</f>
        <v>264</v>
      </c>
    </row>
    <row r="83" spans="1:28" x14ac:dyDescent="0.25">
      <c r="A83" s="3" t="s">
        <v>15</v>
      </c>
      <c r="B83" s="1">
        <v>2995</v>
      </c>
      <c r="C83" s="1">
        <f t="shared" si="31"/>
        <v>1653</v>
      </c>
      <c r="D83" s="1">
        <f t="shared" si="32"/>
        <v>302</v>
      </c>
      <c r="E83" s="1">
        <f t="shared" si="33"/>
        <v>1523</v>
      </c>
      <c r="F83" s="1">
        <f t="shared" si="34"/>
        <v>344</v>
      </c>
      <c r="G83" s="1">
        <f t="shared" si="35"/>
        <v>198</v>
      </c>
      <c r="H83" s="1">
        <f t="shared" si="36"/>
        <v>704</v>
      </c>
      <c r="I83" s="1">
        <f t="shared" si="37"/>
        <v>362</v>
      </c>
      <c r="J83" s="1">
        <f t="shared" si="38"/>
        <v>542</v>
      </c>
      <c r="K83" s="1">
        <f t="shared" si="39"/>
        <v>283</v>
      </c>
      <c r="L83" s="1">
        <f t="shared" si="40"/>
        <v>184</v>
      </c>
      <c r="M83" s="1">
        <f t="shared" si="41"/>
        <v>508</v>
      </c>
      <c r="N83" s="1">
        <f t="shared" ref="N83:N99" si="42">ABS($B$81-B83)</f>
        <v>279</v>
      </c>
      <c r="O83" s="1">
        <f>ABS($B$82-B83)</f>
        <v>15</v>
      </c>
    </row>
    <row r="84" spans="1:28" x14ac:dyDescent="0.25">
      <c r="A84" s="3" t="s">
        <v>16</v>
      </c>
      <c r="B84" s="1">
        <v>2928</v>
      </c>
      <c r="C84" s="1">
        <f t="shared" si="31"/>
        <v>1720</v>
      </c>
      <c r="D84" s="1">
        <f t="shared" si="32"/>
        <v>369</v>
      </c>
      <c r="E84" s="1">
        <f t="shared" si="33"/>
        <v>1590</v>
      </c>
      <c r="F84" s="1">
        <f t="shared" si="34"/>
        <v>277</v>
      </c>
      <c r="G84" s="1">
        <f t="shared" si="35"/>
        <v>131</v>
      </c>
      <c r="H84" s="1">
        <f t="shared" si="36"/>
        <v>637</v>
      </c>
      <c r="I84" s="1">
        <f t="shared" si="37"/>
        <v>295</v>
      </c>
      <c r="J84" s="1">
        <f t="shared" si="38"/>
        <v>475</v>
      </c>
      <c r="K84" s="1">
        <f t="shared" si="39"/>
        <v>216</v>
      </c>
      <c r="L84" s="1">
        <f t="shared" si="40"/>
        <v>117</v>
      </c>
      <c r="M84" s="1">
        <f t="shared" si="41"/>
        <v>441</v>
      </c>
      <c r="N84" s="1">
        <f t="shared" si="42"/>
        <v>212</v>
      </c>
      <c r="O84" s="1">
        <f t="shared" ref="O84:O99" si="43">ABS($B$82-B84)</f>
        <v>52</v>
      </c>
      <c r="P84" s="1">
        <f>ABS($B$83-B84)</f>
        <v>67</v>
      </c>
    </row>
    <row r="85" spans="1:28" x14ac:dyDescent="0.25">
      <c r="A85" s="3" t="s">
        <v>17</v>
      </c>
      <c r="B85" s="1">
        <v>2516</v>
      </c>
      <c r="C85" s="1">
        <f t="shared" si="31"/>
        <v>2132</v>
      </c>
      <c r="D85" s="1">
        <f t="shared" si="32"/>
        <v>781</v>
      </c>
      <c r="E85" s="1">
        <f t="shared" si="33"/>
        <v>2002</v>
      </c>
      <c r="F85" s="1">
        <f t="shared" si="34"/>
        <v>135</v>
      </c>
      <c r="G85" s="1">
        <f t="shared" si="35"/>
        <v>281</v>
      </c>
      <c r="H85" s="1">
        <f t="shared" si="36"/>
        <v>225</v>
      </c>
      <c r="I85" s="1">
        <f t="shared" si="37"/>
        <v>117</v>
      </c>
      <c r="J85" s="1">
        <f t="shared" si="38"/>
        <v>63</v>
      </c>
      <c r="K85" s="1">
        <f t="shared" si="39"/>
        <v>196</v>
      </c>
      <c r="L85" s="1">
        <f t="shared" si="40"/>
        <v>295</v>
      </c>
      <c r="M85" s="1">
        <f t="shared" si="41"/>
        <v>29</v>
      </c>
      <c r="N85" s="1">
        <f t="shared" si="42"/>
        <v>200</v>
      </c>
      <c r="O85" s="1">
        <f t="shared" si="43"/>
        <v>464</v>
      </c>
      <c r="P85" s="1">
        <f t="shared" ref="P85:P99" si="44">ABS($B$83-B85)</f>
        <v>479</v>
      </c>
      <c r="Q85" s="1">
        <f>ABS($B$84-B85)</f>
        <v>412</v>
      </c>
    </row>
    <row r="86" spans="1:28" x14ac:dyDescent="0.25">
      <c r="A86" s="3" t="s">
        <v>18</v>
      </c>
      <c r="B86" s="1">
        <v>2807</v>
      </c>
      <c r="C86" s="1">
        <f t="shared" si="31"/>
        <v>1841</v>
      </c>
      <c r="D86" s="1">
        <f t="shared" si="32"/>
        <v>490</v>
      </c>
      <c r="E86" s="1">
        <f t="shared" si="33"/>
        <v>1711</v>
      </c>
      <c r="F86" s="1">
        <f t="shared" si="34"/>
        <v>156</v>
      </c>
      <c r="G86" s="1">
        <f t="shared" si="35"/>
        <v>10</v>
      </c>
      <c r="H86" s="1">
        <f t="shared" si="36"/>
        <v>516</v>
      </c>
      <c r="I86" s="1">
        <f t="shared" si="37"/>
        <v>174</v>
      </c>
      <c r="J86" s="1">
        <f t="shared" si="38"/>
        <v>354</v>
      </c>
      <c r="K86" s="1">
        <f t="shared" si="39"/>
        <v>95</v>
      </c>
      <c r="L86" s="1">
        <f t="shared" si="40"/>
        <v>4</v>
      </c>
      <c r="M86" s="1">
        <f t="shared" si="41"/>
        <v>320</v>
      </c>
      <c r="N86" s="1">
        <f t="shared" si="42"/>
        <v>91</v>
      </c>
      <c r="O86" s="1">
        <f t="shared" si="43"/>
        <v>173</v>
      </c>
      <c r="P86" s="1">
        <f t="shared" si="44"/>
        <v>188</v>
      </c>
      <c r="Q86" s="1">
        <f t="shared" ref="Q86:Q99" si="45">ABS($B$84-B86)</f>
        <v>121</v>
      </c>
      <c r="R86" s="1">
        <f>ABS($B$85-B86)</f>
        <v>291</v>
      </c>
    </row>
    <row r="87" spans="1:28" x14ac:dyDescent="0.25">
      <c r="A87" s="3" t="s">
        <v>19</v>
      </c>
      <c r="B87" s="1">
        <v>2606</v>
      </c>
      <c r="C87" s="1">
        <f t="shared" si="31"/>
        <v>2042</v>
      </c>
      <c r="D87" s="1">
        <f t="shared" si="32"/>
        <v>691</v>
      </c>
      <c r="E87" s="1">
        <f t="shared" si="33"/>
        <v>1912</v>
      </c>
      <c r="F87" s="1">
        <f t="shared" si="34"/>
        <v>45</v>
      </c>
      <c r="G87" s="1">
        <f t="shared" si="35"/>
        <v>191</v>
      </c>
      <c r="H87" s="1">
        <f t="shared" si="36"/>
        <v>315</v>
      </c>
      <c r="I87" s="1">
        <f t="shared" si="37"/>
        <v>27</v>
      </c>
      <c r="J87" s="1">
        <f t="shared" si="38"/>
        <v>153</v>
      </c>
      <c r="K87" s="1">
        <f t="shared" si="39"/>
        <v>106</v>
      </c>
      <c r="L87" s="1">
        <f t="shared" si="40"/>
        <v>205</v>
      </c>
      <c r="M87" s="1">
        <f t="shared" si="41"/>
        <v>119</v>
      </c>
      <c r="N87" s="1">
        <f t="shared" si="42"/>
        <v>110</v>
      </c>
      <c r="O87" s="1">
        <f t="shared" si="43"/>
        <v>374</v>
      </c>
      <c r="P87" s="1">
        <f t="shared" si="44"/>
        <v>389</v>
      </c>
      <c r="Q87" s="1">
        <f t="shared" si="45"/>
        <v>322</v>
      </c>
      <c r="R87" s="1">
        <f t="shared" ref="R87:R99" si="46">ABS($B$85-B87)</f>
        <v>90</v>
      </c>
      <c r="S87" s="1">
        <f>ABS($B$86-B87)</f>
        <v>201</v>
      </c>
    </row>
    <row r="88" spans="1:28" x14ac:dyDescent="0.25">
      <c r="A88" s="3" t="s">
        <v>20</v>
      </c>
      <c r="B88" s="1">
        <v>1602</v>
      </c>
      <c r="C88" s="1">
        <f t="shared" si="31"/>
        <v>3046</v>
      </c>
      <c r="D88" s="1">
        <f t="shared" si="32"/>
        <v>1695</v>
      </c>
      <c r="E88" s="1">
        <f t="shared" si="33"/>
        <v>2916</v>
      </c>
      <c r="F88" s="1">
        <f t="shared" si="34"/>
        <v>1049</v>
      </c>
      <c r="G88" s="1">
        <f t="shared" si="35"/>
        <v>1195</v>
      </c>
      <c r="H88" s="1">
        <f t="shared" si="36"/>
        <v>689</v>
      </c>
      <c r="I88" s="1">
        <f t="shared" si="37"/>
        <v>1031</v>
      </c>
      <c r="J88" s="1">
        <f t="shared" si="38"/>
        <v>851</v>
      </c>
      <c r="K88" s="1">
        <f t="shared" si="39"/>
        <v>1110</v>
      </c>
      <c r="L88" s="1">
        <f t="shared" si="40"/>
        <v>1209</v>
      </c>
      <c r="M88" s="1">
        <f t="shared" si="41"/>
        <v>885</v>
      </c>
      <c r="N88" s="1">
        <f t="shared" si="42"/>
        <v>1114</v>
      </c>
      <c r="O88" s="1">
        <f t="shared" si="43"/>
        <v>1378</v>
      </c>
      <c r="P88" s="1">
        <f t="shared" si="44"/>
        <v>1393</v>
      </c>
      <c r="Q88" s="1">
        <f t="shared" si="45"/>
        <v>1326</v>
      </c>
      <c r="R88" s="1">
        <f t="shared" si="46"/>
        <v>914</v>
      </c>
      <c r="S88" s="1">
        <f t="shared" ref="S88:S99" si="47">ABS($B$86-B88)</f>
        <v>1205</v>
      </c>
      <c r="T88" s="1">
        <f>ABS($B$87-B88)</f>
        <v>1004</v>
      </c>
    </row>
    <row r="89" spans="1:28" x14ac:dyDescent="0.25">
      <c r="A89" s="3" t="s">
        <v>21</v>
      </c>
      <c r="B89" s="1">
        <v>2555</v>
      </c>
      <c r="C89" s="1">
        <f t="shared" si="31"/>
        <v>2093</v>
      </c>
      <c r="D89" s="1">
        <f t="shared" si="32"/>
        <v>742</v>
      </c>
      <c r="E89" s="1">
        <f t="shared" si="33"/>
        <v>1963</v>
      </c>
      <c r="F89" s="1">
        <f t="shared" si="34"/>
        <v>96</v>
      </c>
      <c r="G89" s="1">
        <f t="shared" si="35"/>
        <v>242</v>
      </c>
      <c r="H89" s="1">
        <f t="shared" si="36"/>
        <v>264</v>
      </c>
      <c r="I89" s="1">
        <f t="shared" si="37"/>
        <v>78</v>
      </c>
      <c r="J89" s="1">
        <f t="shared" si="38"/>
        <v>102</v>
      </c>
      <c r="K89" s="1">
        <f t="shared" si="39"/>
        <v>157</v>
      </c>
      <c r="L89" s="1">
        <f t="shared" si="40"/>
        <v>256</v>
      </c>
      <c r="M89" s="1">
        <f t="shared" si="41"/>
        <v>68</v>
      </c>
      <c r="N89" s="1">
        <f t="shared" si="42"/>
        <v>161</v>
      </c>
      <c r="O89" s="1">
        <f t="shared" si="43"/>
        <v>425</v>
      </c>
      <c r="P89" s="1">
        <f t="shared" si="44"/>
        <v>440</v>
      </c>
      <c r="Q89" s="1">
        <f t="shared" si="45"/>
        <v>373</v>
      </c>
      <c r="R89" s="1">
        <f t="shared" si="46"/>
        <v>39</v>
      </c>
      <c r="S89" s="1">
        <f t="shared" si="47"/>
        <v>252</v>
      </c>
      <c r="T89" s="1">
        <f t="shared" ref="T89:T99" si="48">ABS($B$87-B89)</f>
        <v>51</v>
      </c>
      <c r="U89" s="1">
        <f>ABS($B$88-B89)</f>
        <v>953</v>
      </c>
    </row>
    <row r="90" spans="1:28" x14ac:dyDescent="0.25">
      <c r="A90" s="3" t="s">
        <v>22</v>
      </c>
      <c r="B90" s="1">
        <v>1544</v>
      </c>
      <c r="C90" s="1">
        <f t="shared" si="31"/>
        <v>3104</v>
      </c>
      <c r="D90" s="1">
        <f t="shared" si="32"/>
        <v>1753</v>
      </c>
      <c r="E90" s="1">
        <f t="shared" si="33"/>
        <v>2974</v>
      </c>
      <c r="F90" s="1">
        <f t="shared" si="34"/>
        <v>1107</v>
      </c>
      <c r="G90" s="1">
        <f t="shared" si="35"/>
        <v>1253</v>
      </c>
      <c r="H90" s="1">
        <f t="shared" si="36"/>
        <v>747</v>
      </c>
      <c r="I90" s="1">
        <f t="shared" si="37"/>
        <v>1089</v>
      </c>
      <c r="J90" s="1">
        <f t="shared" si="38"/>
        <v>909</v>
      </c>
      <c r="K90" s="1">
        <f t="shared" si="39"/>
        <v>1168</v>
      </c>
      <c r="L90" s="1">
        <f t="shared" si="40"/>
        <v>1267</v>
      </c>
      <c r="M90" s="1">
        <f t="shared" si="41"/>
        <v>943</v>
      </c>
      <c r="N90" s="1">
        <f t="shared" si="42"/>
        <v>1172</v>
      </c>
      <c r="O90" s="1">
        <f t="shared" si="43"/>
        <v>1436</v>
      </c>
      <c r="P90" s="1">
        <f t="shared" si="44"/>
        <v>1451</v>
      </c>
      <c r="Q90" s="1">
        <f t="shared" si="45"/>
        <v>1384</v>
      </c>
      <c r="R90" s="1">
        <f t="shared" si="46"/>
        <v>972</v>
      </c>
      <c r="S90" s="1">
        <f t="shared" si="47"/>
        <v>1263</v>
      </c>
      <c r="T90" s="1">
        <f t="shared" si="48"/>
        <v>1062</v>
      </c>
      <c r="U90" s="1">
        <f t="shared" ref="U90:U99" si="49">ABS($B$88-B90)</f>
        <v>58</v>
      </c>
      <c r="V90" s="1">
        <f>ABS($B$89-B90)</f>
        <v>1011</v>
      </c>
    </row>
    <row r="91" spans="1:28" x14ac:dyDescent="0.25">
      <c r="A91" s="3" t="s">
        <v>23</v>
      </c>
      <c r="B91" s="1">
        <v>1502</v>
      </c>
      <c r="C91" s="1">
        <f t="shared" si="31"/>
        <v>3146</v>
      </c>
      <c r="D91" s="1">
        <f t="shared" si="32"/>
        <v>1795</v>
      </c>
      <c r="E91" s="1">
        <f t="shared" si="33"/>
        <v>3016</v>
      </c>
      <c r="F91" s="1">
        <f t="shared" si="34"/>
        <v>1149</v>
      </c>
      <c r="G91" s="1">
        <f t="shared" si="35"/>
        <v>1295</v>
      </c>
      <c r="H91" s="1">
        <f t="shared" si="36"/>
        <v>789</v>
      </c>
      <c r="I91" s="1">
        <f t="shared" si="37"/>
        <v>1131</v>
      </c>
      <c r="J91" s="1">
        <f t="shared" si="38"/>
        <v>951</v>
      </c>
      <c r="K91" s="1">
        <f t="shared" si="39"/>
        <v>1210</v>
      </c>
      <c r="L91" s="1">
        <f t="shared" si="40"/>
        <v>1309</v>
      </c>
      <c r="M91" s="1">
        <f t="shared" si="41"/>
        <v>985</v>
      </c>
      <c r="N91" s="1">
        <f t="shared" si="42"/>
        <v>1214</v>
      </c>
      <c r="O91" s="1">
        <f t="shared" si="43"/>
        <v>1478</v>
      </c>
      <c r="P91" s="1">
        <f t="shared" si="44"/>
        <v>1493</v>
      </c>
      <c r="Q91" s="1">
        <f t="shared" si="45"/>
        <v>1426</v>
      </c>
      <c r="R91" s="1">
        <f t="shared" si="46"/>
        <v>1014</v>
      </c>
      <c r="S91" s="1">
        <f t="shared" si="47"/>
        <v>1305</v>
      </c>
      <c r="T91" s="1">
        <f t="shared" si="48"/>
        <v>1104</v>
      </c>
      <c r="U91" s="1">
        <f t="shared" si="49"/>
        <v>100</v>
      </c>
      <c r="V91" s="1">
        <f t="shared" ref="V91:V99" si="50">ABS($B$89-B91)</f>
        <v>1053</v>
      </c>
      <c r="W91" s="1">
        <f>ABS($B$90-B91)</f>
        <v>42</v>
      </c>
    </row>
    <row r="92" spans="1:28" x14ac:dyDescent="0.25">
      <c r="A92" s="3" t="s">
        <v>24</v>
      </c>
      <c r="B92" s="1">
        <v>1564</v>
      </c>
      <c r="C92" s="1">
        <f t="shared" si="31"/>
        <v>3084</v>
      </c>
      <c r="D92" s="1">
        <f t="shared" si="32"/>
        <v>1733</v>
      </c>
      <c r="E92" s="1">
        <f t="shared" si="33"/>
        <v>2954</v>
      </c>
      <c r="F92" s="1">
        <f t="shared" si="34"/>
        <v>1087</v>
      </c>
      <c r="G92" s="1">
        <f t="shared" si="35"/>
        <v>1233</v>
      </c>
      <c r="H92" s="1">
        <f t="shared" si="36"/>
        <v>727</v>
      </c>
      <c r="I92" s="1">
        <f t="shared" si="37"/>
        <v>1069</v>
      </c>
      <c r="J92" s="1">
        <f t="shared" si="38"/>
        <v>889</v>
      </c>
      <c r="K92" s="1">
        <f t="shared" si="39"/>
        <v>1148</v>
      </c>
      <c r="L92" s="1">
        <f t="shared" si="40"/>
        <v>1247</v>
      </c>
      <c r="M92" s="1">
        <f t="shared" si="41"/>
        <v>923</v>
      </c>
      <c r="N92" s="1">
        <f t="shared" si="42"/>
        <v>1152</v>
      </c>
      <c r="O92" s="1">
        <f t="shared" si="43"/>
        <v>1416</v>
      </c>
      <c r="P92" s="1">
        <f t="shared" si="44"/>
        <v>1431</v>
      </c>
      <c r="Q92" s="1">
        <f t="shared" si="45"/>
        <v>1364</v>
      </c>
      <c r="R92" s="1">
        <f t="shared" si="46"/>
        <v>952</v>
      </c>
      <c r="S92" s="1">
        <f t="shared" si="47"/>
        <v>1243</v>
      </c>
      <c r="T92" s="1">
        <f t="shared" si="48"/>
        <v>1042</v>
      </c>
      <c r="U92" s="1">
        <f t="shared" si="49"/>
        <v>38</v>
      </c>
      <c r="V92" s="1">
        <f t="shared" si="50"/>
        <v>991</v>
      </c>
      <c r="W92" s="1">
        <f t="shared" ref="W92:W99" si="51">ABS($B$90-B92)</f>
        <v>20</v>
      </c>
      <c r="X92" s="1">
        <f>ABS($B$91-B92)</f>
        <v>62</v>
      </c>
    </row>
    <row r="93" spans="1:28" x14ac:dyDescent="0.25">
      <c r="A93" s="3" t="s">
        <v>25</v>
      </c>
      <c r="B93" s="1">
        <v>1790</v>
      </c>
      <c r="C93" s="1">
        <f t="shared" si="31"/>
        <v>2858</v>
      </c>
      <c r="D93" s="1">
        <f t="shared" si="32"/>
        <v>1507</v>
      </c>
      <c r="E93" s="1">
        <f t="shared" si="33"/>
        <v>2728</v>
      </c>
      <c r="F93" s="1">
        <f t="shared" si="34"/>
        <v>861</v>
      </c>
      <c r="G93" s="1">
        <f t="shared" si="35"/>
        <v>1007</v>
      </c>
      <c r="H93" s="1">
        <f t="shared" si="36"/>
        <v>501</v>
      </c>
      <c r="I93" s="1">
        <f t="shared" si="37"/>
        <v>843</v>
      </c>
      <c r="J93" s="1">
        <f t="shared" si="38"/>
        <v>663</v>
      </c>
      <c r="K93" s="1">
        <f t="shared" si="39"/>
        <v>922</v>
      </c>
      <c r="L93" s="1">
        <f t="shared" si="40"/>
        <v>1021</v>
      </c>
      <c r="M93" s="1">
        <f t="shared" si="41"/>
        <v>697</v>
      </c>
      <c r="N93" s="1">
        <f t="shared" si="42"/>
        <v>926</v>
      </c>
      <c r="O93" s="1">
        <f t="shared" si="43"/>
        <v>1190</v>
      </c>
      <c r="P93" s="1">
        <f t="shared" si="44"/>
        <v>1205</v>
      </c>
      <c r="Q93" s="1">
        <f t="shared" si="45"/>
        <v>1138</v>
      </c>
      <c r="R93" s="1">
        <f t="shared" si="46"/>
        <v>726</v>
      </c>
      <c r="S93" s="1">
        <f t="shared" si="47"/>
        <v>1017</v>
      </c>
      <c r="T93" s="1">
        <f t="shared" si="48"/>
        <v>816</v>
      </c>
      <c r="U93" s="1">
        <f t="shared" si="49"/>
        <v>188</v>
      </c>
      <c r="V93" s="1">
        <f t="shared" si="50"/>
        <v>765</v>
      </c>
      <c r="W93" s="1">
        <f t="shared" si="51"/>
        <v>246</v>
      </c>
      <c r="X93" s="1">
        <f t="shared" ref="X93:X99" si="52">ABS($B$91-B93)</f>
        <v>288</v>
      </c>
      <c r="Y93" s="1">
        <f>ABS($B$92-B93)</f>
        <v>226</v>
      </c>
    </row>
    <row r="94" spans="1:28" x14ac:dyDescent="0.25">
      <c r="A94" s="3" t="s">
        <v>26</v>
      </c>
      <c r="B94" s="1">
        <v>1813</v>
      </c>
      <c r="C94" s="1">
        <f t="shared" si="31"/>
        <v>2835</v>
      </c>
      <c r="D94" s="1">
        <f t="shared" si="32"/>
        <v>1484</v>
      </c>
      <c r="E94" s="1">
        <f t="shared" si="33"/>
        <v>2705</v>
      </c>
      <c r="F94" s="1">
        <f t="shared" si="34"/>
        <v>838</v>
      </c>
      <c r="G94" s="1">
        <f t="shared" si="35"/>
        <v>984</v>
      </c>
      <c r="H94" s="1">
        <f t="shared" si="36"/>
        <v>478</v>
      </c>
      <c r="I94" s="1">
        <f t="shared" si="37"/>
        <v>820</v>
      </c>
      <c r="J94" s="1">
        <f t="shared" si="38"/>
        <v>640</v>
      </c>
      <c r="K94" s="1">
        <f t="shared" si="39"/>
        <v>899</v>
      </c>
      <c r="L94" s="1">
        <f t="shared" si="40"/>
        <v>998</v>
      </c>
      <c r="M94" s="1">
        <f t="shared" si="41"/>
        <v>674</v>
      </c>
      <c r="N94" s="1">
        <f t="shared" si="42"/>
        <v>903</v>
      </c>
      <c r="O94" s="1">
        <f t="shared" si="43"/>
        <v>1167</v>
      </c>
      <c r="P94" s="1">
        <f t="shared" si="44"/>
        <v>1182</v>
      </c>
      <c r="Q94" s="1">
        <f t="shared" si="45"/>
        <v>1115</v>
      </c>
      <c r="R94" s="1">
        <f t="shared" si="46"/>
        <v>703</v>
      </c>
      <c r="S94" s="1">
        <f t="shared" si="47"/>
        <v>994</v>
      </c>
      <c r="T94" s="1">
        <f t="shared" si="48"/>
        <v>793</v>
      </c>
      <c r="U94" s="1">
        <f t="shared" si="49"/>
        <v>211</v>
      </c>
      <c r="V94" s="1">
        <f t="shared" si="50"/>
        <v>742</v>
      </c>
      <c r="W94" s="1">
        <f t="shared" si="51"/>
        <v>269</v>
      </c>
      <c r="X94" s="1">
        <f t="shared" si="52"/>
        <v>311</v>
      </c>
      <c r="Y94" s="1">
        <f t="shared" ref="Y94:Y99" si="53">ABS($B$92-B94)</f>
        <v>249</v>
      </c>
      <c r="Z94" s="1">
        <f t="shared" ref="Z94:Z99" si="54">ABS($B$93-B94)</f>
        <v>23</v>
      </c>
    </row>
    <row r="95" spans="1:28" x14ac:dyDescent="0.25">
      <c r="A95" s="3" t="s">
        <v>27</v>
      </c>
      <c r="B95" s="1">
        <v>1426</v>
      </c>
      <c r="C95" s="1">
        <f t="shared" si="31"/>
        <v>3222</v>
      </c>
      <c r="D95" s="1">
        <f t="shared" si="32"/>
        <v>1871</v>
      </c>
      <c r="E95" s="1">
        <f t="shared" si="33"/>
        <v>3092</v>
      </c>
      <c r="F95" s="1">
        <f t="shared" si="34"/>
        <v>1225</v>
      </c>
      <c r="G95" s="1">
        <f t="shared" si="35"/>
        <v>1371</v>
      </c>
      <c r="H95" s="1">
        <f t="shared" si="36"/>
        <v>865</v>
      </c>
      <c r="I95" s="1">
        <f t="shared" si="37"/>
        <v>1207</v>
      </c>
      <c r="J95" s="1">
        <f t="shared" si="38"/>
        <v>1027</v>
      </c>
      <c r="K95" s="1">
        <f t="shared" si="39"/>
        <v>1286</v>
      </c>
      <c r="L95" s="1">
        <f t="shared" si="40"/>
        <v>1385</v>
      </c>
      <c r="M95" s="1">
        <f t="shared" si="41"/>
        <v>1061</v>
      </c>
      <c r="N95" s="1">
        <f t="shared" si="42"/>
        <v>1290</v>
      </c>
      <c r="O95" s="1">
        <f t="shared" si="43"/>
        <v>1554</v>
      </c>
      <c r="P95" s="1">
        <f t="shared" si="44"/>
        <v>1569</v>
      </c>
      <c r="Q95" s="1">
        <f t="shared" si="45"/>
        <v>1502</v>
      </c>
      <c r="R95" s="1">
        <f t="shared" si="46"/>
        <v>1090</v>
      </c>
      <c r="S95" s="1">
        <f t="shared" si="47"/>
        <v>1381</v>
      </c>
      <c r="T95" s="1">
        <f t="shared" si="48"/>
        <v>1180</v>
      </c>
      <c r="U95" s="1">
        <f t="shared" si="49"/>
        <v>176</v>
      </c>
      <c r="V95" s="1">
        <f t="shared" si="50"/>
        <v>1129</v>
      </c>
      <c r="W95" s="1">
        <f t="shared" si="51"/>
        <v>118</v>
      </c>
      <c r="X95" s="1">
        <f t="shared" si="52"/>
        <v>76</v>
      </c>
      <c r="Y95" s="1">
        <f t="shared" si="53"/>
        <v>138</v>
      </c>
      <c r="Z95" s="1">
        <f t="shared" si="54"/>
        <v>364</v>
      </c>
      <c r="AA95" s="1">
        <f>ABS($B$94-B95)</f>
        <v>387</v>
      </c>
    </row>
    <row r="96" spans="1:28" x14ac:dyDescent="0.25">
      <c r="A96" s="3" t="s">
        <v>28</v>
      </c>
      <c r="B96" s="1">
        <v>2124</v>
      </c>
      <c r="C96" s="1">
        <f t="shared" si="31"/>
        <v>2524</v>
      </c>
      <c r="D96" s="1">
        <f t="shared" si="32"/>
        <v>1173</v>
      </c>
      <c r="E96" s="1">
        <f t="shared" si="33"/>
        <v>2394</v>
      </c>
      <c r="F96" s="1">
        <f t="shared" si="34"/>
        <v>527</v>
      </c>
      <c r="G96" s="1">
        <f t="shared" si="35"/>
        <v>673</v>
      </c>
      <c r="H96" s="1">
        <f t="shared" si="36"/>
        <v>167</v>
      </c>
      <c r="I96" s="1">
        <f t="shared" si="37"/>
        <v>509</v>
      </c>
      <c r="J96" s="1">
        <f t="shared" si="38"/>
        <v>329</v>
      </c>
      <c r="K96" s="1">
        <f t="shared" si="39"/>
        <v>588</v>
      </c>
      <c r="L96" s="1">
        <f t="shared" si="40"/>
        <v>687</v>
      </c>
      <c r="M96" s="1">
        <f t="shared" si="41"/>
        <v>363</v>
      </c>
      <c r="N96" s="1">
        <f t="shared" si="42"/>
        <v>592</v>
      </c>
      <c r="O96" s="1">
        <f t="shared" si="43"/>
        <v>856</v>
      </c>
      <c r="P96" s="1">
        <f t="shared" si="44"/>
        <v>871</v>
      </c>
      <c r="Q96" s="1">
        <f t="shared" si="45"/>
        <v>804</v>
      </c>
      <c r="R96" s="1">
        <f t="shared" si="46"/>
        <v>392</v>
      </c>
      <c r="S96" s="1">
        <f t="shared" si="47"/>
        <v>683</v>
      </c>
      <c r="T96" s="1">
        <f t="shared" si="48"/>
        <v>482</v>
      </c>
      <c r="U96" s="1">
        <f t="shared" si="49"/>
        <v>522</v>
      </c>
      <c r="V96" s="1">
        <f t="shared" si="50"/>
        <v>431</v>
      </c>
      <c r="W96" s="1">
        <f t="shared" si="51"/>
        <v>580</v>
      </c>
      <c r="X96" s="1">
        <f t="shared" si="52"/>
        <v>622</v>
      </c>
      <c r="Y96" s="1">
        <f t="shared" si="53"/>
        <v>560</v>
      </c>
      <c r="Z96" s="1">
        <f t="shared" si="54"/>
        <v>334</v>
      </c>
      <c r="AA96" s="1">
        <f>ABS($B$94-B96)</f>
        <v>311</v>
      </c>
      <c r="AB96" s="1">
        <f>ABS($B$95-B96)</f>
        <v>698</v>
      </c>
    </row>
    <row r="97" spans="1:31" x14ac:dyDescent="0.25">
      <c r="A97" s="3" t="s">
        <v>29</v>
      </c>
      <c r="B97" s="1">
        <v>1647</v>
      </c>
      <c r="C97" s="1">
        <f t="shared" si="31"/>
        <v>3001</v>
      </c>
      <c r="D97" s="1">
        <f t="shared" si="32"/>
        <v>1650</v>
      </c>
      <c r="E97" s="1">
        <f t="shared" si="33"/>
        <v>2871</v>
      </c>
      <c r="F97" s="1">
        <f t="shared" si="34"/>
        <v>1004</v>
      </c>
      <c r="G97" s="1">
        <f t="shared" si="35"/>
        <v>1150</v>
      </c>
      <c r="H97" s="1">
        <f t="shared" si="36"/>
        <v>644</v>
      </c>
      <c r="I97" s="1">
        <f t="shared" si="37"/>
        <v>986</v>
      </c>
      <c r="J97" s="1">
        <f t="shared" si="38"/>
        <v>806</v>
      </c>
      <c r="K97" s="1">
        <f t="shared" si="39"/>
        <v>1065</v>
      </c>
      <c r="L97" s="1">
        <f t="shared" si="40"/>
        <v>1164</v>
      </c>
      <c r="M97" s="1">
        <f t="shared" si="41"/>
        <v>840</v>
      </c>
      <c r="N97" s="1">
        <f t="shared" si="42"/>
        <v>1069</v>
      </c>
      <c r="O97" s="1">
        <f t="shared" si="43"/>
        <v>1333</v>
      </c>
      <c r="P97" s="1">
        <f t="shared" si="44"/>
        <v>1348</v>
      </c>
      <c r="Q97" s="1">
        <f t="shared" si="45"/>
        <v>1281</v>
      </c>
      <c r="R97" s="1">
        <f t="shared" si="46"/>
        <v>869</v>
      </c>
      <c r="S97" s="1">
        <f t="shared" si="47"/>
        <v>1160</v>
      </c>
      <c r="T97" s="1">
        <f t="shared" si="48"/>
        <v>959</v>
      </c>
      <c r="U97" s="1">
        <f t="shared" si="49"/>
        <v>45</v>
      </c>
      <c r="V97" s="1">
        <f t="shared" si="50"/>
        <v>908</v>
      </c>
      <c r="W97" s="1">
        <f t="shared" si="51"/>
        <v>103</v>
      </c>
      <c r="X97" s="1">
        <f t="shared" si="52"/>
        <v>145</v>
      </c>
      <c r="Y97" s="1">
        <f t="shared" si="53"/>
        <v>83</v>
      </c>
      <c r="Z97" s="1">
        <f t="shared" si="54"/>
        <v>143</v>
      </c>
      <c r="AA97" s="1">
        <f>ABS($B$94-B97)</f>
        <v>166</v>
      </c>
      <c r="AB97" s="1">
        <f>ABS($B$95-B97)</f>
        <v>221</v>
      </c>
      <c r="AC97" s="1">
        <f>ABS($B$96-B97)</f>
        <v>477</v>
      </c>
    </row>
    <row r="98" spans="1:31" x14ac:dyDescent="0.25">
      <c r="A98" s="3" t="s">
        <v>30</v>
      </c>
      <c r="B98" s="1">
        <v>2555</v>
      </c>
      <c r="C98" s="1">
        <f t="shared" si="31"/>
        <v>2093</v>
      </c>
      <c r="D98" s="1">
        <f t="shared" si="32"/>
        <v>742</v>
      </c>
      <c r="E98" s="1">
        <f t="shared" si="33"/>
        <v>1963</v>
      </c>
      <c r="F98" s="1">
        <f t="shared" si="34"/>
        <v>96</v>
      </c>
      <c r="G98" s="1">
        <f t="shared" si="35"/>
        <v>242</v>
      </c>
      <c r="H98" s="1">
        <f t="shared" si="36"/>
        <v>264</v>
      </c>
      <c r="I98" s="1">
        <f t="shared" si="37"/>
        <v>78</v>
      </c>
      <c r="J98" s="1">
        <f t="shared" si="38"/>
        <v>102</v>
      </c>
      <c r="K98" s="1">
        <f t="shared" si="39"/>
        <v>157</v>
      </c>
      <c r="L98" s="1">
        <f t="shared" si="40"/>
        <v>256</v>
      </c>
      <c r="M98" s="1">
        <f t="shared" si="41"/>
        <v>68</v>
      </c>
      <c r="N98" s="1">
        <f t="shared" si="42"/>
        <v>161</v>
      </c>
      <c r="O98" s="1">
        <f t="shared" si="43"/>
        <v>425</v>
      </c>
      <c r="P98" s="1">
        <f t="shared" si="44"/>
        <v>440</v>
      </c>
      <c r="Q98" s="1">
        <f t="shared" si="45"/>
        <v>373</v>
      </c>
      <c r="R98" s="1">
        <f t="shared" si="46"/>
        <v>39</v>
      </c>
      <c r="S98" s="1">
        <f t="shared" si="47"/>
        <v>252</v>
      </c>
      <c r="T98" s="1">
        <f t="shared" si="48"/>
        <v>51</v>
      </c>
      <c r="U98" s="1">
        <f t="shared" si="49"/>
        <v>953</v>
      </c>
      <c r="V98" s="1">
        <f t="shared" si="50"/>
        <v>0</v>
      </c>
      <c r="W98" s="1">
        <f t="shared" si="51"/>
        <v>1011</v>
      </c>
      <c r="X98" s="1">
        <f t="shared" si="52"/>
        <v>1053</v>
      </c>
      <c r="Y98" s="1">
        <f t="shared" si="53"/>
        <v>991</v>
      </c>
      <c r="Z98" s="1">
        <f t="shared" si="54"/>
        <v>765</v>
      </c>
      <c r="AA98" s="1">
        <f>ABS($B$94-B98)</f>
        <v>742</v>
      </c>
      <c r="AB98" s="1">
        <f>ABS($B$95-B98)</f>
        <v>1129</v>
      </c>
      <c r="AC98" s="1">
        <f>ABS($B$96-B98)</f>
        <v>431</v>
      </c>
      <c r="AD98" s="1">
        <f>ABS($B$97-B98)</f>
        <v>908</v>
      </c>
    </row>
    <row r="99" spans="1:31" x14ac:dyDescent="0.25">
      <c r="A99" s="3" t="s">
        <v>31</v>
      </c>
      <c r="B99" s="1">
        <v>2648</v>
      </c>
      <c r="C99" s="1">
        <f t="shared" si="31"/>
        <v>2000</v>
      </c>
      <c r="D99" s="1">
        <f t="shared" si="32"/>
        <v>649</v>
      </c>
      <c r="E99" s="1">
        <f t="shared" si="33"/>
        <v>1870</v>
      </c>
      <c r="F99" s="1">
        <f t="shared" si="34"/>
        <v>3</v>
      </c>
      <c r="G99" s="1">
        <f t="shared" si="35"/>
        <v>149</v>
      </c>
      <c r="H99" s="1">
        <f t="shared" si="36"/>
        <v>357</v>
      </c>
      <c r="I99" s="1">
        <f t="shared" si="37"/>
        <v>15</v>
      </c>
      <c r="J99" s="1">
        <f t="shared" si="38"/>
        <v>195</v>
      </c>
      <c r="K99" s="1">
        <f t="shared" si="39"/>
        <v>64</v>
      </c>
      <c r="L99" s="1">
        <f t="shared" si="40"/>
        <v>163</v>
      </c>
      <c r="M99" s="1">
        <f t="shared" si="41"/>
        <v>161</v>
      </c>
      <c r="N99" s="1">
        <f t="shared" si="42"/>
        <v>68</v>
      </c>
      <c r="O99" s="1">
        <f t="shared" si="43"/>
        <v>332</v>
      </c>
      <c r="P99" s="1">
        <f t="shared" si="44"/>
        <v>347</v>
      </c>
      <c r="Q99" s="1">
        <f t="shared" si="45"/>
        <v>280</v>
      </c>
      <c r="R99" s="1">
        <f t="shared" si="46"/>
        <v>132</v>
      </c>
      <c r="S99" s="1">
        <f t="shared" si="47"/>
        <v>159</v>
      </c>
      <c r="T99" s="1">
        <f t="shared" si="48"/>
        <v>42</v>
      </c>
      <c r="U99" s="1">
        <f t="shared" si="49"/>
        <v>1046</v>
      </c>
      <c r="V99" s="1">
        <f t="shared" si="50"/>
        <v>93</v>
      </c>
      <c r="W99" s="1">
        <f t="shared" si="51"/>
        <v>1104</v>
      </c>
      <c r="X99" s="1">
        <f t="shared" si="52"/>
        <v>1146</v>
      </c>
      <c r="Y99" s="1">
        <f t="shared" si="53"/>
        <v>1084</v>
      </c>
      <c r="Z99" s="1">
        <f t="shared" si="54"/>
        <v>858</v>
      </c>
      <c r="AA99" s="1">
        <f>ABS($B$94-B99)</f>
        <v>835</v>
      </c>
      <c r="AB99" s="1">
        <f>ABS($B$95-B99)</f>
        <v>1222</v>
      </c>
      <c r="AC99" s="1">
        <f>ABS($B$96-B99)</f>
        <v>524</v>
      </c>
      <c r="AD99" s="1">
        <f>ABS($B$97-B99)</f>
        <v>1001</v>
      </c>
      <c r="AE99" s="1">
        <f>ABS($C$98-C99)</f>
        <v>93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32"/>
  <sheetViews>
    <sheetView zoomScale="70" zoomScaleNormal="70" workbookViewId="0">
      <selection activeCell="B2" sqref="B2:AE2"/>
    </sheetView>
  </sheetViews>
  <sheetFormatPr defaultColWidth="9" defaultRowHeight="14.4" x14ac:dyDescent="0.25"/>
  <cols>
    <col min="1" max="1" width="13.77734375" style="1" customWidth="1"/>
    <col min="2" max="2" width="11.88671875" style="1" customWidth="1"/>
    <col min="3" max="31" width="5.33203125" style="1" customWidth="1"/>
    <col min="32" max="32" width="3.88671875" style="1" customWidth="1"/>
    <col min="33" max="33" width="3.6640625" style="1" customWidth="1"/>
    <col min="34" max="34" width="8.77734375" style="1" customWidth="1"/>
    <col min="35" max="46" width="3.6640625" style="1" customWidth="1"/>
    <col min="47" max="48" width="2.77734375" style="1" customWidth="1"/>
    <col min="49" max="65" width="4.44140625" style="1" customWidth="1"/>
    <col min="66" max="66" width="7.21875" style="1" customWidth="1"/>
    <col min="67" max="95" width="3.44140625" style="1" customWidth="1"/>
    <col min="96" max="96" width="3.88671875" style="1" customWidth="1"/>
    <col min="97" max="97" width="9" style="1"/>
  </cols>
  <sheetData>
    <row r="1" spans="1:96" ht="64.05" customHeight="1" x14ac:dyDescent="0.25">
      <c r="A1" s="5" t="s">
        <v>37</v>
      </c>
      <c r="B1" s="6" t="s">
        <v>38</v>
      </c>
    </row>
    <row r="2" spans="1:96" x14ac:dyDescent="0.25">
      <c r="A2" s="1" t="s">
        <v>39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H2" s="1" t="s">
        <v>39</v>
      </c>
      <c r="AI2" s="3" t="s">
        <v>2</v>
      </c>
      <c r="AJ2" s="3" t="s">
        <v>3</v>
      </c>
      <c r="AK2" s="3" t="s">
        <v>4</v>
      </c>
      <c r="AL2" s="3" t="s">
        <v>5</v>
      </c>
      <c r="AM2" s="3" t="s">
        <v>6</v>
      </c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S2" s="3" t="s">
        <v>12</v>
      </c>
      <c r="AT2" s="3" t="s">
        <v>13</v>
      </c>
      <c r="AU2" s="3" t="s">
        <v>14</v>
      </c>
      <c r="AV2" s="3" t="s">
        <v>15</v>
      </c>
      <c r="AW2" s="3" t="s">
        <v>16</v>
      </c>
      <c r="AX2" s="3" t="s">
        <v>17</v>
      </c>
      <c r="AY2" s="3" t="s">
        <v>18</v>
      </c>
      <c r="AZ2" s="3" t="s">
        <v>19</v>
      </c>
      <c r="BA2" s="3" t="s">
        <v>20</v>
      </c>
      <c r="BB2" s="3" t="s">
        <v>21</v>
      </c>
      <c r="BC2" s="3" t="s">
        <v>22</v>
      </c>
      <c r="BD2" s="3" t="s">
        <v>23</v>
      </c>
      <c r="BE2" s="3" t="s">
        <v>24</v>
      </c>
      <c r="BF2" s="3" t="s">
        <v>25</v>
      </c>
      <c r="BG2" s="3" t="s">
        <v>26</v>
      </c>
      <c r="BH2" s="3" t="s">
        <v>27</v>
      </c>
      <c r="BI2" s="3" t="s">
        <v>28</v>
      </c>
      <c r="BJ2" s="3" t="s">
        <v>29</v>
      </c>
      <c r="BK2" s="3" t="s">
        <v>30</v>
      </c>
      <c r="BL2" s="3" t="s">
        <v>31</v>
      </c>
      <c r="BN2" s="1" t="s">
        <v>39</v>
      </c>
      <c r="BO2" s="3" t="s">
        <v>2</v>
      </c>
      <c r="BP2" s="3" t="s">
        <v>3</v>
      </c>
      <c r="BQ2" s="3" t="s">
        <v>4</v>
      </c>
      <c r="BR2" s="3" t="s">
        <v>5</v>
      </c>
      <c r="BS2" s="3" t="s">
        <v>6</v>
      </c>
      <c r="BT2" s="3" t="s">
        <v>7</v>
      </c>
      <c r="BU2" s="3" t="s">
        <v>8</v>
      </c>
      <c r="BV2" s="3" t="s">
        <v>9</v>
      </c>
      <c r="BW2" s="3" t="s">
        <v>10</v>
      </c>
      <c r="BX2" s="3" t="s">
        <v>11</v>
      </c>
      <c r="BY2" s="3" t="s">
        <v>12</v>
      </c>
      <c r="BZ2" s="3" t="s">
        <v>13</v>
      </c>
      <c r="CA2" s="3" t="s">
        <v>14</v>
      </c>
      <c r="CB2" s="3" t="s">
        <v>15</v>
      </c>
      <c r="CC2" s="3" t="s">
        <v>16</v>
      </c>
      <c r="CD2" s="3" t="s">
        <v>17</v>
      </c>
      <c r="CE2" s="3" t="s">
        <v>18</v>
      </c>
      <c r="CF2" s="3" t="s">
        <v>19</v>
      </c>
      <c r="CG2" s="3" t="s">
        <v>20</v>
      </c>
      <c r="CH2" s="3" t="s">
        <v>21</v>
      </c>
      <c r="CI2" s="3" t="s">
        <v>22</v>
      </c>
      <c r="CJ2" s="3" t="s">
        <v>23</v>
      </c>
      <c r="CK2" s="3" t="s">
        <v>24</v>
      </c>
      <c r="CL2" s="3" t="s">
        <v>25</v>
      </c>
      <c r="CM2" s="3" t="s">
        <v>26</v>
      </c>
      <c r="CN2" s="3" t="s">
        <v>27</v>
      </c>
      <c r="CO2" s="3" t="s">
        <v>28</v>
      </c>
      <c r="CP2" s="3" t="s">
        <v>29</v>
      </c>
      <c r="CQ2" s="3" t="s">
        <v>30</v>
      </c>
      <c r="CR2" s="3" t="s">
        <v>31</v>
      </c>
    </row>
    <row r="3" spans="1:96" x14ac:dyDescent="0.25">
      <c r="A3" s="3" t="s">
        <v>2</v>
      </c>
      <c r="B3" s="7"/>
      <c r="C3" s="1">
        <v>36</v>
      </c>
      <c r="D3" s="1">
        <v>73</v>
      </c>
      <c r="E3" s="1">
        <v>33</v>
      </c>
      <c r="F3" s="1">
        <v>55</v>
      </c>
      <c r="G3" s="1">
        <v>38</v>
      </c>
      <c r="H3" s="1">
        <v>59</v>
      </c>
      <c r="I3" s="1">
        <v>13</v>
      </c>
      <c r="J3" s="1">
        <v>19</v>
      </c>
      <c r="K3" s="1">
        <v>48</v>
      </c>
      <c r="L3" s="1">
        <v>48</v>
      </c>
      <c r="M3" s="1">
        <v>21</v>
      </c>
      <c r="N3" s="1">
        <v>45</v>
      </c>
      <c r="O3" s="1">
        <v>82</v>
      </c>
      <c r="P3" s="1">
        <v>51</v>
      </c>
      <c r="Q3" s="1">
        <v>33</v>
      </c>
      <c r="R3" s="1">
        <v>41</v>
      </c>
      <c r="S3" s="1">
        <v>0</v>
      </c>
      <c r="T3" s="1">
        <v>31</v>
      </c>
      <c r="U3" s="1">
        <v>43</v>
      </c>
      <c r="V3" s="1">
        <v>8</v>
      </c>
      <c r="W3" s="1">
        <v>7</v>
      </c>
      <c r="X3" s="1">
        <v>1</v>
      </c>
      <c r="Y3" s="1">
        <v>0</v>
      </c>
      <c r="Z3" s="1">
        <v>0</v>
      </c>
      <c r="AA3" s="1">
        <v>0</v>
      </c>
      <c r="AB3" s="1">
        <v>21</v>
      </c>
      <c r="AC3" s="1">
        <v>4</v>
      </c>
      <c r="AD3" s="1">
        <v>7</v>
      </c>
      <c r="AE3" s="1">
        <v>43</v>
      </c>
      <c r="AF3" s="1">
        <f>SUM(B3:AE32)/870</f>
        <v>5.5609195402298797</v>
      </c>
      <c r="AH3" s="3" t="s">
        <v>2</v>
      </c>
      <c r="AI3" s="1">
        <f>IF(B3&gt;$AF$3,1,0)</f>
        <v>0</v>
      </c>
      <c r="AJ3" s="1">
        <f t="shared" ref="AJ3:BL3" si="0">IF(C3&gt;$AF$3,1,0)</f>
        <v>1</v>
      </c>
      <c r="AK3" s="1">
        <f t="shared" si="0"/>
        <v>1</v>
      </c>
      <c r="AL3" s="1">
        <f t="shared" si="0"/>
        <v>1</v>
      </c>
      <c r="AM3" s="1">
        <f t="shared" si="0"/>
        <v>1</v>
      </c>
      <c r="AN3" s="1">
        <f t="shared" si="0"/>
        <v>1</v>
      </c>
      <c r="AO3" s="1">
        <f t="shared" si="0"/>
        <v>1</v>
      </c>
      <c r="AP3" s="1">
        <f t="shared" si="0"/>
        <v>1</v>
      </c>
      <c r="AQ3" s="1">
        <f t="shared" si="0"/>
        <v>1</v>
      </c>
      <c r="AR3" s="1">
        <f t="shared" si="0"/>
        <v>1</v>
      </c>
      <c r="AS3" s="1">
        <f t="shared" si="0"/>
        <v>1</v>
      </c>
      <c r="AT3" s="1">
        <f t="shared" si="0"/>
        <v>1</v>
      </c>
      <c r="AU3" s="1">
        <f t="shared" si="0"/>
        <v>1</v>
      </c>
      <c r="AV3" s="1">
        <f t="shared" si="0"/>
        <v>1</v>
      </c>
      <c r="AW3" s="1">
        <f t="shared" si="0"/>
        <v>1</v>
      </c>
      <c r="AX3" s="1">
        <f t="shared" si="0"/>
        <v>1</v>
      </c>
      <c r="AY3" s="1">
        <f t="shared" si="0"/>
        <v>1</v>
      </c>
      <c r="AZ3" s="1">
        <f t="shared" si="0"/>
        <v>0</v>
      </c>
      <c r="BA3" s="1">
        <f t="shared" si="0"/>
        <v>1</v>
      </c>
      <c r="BB3" s="1">
        <f t="shared" si="0"/>
        <v>1</v>
      </c>
      <c r="BC3" s="1">
        <f t="shared" si="0"/>
        <v>1</v>
      </c>
      <c r="BD3" s="1">
        <f t="shared" si="0"/>
        <v>1</v>
      </c>
      <c r="BE3" s="1">
        <f t="shared" si="0"/>
        <v>0</v>
      </c>
      <c r="BF3" s="1">
        <f t="shared" si="0"/>
        <v>0</v>
      </c>
      <c r="BG3" s="1">
        <f t="shared" si="0"/>
        <v>0</v>
      </c>
      <c r="BH3" s="1">
        <f t="shared" si="0"/>
        <v>0</v>
      </c>
      <c r="BI3" s="1">
        <f t="shared" si="0"/>
        <v>1</v>
      </c>
      <c r="BJ3" s="1">
        <f t="shared" si="0"/>
        <v>0</v>
      </c>
      <c r="BK3" s="1">
        <f t="shared" si="0"/>
        <v>1</v>
      </c>
      <c r="BL3" s="1">
        <f t="shared" si="0"/>
        <v>1</v>
      </c>
      <c r="BN3" s="3" t="s">
        <v>2</v>
      </c>
      <c r="BO3" s="1">
        <f>0.3*AI3</f>
        <v>0</v>
      </c>
      <c r="BP3" s="1">
        <f>0.3*AJ3</f>
        <v>0.3</v>
      </c>
      <c r="BQ3" s="1">
        <f t="shared" ref="BQ3:CR3" si="1">0.3*AK3</f>
        <v>0.3</v>
      </c>
      <c r="BR3" s="1">
        <f t="shared" si="1"/>
        <v>0.3</v>
      </c>
      <c r="BS3" s="1">
        <f t="shared" si="1"/>
        <v>0.3</v>
      </c>
      <c r="BT3" s="1">
        <f t="shared" si="1"/>
        <v>0.3</v>
      </c>
      <c r="BU3" s="1">
        <f t="shared" si="1"/>
        <v>0.3</v>
      </c>
      <c r="BV3" s="1">
        <f t="shared" si="1"/>
        <v>0.3</v>
      </c>
      <c r="BW3" s="1">
        <f t="shared" si="1"/>
        <v>0.3</v>
      </c>
      <c r="BX3" s="1">
        <f t="shared" si="1"/>
        <v>0.3</v>
      </c>
      <c r="BY3" s="1">
        <f t="shared" si="1"/>
        <v>0.3</v>
      </c>
      <c r="BZ3" s="1">
        <f t="shared" si="1"/>
        <v>0.3</v>
      </c>
      <c r="CA3" s="1">
        <f t="shared" si="1"/>
        <v>0.3</v>
      </c>
      <c r="CB3" s="1">
        <f t="shared" si="1"/>
        <v>0.3</v>
      </c>
      <c r="CC3" s="1">
        <f t="shared" si="1"/>
        <v>0.3</v>
      </c>
      <c r="CD3" s="1">
        <f t="shared" si="1"/>
        <v>0.3</v>
      </c>
      <c r="CE3" s="1">
        <f t="shared" si="1"/>
        <v>0.3</v>
      </c>
      <c r="CF3" s="1">
        <f t="shared" si="1"/>
        <v>0</v>
      </c>
      <c r="CG3" s="1">
        <f t="shared" si="1"/>
        <v>0.3</v>
      </c>
      <c r="CH3" s="1">
        <f t="shared" si="1"/>
        <v>0.3</v>
      </c>
      <c r="CI3" s="1">
        <f t="shared" si="1"/>
        <v>0.3</v>
      </c>
      <c r="CJ3" s="1">
        <f t="shared" si="1"/>
        <v>0.3</v>
      </c>
      <c r="CK3" s="1">
        <f t="shared" si="1"/>
        <v>0</v>
      </c>
      <c r="CL3" s="1">
        <f t="shared" si="1"/>
        <v>0</v>
      </c>
      <c r="CM3" s="1">
        <f t="shared" si="1"/>
        <v>0</v>
      </c>
      <c r="CN3" s="1">
        <f t="shared" si="1"/>
        <v>0</v>
      </c>
      <c r="CO3" s="1">
        <f t="shared" si="1"/>
        <v>0.3</v>
      </c>
      <c r="CP3" s="1">
        <f t="shared" si="1"/>
        <v>0</v>
      </c>
      <c r="CQ3" s="1">
        <f t="shared" si="1"/>
        <v>0.3</v>
      </c>
      <c r="CR3" s="1">
        <f t="shared" si="1"/>
        <v>0.3</v>
      </c>
    </row>
    <row r="4" spans="1:96" x14ac:dyDescent="0.25">
      <c r="A4" s="3" t="s">
        <v>3</v>
      </c>
      <c r="B4" s="1">
        <v>36</v>
      </c>
      <c r="C4" s="7"/>
      <c r="D4" s="1">
        <v>11</v>
      </c>
      <c r="E4" s="1">
        <v>1</v>
      </c>
      <c r="F4" s="1">
        <v>2</v>
      </c>
      <c r="G4" s="1">
        <v>1</v>
      </c>
      <c r="H4" s="1">
        <v>1</v>
      </c>
      <c r="I4" s="1">
        <v>0</v>
      </c>
      <c r="J4" s="1">
        <v>0</v>
      </c>
      <c r="K4" s="1">
        <v>1</v>
      </c>
      <c r="L4" s="1">
        <v>3</v>
      </c>
      <c r="M4" s="1">
        <v>1</v>
      </c>
      <c r="N4" s="1">
        <v>1</v>
      </c>
      <c r="O4" s="1">
        <v>20</v>
      </c>
      <c r="P4" s="1">
        <v>4</v>
      </c>
      <c r="Q4" s="1">
        <v>0</v>
      </c>
      <c r="R4" s="1">
        <v>4</v>
      </c>
      <c r="S4" s="1">
        <v>0</v>
      </c>
      <c r="T4" s="1">
        <v>1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6</v>
      </c>
      <c r="AC4" s="1">
        <v>0</v>
      </c>
      <c r="AD4" s="1">
        <v>0</v>
      </c>
      <c r="AE4" s="1">
        <v>8</v>
      </c>
      <c r="AH4" s="3" t="s">
        <v>3</v>
      </c>
      <c r="AI4" s="1">
        <f t="shared" ref="AI4:AI14" si="2">IF(B4&gt;$AF$3,1,0)</f>
        <v>1</v>
      </c>
      <c r="AJ4" s="1">
        <f t="shared" ref="AJ4:AJ14" si="3">IF(C4&gt;$AF$3,1,0)</f>
        <v>0</v>
      </c>
      <c r="AK4" s="1">
        <f t="shared" ref="AK4:AK14" si="4">IF(D4&gt;$AF$3,1,0)</f>
        <v>1</v>
      </c>
      <c r="AL4" s="1">
        <f t="shared" ref="AL4:AL14" si="5">IF(E4&gt;$AF$3,1,0)</f>
        <v>0</v>
      </c>
      <c r="AM4" s="1">
        <f t="shared" ref="AM4:AM14" si="6">IF(F4&gt;$AF$3,1,0)</f>
        <v>0</v>
      </c>
      <c r="AN4" s="1">
        <f t="shared" ref="AN4:AN14" si="7">IF(G4&gt;$AF$3,1,0)</f>
        <v>0</v>
      </c>
      <c r="AO4" s="1">
        <f t="shared" ref="AO4:AO14" si="8">IF(H4&gt;$AF$3,1,0)</f>
        <v>0</v>
      </c>
      <c r="AP4" s="1">
        <f t="shared" ref="AP4:AP14" si="9">IF(I4&gt;$AF$3,1,0)</f>
        <v>0</v>
      </c>
      <c r="AQ4" s="1">
        <f t="shared" ref="AQ4:AQ14" si="10">IF(J4&gt;$AF$3,1,0)</f>
        <v>0</v>
      </c>
      <c r="AR4" s="1">
        <f t="shared" ref="AR4:AR14" si="11">IF(K4&gt;$AF$3,1,0)</f>
        <v>0</v>
      </c>
      <c r="AS4" s="1">
        <f t="shared" ref="AS4:AS14" si="12">IF(L4&gt;$AF$3,1,0)</f>
        <v>0</v>
      </c>
      <c r="AT4" s="1">
        <f t="shared" ref="AT4:AT14" si="13">IF(M4&gt;$AF$3,1,0)</f>
        <v>0</v>
      </c>
      <c r="AU4" s="1">
        <f t="shared" ref="AU4:AU14" si="14">IF(N4&gt;$AF$3,1,0)</f>
        <v>0</v>
      </c>
      <c r="AV4" s="1">
        <f t="shared" ref="AV4:AV14" si="15">IF(O4&gt;$AF$3,1,0)</f>
        <v>1</v>
      </c>
      <c r="AW4" s="1">
        <f t="shared" ref="AW4:AW14" si="16">IF(P4&gt;$AF$3,1,0)</f>
        <v>0</v>
      </c>
      <c r="AX4" s="1">
        <f t="shared" ref="AX4:AX14" si="17">IF(Q4&gt;$AF$3,1,0)</f>
        <v>0</v>
      </c>
      <c r="AY4" s="1">
        <f t="shared" ref="AY4:AY14" si="18">IF(R4&gt;$AF$3,1,0)</f>
        <v>0</v>
      </c>
      <c r="AZ4" s="1">
        <f t="shared" ref="AZ4:AZ14" si="19">IF(S4&gt;$AF$3,1,0)</f>
        <v>0</v>
      </c>
      <c r="BA4" s="1">
        <f t="shared" ref="BA4:BA14" si="20">IF(T4&gt;$AF$3,1,0)</f>
        <v>0</v>
      </c>
      <c r="BB4" s="1">
        <f t="shared" ref="BB4:BB14" si="21">IF(U4&gt;$AF$3,1,0)</f>
        <v>0</v>
      </c>
      <c r="BC4" s="1">
        <f t="shared" ref="BC4:BC14" si="22">IF(V4&gt;$AF$3,1,0)</f>
        <v>0</v>
      </c>
      <c r="BD4" s="1">
        <f t="shared" ref="BD4:BD14" si="23">IF(W4&gt;$AF$3,1,0)</f>
        <v>0</v>
      </c>
      <c r="BE4" s="1">
        <f t="shared" ref="BE4:BE14" si="24">IF(X4&gt;$AF$3,1,0)</f>
        <v>0</v>
      </c>
      <c r="BF4" s="1">
        <f t="shared" ref="BF4:BF14" si="25">IF(Y4&gt;$AF$3,1,0)</f>
        <v>0</v>
      </c>
      <c r="BG4" s="1">
        <f t="shared" ref="BG4:BG14" si="26">IF(Z4&gt;$AF$3,1,0)</f>
        <v>0</v>
      </c>
      <c r="BH4" s="1">
        <f t="shared" ref="BH4:BH14" si="27">IF(AA4&gt;$AF$3,1,0)</f>
        <v>0</v>
      </c>
      <c r="BI4" s="1">
        <f t="shared" ref="BI4:BI14" si="28">IF(AB4&gt;$AF$3,1,0)</f>
        <v>1</v>
      </c>
      <c r="BJ4" s="1">
        <f t="shared" ref="BJ4:BJ14" si="29">IF(AC4&gt;$AF$3,1,0)</f>
        <v>0</v>
      </c>
      <c r="BK4" s="1">
        <f t="shared" ref="BK4:BK14" si="30">IF(AD4&gt;$AF$3,1,0)</f>
        <v>0</v>
      </c>
      <c r="BL4" s="1">
        <f t="shared" ref="BL4:BL14" si="31">IF(AE4&gt;$AF$3,1,0)</f>
        <v>1</v>
      </c>
      <c r="BN4" s="3" t="s">
        <v>3</v>
      </c>
      <c r="BO4" s="1">
        <f t="shared" ref="BO4:BO32" si="32">0.3*AI4</f>
        <v>0.3</v>
      </c>
      <c r="BP4" s="1">
        <f t="shared" ref="BP4:BP32" si="33">0.3*AJ4</f>
        <v>0</v>
      </c>
      <c r="BQ4" s="1">
        <f t="shared" ref="BQ4:BQ32" si="34">0.3*AK4</f>
        <v>0.3</v>
      </c>
      <c r="BR4" s="1">
        <f t="shared" ref="BR4:BR32" si="35">0.3*AL4</f>
        <v>0</v>
      </c>
      <c r="BS4" s="1">
        <f t="shared" ref="BS4:BS32" si="36">0.3*AM4</f>
        <v>0</v>
      </c>
      <c r="BT4" s="1">
        <f t="shared" ref="BT4:BT32" si="37">0.3*AN4</f>
        <v>0</v>
      </c>
      <c r="BU4" s="1">
        <f t="shared" ref="BU4:BU32" si="38">0.3*AO4</f>
        <v>0</v>
      </c>
      <c r="BV4" s="1">
        <f t="shared" ref="BV4:BV32" si="39">0.3*AP4</f>
        <v>0</v>
      </c>
      <c r="BW4" s="1">
        <f t="shared" ref="BW4:BW32" si="40">0.3*AQ4</f>
        <v>0</v>
      </c>
      <c r="BX4" s="1">
        <f t="shared" ref="BX4:BX32" si="41">0.3*AR4</f>
        <v>0</v>
      </c>
      <c r="BY4" s="1">
        <f t="shared" ref="BY4:BY32" si="42">0.3*AS4</f>
        <v>0</v>
      </c>
      <c r="BZ4" s="1">
        <f t="shared" ref="BZ4:BZ32" si="43">0.3*AT4</f>
        <v>0</v>
      </c>
      <c r="CA4" s="1">
        <f t="shared" ref="CA4:CA32" si="44">0.3*AU4</f>
        <v>0</v>
      </c>
      <c r="CB4" s="1">
        <f t="shared" ref="CB4:CB32" si="45">0.3*AV4</f>
        <v>0.3</v>
      </c>
      <c r="CC4" s="1">
        <f t="shared" ref="CC4:CC32" si="46">0.3*AW4</f>
        <v>0</v>
      </c>
      <c r="CD4" s="1">
        <f t="shared" ref="CD4:CD32" si="47">0.3*AX4</f>
        <v>0</v>
      </c>
      <c r="CE4" s="1">
        <f t="shared" ref="CE4:CE32" si="48">0.3*AY4</f>
        <v>0</v>
      </c>
      <c r="CF4" s="1">
        <f t="shared" ref="CF4:CF32" si="49">0.3*AZ4</f>
        <v>0</v>
      </c>
      <c r="CG4" s="1">
        <f t="shared" ref="CG4:CG32" si="50">0.3*BA4</f>
        <v>0</v>
      </c>
      <c r="CH4" s="1">
        <f t="shared" ref="CH4:CH32" si="51">0.3*BB4</f>
        <v>0</v>
      </c>
      <c r="CI4" s="1">
        <f t="shared" ref="CI4:CI32" si="52">0.3*BC4</f>
        <v>0</v>
      </c>
      <c r="CJ4" s="1">
        <f t="shared" ref="CJ4:CJ32" si="53">0.3*BD4</f>
        <v>0</v>
      </c>
      <c r="CK4" s="1">
        <f t="shared" ref="CK4:CK32" si="54">0.3*BE4</f>
        <v>0</v>
      </c>
      <c r="CL4" s="1">
        <f t="shared" ref="CL4:CL32" si="55">0.3*BF4</f>
        <v>0</v>
      </c>
      <c r="CM4" s="1">
        <f t="shared" ref="CM4:CM32" si="56">0.3*BG4</f>
        <v>0</v>
      </c>
      <c r="CN4" s="1">
        <f t="shared" ref="CN4:CN32" si="57">0.3*BH4</f>
        <v>0</v>
      </c>
      <c r="CO4" s="1">
        <f t="shared" ref="CO4:CO32" si="58">0.3*BI4</f>
        <v>0.3</v>
      </c>
      <c r="CP4" s="1">
        <f t="shared" ref="CP4:CP32" si="59">0.3*BJ4</f>
        <v>0</v>
      </c>
      <c r="CQ4" s="1">
        <f t="shared" ref="CQ4:CQ32" si="60">0.3*BK4</f>
        <v>0</v>
      </c>
      <c r="CR4" s="1">
        <f t="shared" ref="CR4:CR32" si="61">0.3*BL4</f>
        <v>0.3</v>
      </c>
    </row>
    <row r="5" spans="1:96" x14ac:dyDescent="0.25">
      <c r="A5" s="3" t="s">
        <v>4</v>
      </c>
      <c r="B5" s="1">
        <v>73</v>
      </c>
      <c r="C5" s="1">
        <v>11</v>
      </c>
      <c r="D5" s="7"/>
      <c r="E5" s="1">
        <v>2</v>
      </c>
      <c r="F5" s="1">
        <v>12</v>
      </c>
      <c r="G5" s="1">
        <v>8</v>
      </c>
      <c r="H5" s="1">
        <v>13</v>
      </c>
      <c r="I5" s="1">
        <v>0</v>
      </c>
      <c r="J5" s="1">
        <v>3</v>
      </c>
      <c r="K5" s="1">
        <v>12</v>
      </c>
      <c r="L5" s="1">
        <v>12</v>
      </c>
      <c r="M5" s="1">
        <v>22</v>
      </c>
      <c r="N5" s="1">
        <v>2</v>
      </c>
      <c r="O5" s="1">
        <v>46</v>
      </c>
      <c r="P5" s="1">
        <v>15</v>
      </c>
      <c r="Q5" s="1">
        <v>0</v>
      </c>
      <c r="R5" s="1">
        <v>12</v>
      </c>
      <c r="S5" s="1">
        <v>0</v>
      </c>
      <c r="T5" s="1">
        <v>10</v>
      </c>
      <c r="U5" s="1">
        <v>10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17</v>
      </c>
      <c r="AC5" s="1">
        <v>3</v>
      </c>
      <c r="AD5" s="1">
        <v>4</v>
      </c>
      <c r="AE5" s="1">
        <v>21</v>
      </c>
      <c r="AH5" s="3" t="s">
        <v>4</v>
      </c>
      <c r="AI5" s="1">
        <f t="shared" si="2"/>
        <v>1</v>
      </c>
      <c r="AJ5" s="1">
        <f t="shared" si="3"/>
        <v>1</v>
      </c>
      <c r="AK5" s="1">
        <f t="shared" si="4"/>
        <v>0</v>
      </c>
      <c r="AL5" s="1">
        <f t="shared" si="5"/>
        <v>0</v>
      </c>
      <c r="AM5" s="1">
        <f t="shared" si="6"/>
        <v>1</v>
      </c>
      <c r="AN5" s="1">
        <f t="shared" si="7"/>
        <v>1</v>
      </c>
      <c r="AO5" s="1">
        <f t="shared" si="8"/>
        <v>1</v>
      </c>
      <c r="AP5" s="1">
        <f t="shared" si="9"/>
        <v>0</v>
      </c>
      <c r="AQ5" s="1">
        <f t="shared" si="10"/>
        <v>0</v>
      </c>
      <c r="AR5" s="1">
        <f t="shared" si="11"/>
        <v>1</v>
      </c>
      <c r="AS5" s="1">
        <f t="shared" si="12"/>
        <v>1</v>
      </c>
      <c r="AT5" s="1">
        <f t="shared" si="13"/>
        <v>1</v>
      </c>
      <c r="AU5" s="1">
        <f t="shared" si="14"/>
        <v>0</v>
      </c>
      <c r="AV5" s="1">
        <f t="shared" si="15"/>
        <v>1</v>
      </c>
      <c r="AW5" s="1">
        <f t="shared" si="16"/>
        <v>1</v>
      </c>
      <c r="AX5" s="1">
        <f t="shared" si="17"/>
        <v>0</v>
      </c>
      <c r="AY5" s="1">
        <f t="shared" si="18"/>
        <v>1</v>
      </c>
      <c r="AZ5" s="1">
        <f t="shared" si="19"/>
        <v>0</v>
      </c>
      <c r="BA5" s="1">
        <f t="shared" si="20"/>
        <v>1</v>
      </c>
      <c r="BB5" s="1">
        <f t="shared" si="21"/>
        <v>1</v>
      </c>
      <c r="BC5" s="1">
        <f t="shared" si="22"/>
        <v>0</v>
      </c>
      <c r="BD5" s="1">
        <f t="shared" si="23"/>
        <v>0</v>
      </c>
      <c r="BE5" s="1">
        <f t="shared" si="24"/>
        <v>0</v>
      </c>
      <c r="BF5" s="1">
        <f t="shared" si="25"/>
        <v>0</v>
      </c>
      <c r="BG5" s="1">
        <f t="shared" si="26"/>
        <v>0</v>
      </c>
      <c r="BH5" s="1">
        <f t="shared" si="27"/>
        <v>0</v>
      </c>
      <c r="BI5" s="1">
        <f t="shared" si="28"/>
        <v>1</v>
      </c>
      <c r="BJ5" s="1">
        <f t="shared" si="29"/>
        <v>0</v>
      </c>
      <c r="BK5" s="1">
        <f t="shared" si="30"/>
        <v>0</v>
      </c>
      <c r="BL5" s="1">
        <f t="shared" si="31"/>
        <v>1</v>
      </c>
      <c r="BN5" s="3" t="s">
        <v>4</v>
      </c>
      <c r="BO5" s="1">
        <f t="shared" si="32"/>
        <v>0.3</v>
      </c>
      <c r="BP5" s="1">
        <f t="shared" si="33"/>
        <v>0.3</v>
      </c>
      <c r="BQ5" s="1">
        <f t="shared" si="34"/>
        <v>0</v>
      </c>
      <c r="BR5" s="1">
        <f t="shared" si="35"/>
        <v>0</v>
      </c>
      <c r="BS5" s="1">
        <f t="shared" si="36"/>
        <v>0.3</v>
      </c>
      <c r="BT5" s="1">
        <f t="shared" si="37"/>
        <v>0.3</v>
      </c>
      <c r="BU5" s="1">
        <f t="shared" si="38"/>
        <v>0.3</v>
      </c>
      <c r="BV5" s="1">
        <f t="shared" si="39"/>
        <v>0</v>
      </c>
      <c r="BW5" s="1">
        <f t="shared" si="40"/>
        <v>0</v>
      </c>
      <c r="BX5" s="1">
        <f t="shared" si="41"/>
        <v>0.3</v>
      </c>
      <c r="BY5" s="1">
        <f t="shared" si="42"/>
        <v>0.3</v>
      </c>
      <c r="BZ5" s="1">
        <f t="shared" si="43"/>
        <v>0.3</v>
      </c>
      <c r="CA5" s="1">
        <f t="shared" si="44"/>
        <v>0</v>
      </c>
      <c r="CB5" s="1">
        <f t="shared" si="45"/>
        <v>0.3</v>
      </c>
      <c r="CC5" s="1">
        <f t="shared" si="46"/>
        <v>0.3</v>
      </c>
      <c r="CD5" s="1">
        <f t="shared" si="47"/>
        <v>0</v>
      </c>
      <c r="CE5" s="1">
        <f t="shared" si="48"/>
        <v>0.3</v>
      </c>
      <c r="CF5" s="1">
        <f t="shared" si="49"/>
        <v>0</v>
      </c>
      <c r="CG5" s="1">
        <f t="shared" si="50"/>
        <v>0.3</v>
      </c>
      <c r="CH5" s="1">
        <f t="shared" si="51"/>
        <v>0.3</v>
      </c>
      <c r="CI5" s="1">
        <f t="shared" si="52"/>
        <v>0</v>
      </c>
      <c r="CJ5" s="1">
        <f t="shared" si="53"/>
        <v>0</v>
      </c>
      <c r="CK5" s="1">
        <f t="shared" si="54"/>
        <v>0</v>
      </c>
      <c r="CL5" s="1">
        <f t="shared" si="55"/>
        <v>0</v>
      </c>
      <c r="CM5" s="1">
        <f t="shared" si="56"/>
        <v>0</v>
      </c>
      <c r="CN5" s="1">
        <f t="shared" si="57"/>
        <v>0</v>
      </c>
      <c r="CO5" s="1">
        <f t="shared" si="58"/>
        <v>0.3</v>
      </c>
      <c r="CP5" s="1">
        <f t="shared" si="59"/>
        <v>0</v>
      </c>
      <c r="CQ5" s="1">
        <f t="shared" si="60"/>
        <v>0</v>
      </c>
      <c r="CR5" s="1">
        <f t="shared" si="61"/>
        <v>0.3</v>
      </c>
    </row>
    <row r="6" spans="1:96" x14ac:dyDescent="0.25">
      <c r="A6" s="3" t="s">
        <v>5</v>
      </c>
      <c r="B6" s="1">
        <v>33</v>
      </c>
      <c r="C6" s="1">
        <v>1</v>
      </c>
      <c r="D6" s="1">
        <v>2</v>
      </c>
      <c r="E6" s="7"/>
      <c r="F6" s="1">
        <v>5</v>
      </c>
      <c r="G6" s="1">
        <v>5</v>
      </c>
      <c r="H6" s="1">
        <v>7</v>
      </c>
      <c r="I6" s="1">
        <v>3</v>
      </c>
      <c r="J6" s="8">
        <v>5</v>
      </c>
      <c r="K6" s="1">
        <v>0</v>
      </c>
      <c r="L6" s="1">
        <v>0</v>
      </c>
      <c r="M6" s="1">
        <v>0</v>
      </c>
      <c r="N6" s="1">
        <v>34</v>
      </c>
      <c r="O6" s="1">
        <v>6</v>
      </c>
      <c r="P6" s="1">
        <v>0</v>
      </c>
      <c r="Q6" s="1">
        <v>0</v>
      </c>
      <c r="R6" s="1">
        <v>0</v>
      </c>
      <c r="S6" s="1">
        <v>0</v>
      </c>
      <c r="T6" s="1">
        <v>3</v>
      </c>
      <c r="U6" s="1">
        <v>7</v>
      </c>
      <c r="V6" s="1">
        <v>2</v>
      </c>
      <c r="W6" s="1">
        <v>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1</v>
      </c>
      <c r="AE6" s="1">
        <v>0</v>
      </c>
      <c r="AH6" s="3" t="s">
        <v>5</v>
      </c>
      <c r="AI6" s="1">
        <f t="shared" si="2"/>
        <v>1</v>
      </c>
      <c r="AJ6" s="1">
        <f t="shared" si="3"/>
        <v>0</v>
      </c>
      <c r="AK6" s="1">
        <f t="shared" si="4"/>
        <v>0</v>
      </c>
      <c r="AL6" s="1">
        <f t="shared" si="5"/>
        <v>0</v>
      </c>
      <c r="AM6" s="1">
        <f t="shared" si="6"/>
        <v>0</v>
      </c>
      <c r="AN6" s="1">
        <f t="shared" si="7"/>
        <v>0</v>
      </c>
      <c r="AO6" s="1">
        <f t="shared" si="8"/>
        <v>1</v>
      </c>
      <c r="AP6" s="1">
        <f t="shared" si="9"/>
        <v>0</v>
      </c>
      <c r="AQ6" s="1">
        <f t="shared" si="10"/>
        <v>0</v>
      </c>
      <c r="AR6" s="1">
        <f t="shared" si="11"/>
        <v>0</v>
      </c>
      <c r="AS6" s="1">
        <f t="shared" si="12"/>
        <v>0</v>
      </c>
      <c r="AT6" s="1">
        <f t="shared" si="13"/>
        <v>0</v>
      </c>
      <c r="AU6" s="1">
        <f t="shared" si="14"/>
        <v>1</v>
      </c>
      <c r="AV6" s="1">
        <f t="shared" si="15"/>
        <v>1</v>
      </c>
      <c r="AW6" s="1">
        <f t="shared" si="16"/>
        <v>0</v>
      </c>
      <c r="AX6" s="1">
        <f t="shared" si="17"/>
        <v>0</v>
      </c>
      <c r="AY6" s="1">
        <f t="shared" si="18"/>
        <v>0</v>
      </c>
      <c r="AZ6" s="1">
        <f t="shared" si="19"/>
        <v>0</v>
      </c>
      <c r="BA6" s="1">
        <f t="shared" si="20"/>
        <v>0</v>
      </c>
      <c r="BB6" s="1">
        <f t="shared" si="21"/>
        <v>1</v>
      </c>
      <c r="BC6" s="1">
        <f t="shared" si="22"/>
        <v>0</v>
      </c>
      <c r="BD6" s="1">
        <f t="shared" si="23"/>
        <v>0</v>
      </c>
      <c r="BE6" s="1">
        <f t="shared" si="24"/>
        <v>0</v>
      </c>
      <c r="BF6" s="1">
        <f t="shared" si="25"/>
        <v>0</v>
      </c>
      <c r="BG6" s="1">
        <f t="shared" si="26"/>
        <v>0</v>
      </c>
      <c r="BH6" s="1">
        <f t="shared" si="27"/>
        <v>0</v>
      </c>
      <c r="BI6" s="1">
        <f t="shared" si="28"/>
        <v>0</v>
      </c>
      <c r="BJ6" s="1">
        <f t="shared" si="29"/>
        <v>0</v>
      </c>
      <c r="BK6" s="1">
        <f t="shared" si="30"/>
        <v>0</v>
      </c>
      <c r="BL6" s="1">
        <f t="shared" si="31"/>
        <v>0</v>
      </c>
      <c r="BN6" s="3" t="s">
        <v>5</v>
      </c>
      <c r="BO6" s="1">
        <f t="shared" si="32"/>
        <v>0.3</v>
      </c>
      <c r="BP6" s="1">
        <f t="shared" si="33"/>
        <v>0</v>
      </c>
      <c r="BQ6" s="1">
        <f t="shared" si="34"/>
        <v>0</v>
      </c>
      <c r="BR6" s="1">
        <f t="shared" si="35"/>
        <v>0</v>
      </c>
      <c r="BS6" s="1">
        <f t="shared" si="36"/>
        <v>0</v>
      </c>
      <c r="BT6" s="1">
        <f t="shared" si="37"/>
        <v>0</v>
      </c>
      <c r="BU6" s="1">
        <f t="shared" si="38"/>
        <v>0.3</v>
      </c>
      <c r="BV6" s="1">
        <f t="shared" si="39"/>
        <v>0</v>
      </c>
      <c r="BW6" s="1">
        <f t="shared" si="40"/>
        <v>0</v>
      </c>
      <c r="BX6" s="1">
        <f t="shared" si="41"/>
        <v>0</v>
      </c>
      <c r="BY6" s="1">
        <f t="shared" si="42"/>
        <v>0</v>
      </c>
      <c r="BZ6" s="1">
        <f t="shared" si="43"/>
        <v>0</v>
      </c>
      <c r="CA6" s="1">
        <f t="shared" si="44"/>
        <v>0.3</v>
      </c>
      <c r="CB6" s="1">
        <f t="shared" si="45"/>
        <v>0.3</v>
      </c>
      <c r="CC6" s="1">
        <f t="shared" si="46"/>
        <v>0</v>
      </c>
      <c r="CD6" s="1">
        <f t="shared" si="47"/>
        <v>0</v>
      </c>
      <c r="CE6" s="1">
        <f t="shared" si="48"/>
        <v>0</v>
      </c>
      <c r="CF6" s="1">
        <f t="shared" si="49"/>
        <v>0</v>
      </c>
      <c r="CG6" s="1">
        <f t="shared" si="50"/>
        <v>0</v>
      </c>
      <c r="CH6" s="1">
        <f t="shared" si="51"/>
        <v>0.3</v>
      </c>
      <c r="CI6" s="1">
        <f t="shared" si="52"/>
        <v>0</v>
      </c>
      <c r="CJ6" s="1">
        <f t="shared" si="53"/>
        <v>0</v>
      </c>
      <c r="CK6" s="1">
        <f t="shared" si="54"/>
        <v>0</v>
      </c>
      <c r="CL6" s="1">
        <f t="shared" si="55"/>
        <v>0</v>
      </c>
      <c r="CM6" s="1">
        <f t="shared" si="56"/>
        <v>0</v>
      </c>
      <c r="CN6" s="1">
        <f t="shared" si="57"/>
        <v>0</v>
      </c>
      <c r="CO6" s="1">
        <f t="shared" si="58"/>
        <v>0</v>
      </c>
      <c r="CP6" s="1">
        <f t="shared" si="59"/>
        <v>0</v>
      </c>
      <c r="CQ6" s="1">
        <f t="shared" si="60"/>
        <v>0</v>
      </c>
      <c r="CR6" s="1">
        <f t="shared" si="61"/>
        <v>0</v>
      </c>
    </row>
    <row r="7" spans="1:96" x14ac:dyDescent="0.25">
      <c r="A7" s="3" t="s">
        <v>6</v>
      </c>
      <c r="B7" s="1">
        <v>55</v>
      </c>
      <c r="C7" s="1">
        <v>2</v>
      </c>
      <c r="D7" s="1">
        <v>12</v>
      </c>
      <c r="E7" s="1">
        <v>5</v>
      </c>
      <c r="F7" s="7"/>
      <c r="G7" s="1">
        <v>22</v>
      </c>
      <c r="H7" s="1">
        <v>37</v>
      </c>
      <c r="I7" s="1">
        <v>1</v>
      </c>
      <c r="J7" s="1">
        <v>0</v>
      </c>
      <c r="K7" s="1">
        <v>13</v>
      </c>
      <c r="L7" s="1">
        <v>15</v>
      </c>
      <c r="M7" s="1">
        <v>6</v>
      </c>
      <c r="N7" s="1">
        <v>7</v>
      </c>
      <c r="O7" s="1">
        <v>3</v>
      </c>
      <c r="P7" s="1">
        <v>14</v>
      </c>
      <c r="Q7" s="1">
        <v>3</v>
      </c>
      <c r="R7" s="1">
        <v>9</v>
      </c>
      <c r="S7" s="1">
        <v>0</v>
      </c>
      <c r="T7" s="1">
        <v>10</v>
      </c>
      <c r="U7" s="1">
        <v>10</v>
      </c>
      <c r="V7" s="1">
        <v>0</v>
      </c>
      <c r="W7" s="1">
        <v>0</v>
      </c>
      <c r="X7" s="1">
        <v>1</v>
      </c>
      <c r="Y7" s="1">
        <v>0</v>
      </c>
      <c r="Z7" s="1">
        <v>0</v>
      </c>
      <c r="AA7" s="1">
        <v>0</v>
      </c>
      <c r="AB7" s="1">
        <v>17</v>
      </c>
      <c r="AC7" s="1">
        <v>3</v>
      </c>
      <c r="AD7" s="1">
        <v>4</v>
      </c>
      <c r="AE7" s="1">
        <v>21</v>
      </c>
      <c r="AH7" s="3" t="s">
        <v>6</v>
      </c>
      <c r="AI7" s="1">
        <f t="shared" si="2"/>
        <v>1</v>
      </c>
      <c r="AJ7" s="1">
        <f t="shared" si="3"/>
        <v>0</v>
      </c>
      <c r="AK7" s="1">
        <f t="shared" si="4"/>
        <v>1</v>
      </c>
      <c r="AL7" s="1">
        <f t="shared" si="5"/>
        <v>0</v>
      </c>
      <c r="AM7" s="1">
        <f t="shared" si="6"/>
        <v>0</v>
      </c>
      <c r="AN7" s="1">
        <f t="shared" si="7"/>
        <v>1</v>
      </c>
      <c r="AO7" s="1">
        <f t="shared" si="8"/>
        <v>1</v>
      </c>
      <c r="AP7" s="1">
        <f t="shared" si="9"/>
        <v>0</v>
      </c>
      <c r="AQ7" s="1">
        <f t="shared" si="10"/>
        <v>0</v>
      </c>
      <c r="AR7" s="1">
        <f t="shared" si="11"/>
        <v>1</v>
      </c>
      <c r="AS7" s="1">
        <f t="shared" si="12"/>
        <v>1</v>
      </c>
      <c r="AT7" s="1">
        <f t="shared" si="13"/>
        <v>1</v>
      </c>
      <c r="AU7" s="1">
        <f t="shared" si="14"/>
        <v>1</v>
      </c>
      <c r="AV7" s="1">
        <f t="shared" si="15"/>
        <v>0</v>
      </c>
      <c r="AW7" s="1">
        <f t="shared" si="16"/>
        <v>1</v>
      </c>
      <c r="AX7" s="1">
        <f t="shared" si="17"/>
        <v>0</v>
      </c>
      <c r="AY7" s="1">
        <f t="shared" si="18"/>
        <v>1</v>
      </c>
      <c r="AZ7" s="1">
        <f t="shared" si="19"/>
        <v>0</v>
      </c>
      <c r="BA7" s="1">
        <f t="shared" si="20"/>
        <v>1</v>
      </c>
      <c r="BB7" s="1">
        <f t="shared" si="21"/>
        <v>1</v>
      </c>
      <c r="BC7" s="1">
        <f t="shared" si="22"/>
        <v>0</v>
      </c>
      <c r="BD7" s="1">
        <f t="shared" si="23"/>
        <v>0</v>
      </c>
      <c r="BE7" s="1">
        <f t="shared" si="24"/>
        <v>0</v>
      </c>
      <c r="BF7" s="1">
        <f t="shared" si="25"/>
        <v>0</v>
      </c>
      <c r="BG7" s="1">
        <f t="shared" si="26"/>
        <v>0</v>
      </c>
      <c r="BH7" s="1">
        <f t="shared" si="27"/>
        <v>0</v>
      </c>
      <c r="BI7" s="1">
        <f t="shared" si="28"/>
        <v>1</v>
      </c>
      <c r="BJ7" s="1">
        <f t="shared" si="29"/>
        <v>0</v>
      </c>
      <c r="BK7" s="1">
        <f t="shared" si="30"/>
        <v>0</v>
      </c>
      <c r="BL7" s="1">
        <f t="shared" si="31"/>
        <v>1</v>
      </c>
      <c r="BN7" s="3" t="s">
        <v>6</v>
      </c>
      <c r="BO7" s="1">
        <f t="shared" si="32"/>
        <v>0.3</v>
      </c>
      <c r="BP7" s="1">
        <f t="shared" si="33"/>
        <v>0</v>
      </c>
      <c r="BQ7" s="1">
        <f t="shared" si="34"/>
        <v>0.3</v>
      </c>
      <c r="BR7" s="1">
        <f t="shared" si="35"/>
        <v>0</v>
      </c>
      <c r="BS7" s="1">
        <f t="shared" si="36"/>
        <v>0</v>
      </c>
      <c r="BT7" s="1">
        <f t="shared" si="37"/>
        <v>0.3</v>
      </c>
      <c r="BU7" s="1">
        <f t="shared" si="38"/>
        <v>0.3</v>
      </c>
      <c r="BV7" s="1">
        <f t="shared" si="39"/>
        <v>0</v>
      </c>
      <c r="BW7" s="1">
        <f t="shared" si="40"/>
        <v>0</v>
      </c>
      <c r="BX7" s="1">
        <f t="shared" si="41"/>
        <v>0.3</v>
      </c>
      <c r="BY7" s="1">
        <f t="shared" si="42"/>
        <v>0.3</v>
      </c>
      <c r="BZ7" s="1">
        <f t="shared" si="43"/>
        <v>0.3</v>
      </c>
      <c r="CA7" s="1">
        <f t="shared" si="44"/>
        <v>0.3</v>
      </c>
      <c r="CB7" s="1">
        <f t="shared" si="45"/>
        <v>0</v>
      </c>
      <c r="CC7" s="1">
        <f t="shared" si="46"/>
        <v>0.3</v>
      </c>
      <c r="CD7" s="1">
        <f t="shared" si="47"/>
        <v>0</v>
      </c>
      <c r="CE7" s="1">
        <f t="shared" si="48"/>
        <v>0.3</v>
      </c>
      <c r="CF7" s="1">
        <f t="shared" si="49"/>
        <v>0</v>
      </c>
      <c r="CG7" s="1">
        <f t="shared" si="50"/>
        <v>0.3</v>
      </c>
      <c r="CH7" s="1">
        <f t="shared" si="51"/>
        <v>0.3</v>
      </c>
      <c r="CI7" s="1">
        <f t="shared" si="52"/>
        <v>0</v>
      </c>
      <c r="CJ7" s="1">
        <f t="shared" si="53"/>
        <v>0</v>
      </c>
      <c r="CK7" s="1">
        <f t="shared" si="54"/>
        <v>0</v>
      </c>
      <c r="CL7" s="1">
        <f t="shared" si="55"/>
        <v>0</v>
      </c>
      <c r="CM7" s="1">
        <f t="shared" si="56"/>
        <v>0</v>
      </c>
      <c r="CN7" s="1">
        <f t="shared" si="57"/>
        <v>0</v>
      </c>
      <c r="CO7" s="1">
        <f t="shared" si="58"/>
        <v>0.3</v>
      </c>
      <c r="CP7" s="1">
        <f t="shared" si="59"/>
        <v>0</v>
      </c>
      <c r="CQ7" s="1">
        <f t="shared" si="60"/>
        <v>0</v>
      </c>
      <c r="CR7" s="1">
        <f t="shared" si="61"/>
        <v>0.3</v>
      </c>
    </row>
    <row r="8" spans="1:96" x14ac:dyDescent="0.25">
      <c r="A8" s="3" t="s">
        <v>7</v>
      </c>
      <c r="B8" s="1">
        <v>38</v>
      </c>
      <c r="C8" s="1">
        <v>1</v>
      </c>
      <c r="D8" s="1">
        <v>8</v>
      </c>
      <c r="E8" s="1">
        <v>5</v>
      </c>
      <c r="F8" s="1">
        <v>22</v>
      </c>
      <c r="G8" s="7"/>
      <c r="H8" s="1">
        <v>37</v>
      </c>
      <c r="I8" s="1">
        <v>0</v>
      </c>
      <c r="J8" s="1">
        <v>0</v>
      </c>
      <c r="K8" s="1">
        <v>10</v>
      </c>
      <c r="L8" s="1">
        <v>12</v>
      </c>
      <c r="M8" s="1">
        <v>4</v>
      </c>
      <c r="N8" s="1">
        <v>6</v>
      </c>
      <c r="O8" s="1">
        <v>3</v>
      </c>
      <c r="P8" s="1">
        <v>13</v>
      </c>
      <c r="Q8" s="1">
        <v>4</v>
      </c>
      <c r="R8" s="1">
        <v>10</v>
      </c>
      <c r="S8" s="1">
        <v>0</v>
      </c>
      <c r="T8" s="1">
        <v>14</v>
      </c>
      <c r="U8" s="1">
        <v>16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1</v>
      </c>
      <c r="AE8" s="1">
        <v>4</v>
      </c>
      <c r="AH8" s="3" t="s">
        <v>7</v>
      </c>
      <c r="AI8" s="1">
        <f t="shared" si="2"/>
        <v>1</v>
      </c>
      <c r="AJ8" s="1">
        <f t="shared" si="3"/>
        <v>0</v>
      </c>
      <c r="AK8" s="1">
        <f t="shared" si="4"/>
        <v>1</v>
      </c>
      <c r="AL8" s="1">
        <f t="shared" si="5"/>
        <v>0</v>
      </c>
      <c r="AM8" s="1">
        <f t="shared" si="6"/>
        <v>1</v>
      </c>
      <c r="AN8" s="1">
        <f t="shared" si="7"/>
        <v>0</v>
      </c>
      <c r="AO8" s="1">
        <f t="shared" si="8"/>
        <v>1</v>
      </c>
      <c r="AP8" s="1">
        <f t="shared" si="9"/>
        <v>0</v>
      </c>
      <c r="AQ8" s="1">
        <f t="shared" si="10"/>
        <v>0</v>
      </c>
      <c r="AR8" s="1">
        <f t="shared" si="11"/>
        <v>1</v>
      </c>
      <c r="AS8" s="1">
        <f t="shared" si="12"/>
        <v>1</v>
      </c>
      <c r="AT8" s="1">
        <f t="shared" si="13"/>
        <v>0</v>
      </c>
      <c r="AU8" s="1">
        <f t="shared" si="14"/>
        <v>1</v>
      </c>
      <c r="AV8" s="1">
        <f t="shared" si="15"/>
        <v>0</v>
      </c>
      <c r="AW8" s="1">
        <f t="shared" si="16"/>
        <v>1</v>
      </c>
      <c r="AX8" s="1">
        <f t="shared" si="17"/>
        <v>0</v>
      </c>
      <c r="AY8" s="1">
        <f t="shared" si="18"/>
        <v>1</v>
      </c>
      <c r="AZ8" s="1">
        <f t="shared" si="19"/>
        <v>0</v>
      </c>
      <c r="BA8" s="1">
        <f t="shared" si="20"/>
        <v>1</v>
      </c>
      <c r="BB8" s="1">
        <f t="shared" si="21"/>
        <v>1</v>
      </c>
      <c r="BC8" s="1">
        <f t="shared" si="22"/>
        <v>0</v>
      </c>
      <c r="BD8" s="1">
        <f t="shared" si="23"/>
        <v>0</v>
      </c>
      <c r="BE8" s="1">
        <f t="shared" si="24"/>
        <v>0</v>
      </c>
      <c r="BF8" s="1">
        <f t="shared" si="25"/>
        <v>0</v>
      </c>
      <c r="BG8" s="1">
        <f t="shared" si="26"/>
        <v>0</v>
      </c>
      <c r="BH8" s="1">
        <f t="shared" si="27"/>
        <v>0</v>
      </c>
      <c r="BI8" s="1">
        <f t="shared" si="28"/>
        <v>0</v>
      </c>
      <c r="BJ8" s="1">
        <f t="shared" si="29"/>
        <v>0</v>
      </c>
      <c r="BK8" s="1">
        <f t="shared" si="30"/>
        <v>0</v>
      </c>
      <c r="BL8" s="1">
        <f t="shared" si="31"/>
        <v>0</v>
      </c>
      <c r="BN8" s="3" t="s">
        <v>7</v>
      </c>
      <c r="BO8" s="1">
        <f t="shared" si="32"/>
        <v>0.3</v>
      </c>
      <c r="BP8" s="1">
        <f t="shared" si="33"/>
        <v>0</v>
      </c>
      <c r="BQ8" s="1">
        <f t="shared" si="34"/>
        <v>0.3</v>
      </c>
      <c r="BR8" s="1">
        <f t="shared" si="35"/>
        <v>0</v>
      </c>
      <c r="BS8" s="1">
        <f t="shared" si="36"/>
        <v>0.3</v>
      </c>
      <c r="BT8" s="1">
        <f t="shared" si="37"/>
        <v>0</v>
      </c>
      <c r="BU8" s="1">
        <f t="shared" si="38"/>
        <v>0.3</v>
      </c>
      <c r="BV8" s="1">
        <f t="shared" si="39"/>
        <v>0</v>
      </c>
      <c r="BW8" s="1">
        <f t="shared" si="40"/>
        <v>0</v>
      </c>
      <c r="BX8" s="1">
        <f t="shared" si="41"/>
        <v>0.3</v>
      </c>
      <c r="BY8" s="1">
        <f t="shared" si="42"/>
        <v>0.3</v>
      </c>
      <c r="BZ8" s="1">
        <f t="shared" si="43"/>
        <v>0</v>
      </c>
      <c r="CA8" s="1">
        <f t="shared" si="44"/>
        <v>0.3</v>
      </c>
      <c r="CB8" s="1">
        <f t="shared" si="45"/>
        <v>0</v>
      </c>
      <c r="CC8" s="1">
        <f t="shared" si="46"/>
        <v>0.3</v>
      </c>
      <c r="CD8" s="1">
        <f t="shared" si="47"/>
        <v>0</v>
      </c>
      <c r="CE8" s="1">
        <f t="shared" si="48"/>
        <v>0.3</v>
      </c>
      <c r="CF8" s="1">
        <f t="shared" si="49"/>
        <v>0</v>
      </c>
      <c r="CG8" s="1">
        <f t="shared" si="50"/>
        <v>0.3</v>
      </c>
      <c r="CH8" s="1">
        <f t="shared" si="51"/>
        <v>0.3</v>
      </c>
      <c r="CI8" s="1">
        <f t="shared" si="52"/>
        <v>0</v>
      </c>
      <c r="CJ8" s="1">
        <f t="shared" si="53"/>
        <v>0</v>
      </c>
      <c r="CK8" s="1">
        <f t="shared" si="54"/>
        <v>0</v>
      </c>
      <c r="CL8" s="1">
        <f t="shared" si="55"/>
        <v>0</v>
      </c>
      <c r="CM8" s="1">
        <f t="shared" si="56"/>
        <v>0</v>
      </c>
      <c r="CN8" s="1">
        <f t="shared" si="57"/>
        <v>0</v>
      </c>
      <c r="CO8" s="1">
        <f t="shared" si="58"/>
        <v>0</v>
      </c>
      <c r="CP8" s="1">
        <f t="shared" si="59"/>
        <v>0</v>
      </c>
      <c r="CQ8" s="1">
        <f t="shared" si="60"/>
        <v>0</v>
      </c>
      <c r="CR8" s="1">
        <f t="shared" si="61"/>
        <v>0</v>
      </c>
    </row>
    <row r="9" spans="1:96" x14ac:dyDescent="0.25">
      <c r="A9" s="3" t="s">
        <v>8</v>
      </c>
      <c r="B9" s="1">
        <v>59</v>
      </c>
      <c r="C9" s="1">
        <v>1</v>
      </c>
      <c r="D9" s="1">
        <v>13</v>
      </c>
      <c r="E9" s="1">
        <v>7</v>
      </c>
      <c r="F9" s="1">
        <v>37</v>
      </c>
      <c r="G9" s="1">
        <v>37</v>
      </c>
      <c r="H9" s="7"/>
      <c r="I9" s="1">
        <v>0</v>
      </c>
      <c r="J9" s="1">
        <v>0</v>
      </c>
      <c r="K9" s="1">
        <v>10</v>
      </c>
      <c r="L9" s="1">
        <v>12</v>
      </c>
      <c r="M9" s="1">
        <v>4</v>
      </c>
      <c r="N9" s="1">
        <v>6</v>
      </c>
      <c r="O9" s="1">
        <v>3</v>
      </c>
      <c r="P9" s="1">
        <v>13</v>
      </c>
      <c r="Q9" s="1">
        <v>4</v>
      </c>
      <c r="R9" s="1">
        <v>10</v>
      </c>
      <c r="S9" s="1">
        <v>0</v>
      </c>
      <c r="T9" s="1">
        <v>14</v>
      </c>
      <c r="U9" s="1">
        <v>16</v>
      </c>
      <c r="V9" s="1">
        <v>0</v>
      </c>
      <c r="W9" s="1">
        <v>0</v>
      </c>
      <c r="X9" s="1">
        <v>1</v>
      </c>
      <c r="Y9" s="1">
        <v>0</v>
      </c>
      <c r="Z9" s="1">
        <v>0</v>
      </c>
      <c r="AA9" s="1">
        <v>0</v>
      </c>
      <c r="AB9" s="1">
        <v>1</v>
      </c>
      <c r="AC9" s="1">
        <v>0</v>
      </c>
      <c r="AD9" s="1">
        <v>1</v>
      </c>
      <c r="AE9" s="1">
        <v>4</v>
      </c>
      <c r="AH9" s="3" t="s">
        <v>8</v>
      </c>
      <c r="AI9" s="1">
        <f t="shared" si="2"/>
        <v>1</v>
      </c>
      <c r="AJ9" s="1">
        <f t="shared" si="3"/>
        <v>0</v>
      </c>
      <c r="AK9" s="1">
        <f t="shared" si="4"/>
        <v>1</v>
      </c>
      <c r="AL9" s="1">
        <f t="shared" si="5"/>
        <v>1</v>
      </c>
      <c r="AM9" s="1">
        <f t="shared" si="6"/>
        <v>1</v>
      </c>
      <c r="AN9" s="1">
        <f t="shared" si="7"/>
        <v>1</v>
      </c>
      <c r="AO9" s="1">
        <f t="shared" si="8"/>
        <v>0</v>
      </c>
      <c r="AP9" s="1">
        <f t="shared" si="9"/>
        <v>0</v>
      </c>
      <c r="AQ9" s="1">
        <f t="shared" si="10"/>
        <v>0</v>
      </c>
      <c r="AR9" s="1">
        <f t="shared" si="11"/>
        <v>1</v>
      </c>
      <c r="AS9" s="1">
        <f t="shared" si="12"/>
        <v>1</v>
      </c>
      <c r="AT9" s="1">
        <f t="shared" si="13"/>
        <v>0</v>
      </c>
      <c r="AU9" s="1">
        <f t="shared" si="14"/>
        <v>1</v>
      </c>
      <c r="AV9" s="1">
        <f t="shared" si="15"/>
        <v>0</v>
      </c>
      <c r="AW9" s="1">
        <f t="shared" si="16"/>
        <v>1</v>
      </c>
      <c r="AX9" s="1">
        <f t="shared" si="17"/>
        <v>0</v>
      </c>
      <c r="AY9" s="1">
        <f t="shared" si="18"/>
        <v>1</v>
      </c>
      <c r="AZ9" s="1">
        <f t="shared" si="19"/>
        <v>0</v>
      </c>
      <c r="BA9" s="1">
        <f t="shared" si="20"/>
        <v>1</v>
      </c>
      <c r="BB9" s="1">
        <f t="shared" si="21"/>
        <v>1</v>
      </c>
      <c r="BC9" s="1">
        <f t="shared" si="22"/>
        <v>0</v>
      </c>
      <c r="BD9" s="1">
        <f t="shared" si="23"/>
        <v>0</v>
      </c>
      <c r="BE9" s="1">
        <f t="shared" si="24"/>
        <v>0</v>
      </c>
      <c r="BF9" s="1">
        <f t="shared" si="25"/>
        <v>0</v>
      </c>
      <c r="BG9" s="1">
        <f t="shared" si="26"/>
        <v>0</v>
      </c>
      <c r="BH9" s="1">
        <f t="shared" si="27"/>
        <v>0</v>
      </c>
      <c r="BI9" s="1">
        <f t="shared" si="28"/>
        <v>0</v>
      </c>
      <c r="BJ9" s="1">
        <f t="shared" si="29"/>
        <v>0</v>
      </c>
      <c r="BK9" s="1">
        <f t="shared" si="30"/>
        <v>0</v>
      </c>
      <c r="BL9" s="1">
        <f t="shared" si="31"/>
        <v>0</v>
      </c>
      <c r="BN9" s="3" t="s">
        <v>8</v>
      </c>
      <c r="BO9" s="1">
        <f t="shared" si="32"/>
        <v>0.3</v>
      </c>
      <c r="BP9" s="1">
        <f t="shared" si="33"/>
        <v>0</v>
      </c>
      <c r="BQ9" s="1">
        <f t="shared" si="34"/>
        <v>0.3</v>
      </c>
      <c r="BR9" s="1">
        <f t="shared" si="35"/>
        <v>0.3</v>
      </c>
      <c r="BS9" s="1">
        <f t="shared" si="36"/>
        <v>0.3</v>
      </c>
      <c r="BT9" s="1">
        <f t="shared" si="37"/>
        <v>0.3</v>
      </c>
      <c r="BU9" s="1">
        <f t="shared" si="38"/>
        <v>0</v>
      </c>
      <c r="BV9" s="1">
        <f t="shared" si="39"/>
        <v>0</v>
      </c>
      <c r="BW9" s="1">
        <f t="shared" si="40"/>
        <v>0</v>
      </c>
      <c r="BX9" s="1">
        <f t="shared" si="41"/>
        <v>0.3</v>
      </c>
      <c r="BY9" s="1">
        <f t="shared" si="42"/>
        <v>0.3</v>
      </c>
      <c r="BZ9" s="1">
        <f t="shared" si="43"/>
        <v>0</v>
      </c>
      <c r="CA9" s="1">
        <f t="shared" si="44"/>
        <v>0.3</v>
      </c>
      <c r="CB9" s="1">
        <f t="shared" si="45"/>
        <v>0</v>
      </c>
      <c r="CC9" s="1">
        <f t="shared" si="46"/>
        <v>0.3</v>
      </c>
      <c r="CD9" s="1">
        <f t="shared" si="47"/>
        <v>0</v>
      </c>
      <c r="CE9" s="1">
        <f t="shared" si="48"/>
        <v>0.3</v>
      </c>
      <c r="CF9" s="1">
        <f t="shared" si="49"/>
        <v>0</v>
      </c>
      <c r="CG9" s="1">
        <f t="shared" si="50"/>
        <v>0.3</v>
      </c>
      <c r="CH9" s="1">
        <f t="shared" si="51"/>
        <v>0.3</v>
      </c>
      <c r="CI9" s="1">
        <f t="shared" si="52"/>
        <v>0</v>
      </c>
      <c r="CJ9" s="1">
        <f t="shared" si="53"/>
        <v>0</v>
      </c>
      <c r="CK9" s="1">
        <f t="shared" si="54"/>
        <v>0</v>
      </c>
      <c r="CL9" s="1">
        <f t="shared" si="55"/>
        <v>0</v>
      </c>
      <c r="CM9" s="1">
        <f t="shared" si="56"/>
        <v>0</v>
      </c>
      <c r="CN9" s="1">
        <f t="shared" si="57"/>
        <v>0</v>
      </c>
      <c r="CO9" s="1">
        <f t="shared" si="58"/>
        <v>0</v>
      </c>
      <c r="CP9" s="1">
        <f t="shared" si="59"/>
        <v>0</v>
      </c>
      <c r="CQ9" s="1">
        <f t="shared" si="60"/>
        <v>0</v>
      </c>
      <c r="CR9" s="1">
        <f t="shared" si="61"/>
        <v>0</v>
      </c>
    </row>
    <row r="10" spans="1:96" x14ac:dyDescent="0.25">
      <c r="A10" s="3" t="s">
        <v>9</v>
      </c>
      <c r="B10" s="1">
        <v>13</v>
      </c>
      <c r="C10" s="1">
        <v>0</v>
      </c>
      <c r="D10" s="1">
        <v>0</v>
      </c>
      <c r="E10" s="1">
        <v>3</v>
      </c>
      <c r="F10" s="1">
        <v>1</v>
      </c>
      <c r="G10" s="1">
        <v>0</v>
      </c>
      <c r="H10" s="1">
        <v>0</v>
      </c>
      <c r="I10" s="7"/>
      <c r="J10" s="1">
        <v>0</v>
      </c>
      <c r="K10" s="1">
        <v>5</v>
      </c>
      <c r="L10" s="1">
        <v>0</v>
      </c>
      <c r="M10" s="1">
        <v>0</v>
      </c>
      <c r="N10" s="1">
        <v>2</v>
      </c>
      <c r="O10" s="1">
        <v>5</v>
      </c>
      <c r="P10" s="1">
        <v>3</v>
      </c>
      <c r="Q10" s="1">
        <v>5</v>
      </c>
      <c r="R10" s="1">
        <v>3</v>
      </c>
      <c r="S10" s="1">
        <v>0</v>
      </c>
      <c r="T10" s="1">
        <v>1</v>
      </c>
      <c r="U10" s="1">
        <v>1</v>
      </c>
      <c r="V10" s="1">
        <v>18</v>
      </c>
      <c r="W10" s="1">
        <v>21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2</v>
      </c>
      <c r="AH10" s="3" t="s">
        <v>9</v>
      </c>
      <c r="AI10" s="1">
        <f t="shared" si="2"/>
        <v>1</v>
      </c>
      <c r="AJ10" s="1">
        <f t="shared" si="3"/>
        <v>0</v>
      </c>
      <c r="AK10" s="1">
        <f t="shared" si="4"/>
        <v>0</v>
      </c>
      <c r="AL10" s="1">
        <f t="shared" si="5"/>
        <v>0</v>
      </c>
      <c r="AM10" s="1">
        <f t="shared" si="6"/>
        <v>0</v>
      </c>
      <c r="AN10" s="1">
        <f t="shared" si="7"/>
        <v>0</v>
      </c>
      <c r="AO10" s="1">
        <f t="shared" si="8"/>
        <v>0</v>
      </c>
      <c r="AP10" s="1">
        <f t="shared" si="9"/>
        <v>0</v>
      </c>
      <c r="AQ10" s="1">
        <f t="shared" si="10"/>
        <v>0</v>
      </c>
      <c r="AR10" s="1">
        <f t="shared" si="11"/>
        <v>0</v>
      </c>
      <c r="AS10" s="1">
        <f t="shared" si="12"/>
        <v>0</v>
      </c>
      <c r="AT10" s="1">
        <f t="shared" si="13"/>
        <v>0</v>
      </c>
      <c r="AU10" s="1">
        <f t="shared" si="14"/>
        <v>0</v>
      </c>
      <c r="AV10" s="1">
        <f t="shared" si="15"/>
        <v>0</v>
      </c>
      <c r="AW10" s="1">
        <f t="shared" si="16"/>
        <v>0</v>
      </c>
      <c r="AX10" s="1">
        <f t="shared" si="17"/>
        <v>0</v>
      </c>
      <c r="AY10" s="1">
        <f t="shared" si="18"/>
        <v>0</v>
      </c>
      <c r="AZ10" s="1">
        <f t="shared" si="19"/>
        <v>0</v>
      </c>
      <c r="BA10" s="1">
        <f t="shared" si="20"/>
        <v>0</v>
      </c>
      <c r="BB10" s="1">
        <f t="shared" si="21"/>
        <v>0</v>
      </c>
      <c r="BC10" s="1">
        <f t="shared" si="22"/>
        <v>1</v>
      </c>
      <c r="BD10" s="1">
        <f t="shared" si="23"/>
        <v>1</v>
      </c>
      <c r="BE10" s="1">
        <f t="shared" si="24"/>
        <v>0</v>
      </c>
      <c r="BF10" s="1">
        <f t="shared" si="25"/>
        <v>0</v>
      </c>
      <c r="BG10" s="1">
        <f t="shared" si="26"/>
        <v>0</v>
      </c>
      <c r="BH10" s="1">
        <f t="shared" si="27"/>
        <v>0</v>
      </c>
      <c r="BI10" s="1">
        <f t="shared" si="28"/>
        <v>0</v>
      </c>
      <c r="BJ10" s="1">
        <f t="shared" si="29"/>
        <v>0</v>
      </c>
      <c r="BK10" s="1">
        <f t="shared" si="30"/>
        <v>0</v>
      </c>
      <c r="BL10" s="1">
        <f t="shared" si="31"/>
        <v>0</v>
      </c>
      <c r="BN10" s="3" t="s">
        <v>9</v>
      </c>
      <c r="BO10" s="1">
        <f t="shared" si="32"/>
        <v>0.3</v>
      </c>
      <c r="BP10" s="1">
        <f t="shared" si="33"/>
        <v>0</v>
      </c>
      <c r="BQ10" s="1">
        <f t="shared" si="34"/>
        <v>0</v>
      </c>
      <c r="BR10" s="1">
        <f t="shared" si="35"/>
        <v>0</v>
      </c>
      <c r="BS10" s="1">
        <f t="shared" si="36"/>
        <v>0</v>
      </c>
      <c r="BT10" s="1">
        <f t="shared" si="37"/>
        <v>0</v>
      </c>
      <c r="BU10" s="1">
        <f t="shared" si="38"/>
        <v>0</v>
      </c>
      <c r="BV10" s="1">
        <f t="shared" si="39"/>
        <v>0</v>
      </c>
      <c r="BW10" s="1">
        <f t="shared" si="40"/>
        <v>0</v>
      </c>
      <c r="BX10" s="1">
        <f t="shared" si="41"/>
        <v>0</v>
      </c>
      <c r="BY10" s="1">
        <f t="shared" si="42"/>
        <v>0</v>
      </c>
      <c r="BZ10" s="1">
        <f t="shared" si="43"/>
        <v>0</v>
      </c>
      <c r="CA10" s="1">
        <f t="shared" si="44"/>
        <v>0</v>
      </c>
      <c r="CB10" s="1">
        <f t="shared" si="45"/>
        <v>0</v>
      </c>
      <c r="CC10" s="1">
        <f t="shared" si="46"/>
        <v>0</v>
      </c>
      <c r="CD10" s="1">
        <f t="shared" si="47"/>
        <v>0</v>
      </c>
      <c r="CE10" s="1">
        <f t="shared" si="48"/>
        <v>0</v>
      </c>
      <c r="CF10" s="1">
        <f t="shared" si="49"/>
        <v>0</v>
      </c>
      <c r="CG10" s="1">
        <f t="shared" si="50"/>
        <v>0</v>
      </c>
      <c r="CH10" s="1">
        <f t="shared" si="51"/>
        <v>0</v>
      </c>
      <c r="CI10" s="1">
        <f t="shared" si="52"/>
        <v>0.3</v>
      </c>
      <c r="CJ10" s="1">
        <f t="shared" si="53"/>
        <v>0.3</v>
      </c>
      <c r="CK10" s="1">
        <f t="shared" si="54"/>
        <v>0</v>
      </c>
      <c r="CL10" s="1">
        <f t="shared" si="55"/>
        <v>0</v>
      </c>
      <c r="CM10" s="1">
        <f t="shared" si="56"/>
        <v>0</v>
      </c>
      <c r="CN10" s="1">
        <f t="shared" si="57"/>
        <v>0</v>
      </c>
      <c r="CO10" s="1">
        <f t="shared" si="58"/>
        <v>0</v>
      </c>
      <c r="CP10" s="1">
        <f t="shared" si="59"/>
        <v>0</v>
      </c>
      <c r="CQ10" s="1">
        <f t="shared" si="60"/>
        <v>0</v>
      </c>
      <c r="CR10" s="1">
        <f t="shared" si="61"/>
        <v>0</v>
      </c>
    </row>
    <row r="11" spans="1:96" x14ac:dyDescent="0.25">
      <c r="A11" s="3" t="s">
        <v>10</v>
      </c>
      <c r="B11" s="1">
        <v>19</v>
      </c>
      <c r="C11" s="1">
        <v>0</v>
      </c>
      <c r="D11" s="1">
        <v>3</v>
      </c>
      <c r="E11" s="8">
        <v>5</v>
      </c>
      <c r="F11" s="1">
        <v>0</v>
      </c>
      <c r="G11" s="1">
        <v>0</v>
      </c>
      <c r="H11" s="1">
        <v>0</v>
      </c>
      <c r="I11" s="1">
        <v>0</v>
      </c>
      <c r="J11" s="7"/>
      <c r="K11" s="1">
        <v>3</v>
      </c>
      <c r="L11" s="1">
        <v>1</v>
      </c>
      <c r="M11" s="1">
        <v>1</v>
      </c>
      <c r="N11" s="1">
        <v>4</v>
      </c>
      <c r="O11" s="1">
        <v>0</v>
      </c>
      <c r="P11" s="1">
        <v>0</v>
      </c>
      <c r="Q11" s="1">
        <v>4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H11" s="3" t="s">
        <v>10</v>
      </c>
      <c r="AI11" s="1">
        <f t="shared" si="2"/>
        <v>1</v>
      </c>
      <c r="AJ11" s="1">
        <f t="shared" si="3"/>
        <v>0</v>
      </c>
      <c r="AK11" s="1">
        <f t="shared" si="4"/>
        <v>0</v>
      </c>
      <c r="AL11" s="1">
        <f t="shared" si="5"/>
        <v>0</v>
      </c>
      <c r="AM11" s="1">
        <f t="shared" si="6"/>
        <v>0</v>
      </c>
      <c r="AN11" s="1">
        <f t="shared" si="7"/>
        <v>0</v>
      </c>
      <c r="AO11" s="1">
        <f t="shared" si="8"/>
        <v>0</v>
      </c>
      <c r="AP11" s="1">
        <f t="shared" si="9"/>
        <v>0</v>
      </c>
      <c r="AQ11" s="1">
        <f t="shared" si="10"/>
        <v>0</v>
      </c>
      <c r="AR11" s="1">
        <f t="shared" si="11"/>
        <v>0</v>
      </c>
      <c r="AS11" s="1">
        <f t="shared" si="12"/>
        <v>0</v>
      </c>
      <c r="AT11" s="1">
        <f t="shared" si="13"/>
        <v>0</v>
      </c>
      <c r="AU11" s="1">
        <f t="shared" si="14"/>
        <v>0</v>
      </c>
      <c r="AV11" s="1">
        <f t="shared" si="15"/>
        <v>0</v>
      </c>
      <c r="AW11" s="1">
        <f t="shared" si="16"/>
        <v>0</v>
      </c>
      <c r="AX11" s="1">
        <f t="shared" si="17"/>
        <v>0</v>
      </c>
      <c r="AY11" s="1">
        <f t="shared" si="18"/>
        <v>0</v>
      </c>
      <c r="AZ11" s="1">
        <f t="shared" si="19"/>
        <v>0</v>
      </c>
      <c r="BA11" s="1">
        <f t="shared" si="20"/>
        <v>0</v>
      </c>
      <c r="BB11" s="1">
        <f t="shared" si="21"/>
        <v>0</v>
      </c>
      <c r="BC11" s="1">
        <f t="shared" si="22"/>
        <v>0</v>
      </c>
      <c r="BD11" s="1">
        <f t="shared" si="23"/>
        <v>0</v>
      </c>
      <c r="BE11" s="1">
        <f t="shared" si="24"/>
        <v>0</v>
      </c>
      <c r="BF11" s="1">
        <f t="shared" si="25"/>
        <v>0</v>
      </c>
      <c r="BG11" s="1">
        <f t="shared" si="26"/>
        <v>0</v>
      </c>
      <c r="BH11" s="1">
        <f t="shared" si="27"/>
        <v>0</v>
      </c>
      <c r="BI11" s="1">
        <f t="shared" si="28"/>
        <v>0</v>
      </c>
      <c r="BJ11" s="1">
        <f t="shared" si="29"/>
        <v>0</v>
      </c>
      <c r="BK11" s="1">
        <f t="shared" si="30"/>
        <v>0</v>
      </c>
      <c r="BL11" s="1">
        <f t="shared" si="31"/>
        <v>0</v>
      </c>
      <c r="BN11" s="3" t="s">
        <v>10</v>
      </c>
      <c r="BO11" s="1">
        <f t="shared" si="32"/>
        <v>0.3</v>
      </c>
      <c r="BP11" s="1">
        <f t="shared" si="33"/>
        <v>0</v>
      </c>
      <c r="BQ11" s="1">
        <f t="shared" si="34"/>
        <v>0</v>
      </c>
      <c r="BR11" s="1">
        <f t="shared" si="35"/>
        <v>0</v>
      </c>
      <c r="BS11" s="1">
        <f t="shared" si="36"/>
        <v>0</v>
      </c>
      <c r="BT11" s="1">
        <f t="shared" si="37"/>
        <v>0</v>
      </c>
      <c r="BU11" s="1">
        <f t="shared" si="38"/>
        <v>0</v>
      </c>
      <c r="BV11" s="1">
        <f t="shared" si="39"/>
        <v>0</v>
      </c>
      <c r="BW11" s="1">
        <f t="shared" si="40"/>
        <v>0</v>
      </c>
      <c r="BX11" s="1">
        <f t="shared" si="41"/>
        <v>0</v>
      </c>
      <c r="BY11" s="1">
        <f t="shared" si="42"/>
        <v>0</v>
      </c>
      <c r="BZ11" s="1">
        <f t="shared" si="43"/>
        <v>0</v>
      </c>
      <c r="CA11" s="1">
        <f t="shared" si="44"/>
        <v>0</v>
      </c>
      <c r="CB11" s="1">
        <f t="shared" si="45"/>
        <v>0</v>
      </c>
      <c r="CC11" s="1">
        <f t="shared" si="46"/>
        <v>0</v>
      </c>
      <c r="CD11" s="1">
        <f t="shared" si="47"/>
        <v>0</v>
      </c>
      <c r="CE11" s="1">
        <f t="shared" si="48"/>
        <v>0</v>
      </c>
      <c r="CF11" s="1">
        <f t="shared" si="49"/>
        <v>0</v>
      </c>
      <c r="CG11" s="1">
        <f t="shared" si="50"/>
        <v>0</v>
      </c>
      <c r="CH11" s="1">
        <f t="shared" si="51"/>
        <v>0</v>
      </c>
      <c r="CI11" s="1">
        <f t="shared" si="52"/>
        <v>0</v>
      </c>
      <c r="CJ11" s="1">
        <f t="shared" si="53"/>
        <v>0</v>
      </c>
      <c r="CK11" s="1">
        <f t="shared" si="54"/>
        <v>0</v>
      </c>
      <c r="CL11" s="1">
        <f t="shared" si="55"/>
        <v>0</v>
      </c>
      <c r="CM11" s="1">
        <f t="shared" si="56"/>
        <v>0</v>
      </c>
      <c r="CN11" s="1">
        <f t="shared" si="57"/>
        <v>0</v>
      </c>
      <c r="CO11" s="1">
        <f t="shared" si="58"/>
        <v>0</v>
      </c>
      <c r="CP11" s="1">
        <f t="shared" si="59"/>
        <v>0</v>
      </c>
      <c r="CQ11" s="1">
        <f t="shared" si="60"/>
        <v>0</v>
      </c>
      <c r="CR11" s="1">
        <f t="shared" si="61"/>
        <v>0</v>
      </c>
    </row>
    <row r="12" spans="1:96" x14ac:dyDescent="0.25">
      <c r="A12" s="3" t="s">
        <v>11</v>
      </c>
      <c r="B12" s="1">
        <v>48</v>
      </c>
      <c r="C12" s="1">
        <v>1</v>
      </c>
      <c r="D12" s="1">
        <v>12</v>
      </c>
      <c r="E12" s="1">
        <v>0</v>
      </c>
      <c r="F12" s="1">
        <v>13</v>
      </c>
      <c r="G12" s="1">
        <v>10</v>
      </c>
      <c r="H12" s="1">
        <v>10</v>
      </c>
      <c r="I12" s="1">
        <v>5</v>
      </c>
      <c r="J12" s="1">
        <v>3</v>
      </c>
      <c r="K12" s="7"/>
      <c r="L12" s="1">
        <v>39</v>
      </c>
      <c r="M12" s="1">
        <v>1</v>
      </c>
      <c r="N12" s="1">
        <v>1</v>
      </c>
      <c r="O12" s="1">
        <v>2</v>
      </c>
      <c r="P12" s="1">
        <v>48</v>
      </c>
      <c r="Q12" s="1">
        <v>10</v>
      </c>
      <c r="R12" s="1">
        <v>36</v>
      </c>
      <c r="S12" s="1">
        <v>0</v>
      </c>
      <c r="T12" s="1">
        <v>4</v>
      </c>
      <c r="U12" s="1">
        <v>4</v>
      </c>
      <c r="V12" s="1">
        <v>3</v>
      </c>
      <c r="W12" s="1">
        <v>3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3</v>
      </c>
      <c r="AH12" s="3" t="s">
        <v>11</v>
      </c>
      <c r="AI12" s="1">
        <f t="shared" si="2"/>
        <v>1</v>
      </c>
      <c r="AJ12" s="1">
        <f t="shared" si="3"/>
        <v>0</v>
      </c>
      <c r="AK12" s="1">
        <f t="shared" si="4"/>
        <v>1</v>
      </c>
      <c r="AL12" s="1">
        <f t="shared" si="5"/>
        <v>0</v>
      </c>
      <c r="AM12" s="1">
        <f t="shared" si="6"/>
        <v>1</v>
      </c>
      <c r="AN12" s="1">
        <f t="shared" si="7"/>
        <v>1</v>
      </c>
      <c r="AO12" s="1">
        <f t="shared" si="8"/>
        <v>1</v>
      </c>
      <c r="AP12" s="1">
        <f t="shared" si="9"/>
        <v>0</v>
      </c>
      <c r="AQ12" s="1">
        <f t="shared" si="10"/>
        <v>0</v>
      </c>
      <c r="AR12" s="1">
        <f t="shared" si="11"/>
        <v>0</v>
      </c>
      <c r="AS12" s="1">
        <f t="shared" si="12"/>
        <v>1</v>
      </c>
      <c r="AT12" s="1">
        <f t="shared" si="13"/>
        <v>0</v>
      </c>
      <c r="AU12" s="1">
        <f t="shared" si="14"/>
        <v>0</v>
      </c>
      <c r="AV12" s="1">
        <f t="shared" si="15"/>
        <v>0</v>
      </c>
      <c r="AW12" s="1">
        <f t="shared" si="16"/>
        <v>1</v>
      </c>
      <c r="AX12" s="1">
        <f t="shared" si="17"/>
        <v>1</v>
      </c>
      <c r="AY12" s="1">
        <f t="shared" si="18"/>
        <v>1</v>
      </c>
      <c r="AZ12" s="1">
        <f t="shared" si="19"/>
        <v>0</v>
      </c>
      <c r="BA12" s="1">
        <f t="shared" si="20"/>
        <v>0</v>
      </c>
      <c r="BB12" s="1">
        <f t="shared" si="21"/>
        <v>0</v>
      </c>
      <c r="BC12" s="1">
        <f t="shared" si="22"/>
        <v>0</v>
      </c>
      <c r="BD12" s="1">
        <f t="shared" si="23"/>
        <v>0</v>
      </c>
      <c r="BE12" s="1">
        <f t="shared" si="24"/>
        <v>0</v>
      </c>
      <c r="BF12" s="1">
        <f t="shared" si="25"/>
        <v>0</v>
      </c>
      <c r="BG12" s="1">
        <f t="shared" si="26"/>
        <v>0</v>
      </c>
      <c r="BH12" s="1">
        <f t="shared" si="27"/>
        <v>0</v>
      </c>
      <c r="BI12" s="1">
        <f t="shared" si="28"/>
        <v>0</v>
      </c>
      <c r="BJ12" s="1">
        <f t="shared" si="29"/>
        <v>0</v>
      </c>
      <c r="BK12" s="1">
        <f t="shared" si="30"/>
        <v>0</v>
      </c>
      <c r="BL12" s="1">
        <f t="shared" si="31"/>
        <v>0</v>
      </c>
      <c r="BN12" s="3" t="s">
        <v>11</v>
      </c>
      <c r="BO12" s="1">
        <f t="shared" si="32"/>
        <v>0.3</v>
      </c>
      <c r="BP12" s="1">
        <f t="shared" si="33"/>
        <v>0</v>
      </c>
      <c r="BQ12" s="1">
        <f t="shared" si="34"/>
        <v>0.3</v>
      </c>
      <c r="BR12" s="1">
        <f t="shared" si="35"/>
        <v>0</v>
      </c>
      <c r="BS12" s="1">
        <f t="shared" si="36"/>
        <v>0.3</v>
      </c>
      <c r="BT12" s="1">
        <f t="shared" si="37"/>
        <v>0.3</v>
      </c>
      <c r="BU12" s="1">
        <f t="shared" si="38"/>
        <v>0.3</v>
      </c>
      <c r="BV12" s="1">
        <f t="shared" si="39"/>
        <v>0</v>
      </c>
      <c r="BW12" s="1">
        <f t="shared" si="40"/>
        <v>0</v>
      </c>
      <c r="BX12" s="1">
        <f t="shared" si="41"/>
        <v>0</v>
      </c>
      <c r="BY12" s="1">
        <f t="shared" si="42"/>
        <v>0.3</v>
      </c>
      <c r="BZ12" s="1">
        <f t="shared" si="43"/>
        <v>0</v>
      </c>
      <c r="CA12" s="1">
        <f t="shared" si="44"/>
        <v>0</v>
      </c>
      <c r="CB12" s="1">
        <f t="shared" si="45"/>
        <v>0</v>
      </c>
      <c r="CC12" s="1">
        <f t="shared" si="46"/>
        <v>0.3</v>
      </c>
      <c r="CD12" s="1">
        <f t="shared" si="47"/>
        <v>0.3</v>
      </c>
      <c r="CE12" s="1">
        <f t="shared" si="48"/>
        <v>0.3</v>
      </c>
      <c r="CF12" s="1">
        <f t="shared" si="49"/>
        <v>0</v>
      </c>
      <c r="CG12" s="1">
        <f t="shared" si="50"/>
        <v>0</v>
      </c>
      <c r="CH12" s="1">
        <f t="shared" si="51"/>
        <v>0</v>
      </c>
      <c r="CI12" s="1">
        <f t="shared" si="52"/>
        <v>0</v>
      </c>
      <c r="CJ12" s="1">
        <f t="shared" si="53"/>
        <v>0</v>
      </c>
      <c r="CK12" s="1">
        <f t="shared" si="54"/>
        <v>0</v>
      </c>
      <c r="CL12" s="1">
        <f t="shared" si="55"/>
        <v>0</v>
      </c>
      <c r="CM12" s="1">
        <f t="shared" si="56"/>
        <v>0</v>
      </c>
      <c r="CN12" s="1">
        <f t="shared" si="57"/>
        <v>0</v>
      </c>
      <c r="CO12" s="1">
        <f t="shared" si="58"/>
        <v>0</v>
      </c>
      <c r="CP12" s="1">
        <f t="shared" si="59"/>
        <v>0</v>
      </c>
      <c r="CQ12" s="1">
        <f t="shared" si="60"/>
        <v>0</v>
      </c>
      <c r="CR12" s="1">
        <f t="shared" si="61"/>
        <v>0</v>
      </c>
    </row>
    <row r="13" spans="1:96" x14ac:dyDescent="0.25">
      <c r="A13" s="3" t="s">
        <v>12</v>
      </c>
      <c r="B13" s="1">
        <v>48</v>
      </c>
      <c r="C13" s="1">
        <v>3</v>
      </c>
      <c r="D13" s="1">
        <v>12</v>
      </c>
      <c r="E13" s="1">
        <v>0</v>
      </c>
      <c r="F13" s="1">
        <v>15</v>
      </c>
      <c r="G13" s="1">
        <v>12</v>
      </c>
      <c r="H13" s="1">
        <v>12</v>
      </c>
      <c r="I13" s="1">
        <v>0</v>
      </c>
      <c r="J13" s="1">
        <v>1</v>
      </c>
      <c r="K13" s="1">
        <v>39</v>
      </c>
      <c r="L13" s="7"/>
      <c r="M13" s="1">
        <v>3</v>
      </c>
      <c r="N13" s="1">
        <v>0</v>
      </c>
      <c r="O13" s="1">
        <v>4</v>
      </c>
      <c r="P13" s="1">
        <v>54</v>
      </c>
      <c r="Q13" s="1">
        <v>0</v>
      </c>
      <c r="R13" s="1">
        <v>42</v>
      </c>
      <c r="S13" s="1">
        <v>0</v>
      </c>
      <c r="T13" s="1">
        <v>5</v>
      </c>
      <c r="U13" s="1">
        <v>5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H13" s="3" t="s">
        <v>12</v>
      </c>
      <c r="AI13" s="1">
        <f t="shared" si="2"/>
        <v>1</v>
      </c>
      <c r="AJ13" s="1">
        <f t="shared" si="3"/>
        <v>0</v>
      </c>
      <c r="AK13" s="1">
        <f t="shared" si="4"/>
        <v>1</v>
      </c>
      <c r="AL13" s="1">
        <f t="shared" si="5"/>
        <v>0</v>
      </c>
      <c r="AM13" s="1">
        <f t="shared" si="6"/>
        <v>1</v>
      </c>
      <c r="AN13" s="1">
        <f t="shared" si="7"/>
        <v>1</v>
      </c>
      <c r="AO13" s="1">
        <f t="shared" si="8"/>
        <v>1</v>
      </c>
      <c r="AP13" s="1">
        <f t="shared" si="9"/>
        <v>0</v>
      </c>
      <c r="AQ13" s="1">
        <f t="shared" si="10"/>
        <v>0</v>
      </c>
      <c r="AR13" s="1">
        <f t="shared" si="11"/>
        <v>1</v>
      </c>
      <c r="AS13" s="1">
        <f t="shared" si="12"/>
        <v>0</v>
      </c>
      <c r="AT13" s="1">
        <f t="shared" si="13"/>
        <v>0</v>
      </c>
      <c r="AU13" s="1">
        <f t="shared" si="14"/>
        <v>0</v>
      </c>
      <c r="AV13" s="1">
        <f t="shared" si="15"/>
        <v>0</v>
      </c>
      <c r="AW13" s="1">
        <f t="shared" si="16"/>
        <v>1</v>
      </c>
      <c r="AX13" s="1">
        <f t="shared" si="17"/>
        <v>0</v>
      </c>
      <c r="AY13" s="1">
        <f t="shared" si="18"/>
        <v>1</v>
      </c>
      <c r="AZ13" s="1">
        <f t="shared" si="19"/>
        <v>0</v>
      </c>
      <c r="BA13" s="1">
        <f t="shared" si="20"/>
        <v>0</v>
      </c>
      <c r="BB13" s="1">
        <f t="shared" si="21"/>
        <v>0</v>
      </c>
      <c r="BC13" s="1">
        <f t="shared" si="22"/>
        <v>0</v>
      </c>
      <c r="BD13" s="1">
        <f t="shared" si="23"/>
        <v>0</v>
      </c>
      <c r="BE13" s="1">
        <f t="shared" si="24"/>
        <v>0</v>
      </c>
      <c r="BF13" s="1">
        <f t="shared" si="25"/>
        <v>0</v>
      </c>
      <c r="BG13" s="1">
        <f t="shared" si="26"/>
        <v>0</v>
      </c>
      <c r="BH13" s="1">
        <f t="shared" si="27"/>
        <v>0</v>
      </c>
      <c r="BI13" s="1">
        <f t="shared" si="28"/>
        <v>0</v>
      </c>
      <c r="BJ13" s="1">
        <f t="shared" si="29"/>
        <v>0</v>
      </c>
      <c r="BK13" s="1">
        <f t="shared" si="30"/>
        <v>0</v>
      </c>
      <c r="BL13" s="1">
        <f t="shared" si="31"/>
        <v>0</v>
      </c>
      <c r="BN13" s="3" t="s">
        <v>12</v>
      </c>
      <c r="BO13" s="1">
        <f t="shared" si="32"/>
        <v>0.3</v>
      </c>
      <c r="BP13" s="1">
        <f t="shared" si="33"/>
        <v>0</v>
      </c>
      <c r="BQ13" s="1">
        <f t="shared" si="34"/>
        <v>0.3</v>
      </c>
      <c r="BR13" s="1">
        <f t="shared" si="35"/>
        <v>0</v>
      </c>
      <c r="BS13" s="1">
        <f t="shared" si="36"/>
        <v>0.3</v>
      </c>
      <c r="BT13" s="1">
        <f t="shared" si="37"/>
        <v>0.3</v>
      </c>
      <c r="BU13" s="1">
        <f t="shared" si="38"/>
        <v>0.3</v>
      </c>
      <c r="BV13" s="1">
        <f t="shared" si="39"/>
        <v>0</v>
      </c>
      <c r="BW13" s="1">
        <f t="shared" si="40"/>
        <v>0</v>
      </c>
      <c r="BX13" s="1">
        <f t="shared" si="41"/>
        <v>0.3</v>
      </c>
      <c r="BY13" s="1">
        <f t="shared" si="42"/>
        <v>0</v>
      </c>
      <c r="BZ13" s="1">
        <f t="shared" si="43"/>
        <v>0</v>
      </c>
      <c r="CA13" s="1">
        <f t="shared" si="44"/>
        <v>0</v>
      </c>
      <c r="CB13" s="1">
        <f t="shared" si="45"/>
        <v>0</v>
      </c>
      <c r="CC13" s="1">
        <f t="shared" si="46"/>
        <v>0.3</v>
      </c>
      <c r="CD13" s="1">
        <f t="shared" si="47"/>
        <v>0</v>
      </c>
      <c r="CE13" s="1">
        <f t="shared" si="48"/>
        <v>0.3</v>
      </c>
      <c r="CF13" s="1">
        <f t="shared" si="49"/>
        <v>0</v>
      </c>
      <c r="CG13" s="1">
        <f t="shared" si="50"/>
        <v>0</v>
      </c>
      <c r="CH13" s="1">
        <f t="shared" si="51"/>
        <v>0</v>
      </c>
      <c r="CI13" s="1">
        <f t="shared" si="52"/>
        <v>0</v>
      </c>
      <c r="CJ13" s="1">
        <f t="shared" si="53"/>
        <v>0</v>
      </c>
      <c r="CK13" s="1">
        <f t="shared" si="54"/>
        <v>0</v>
      </c>
      <c r="CL13" s="1">
        <f t="shared" si="55"/>
        <v>0</v>
      </c>
      <c r="CM13" s="1">
        <f t="shared" si="56"/>
        <v>0</v>
      </c>
      <c r="CN13" s="1">
        <f t="shared" si="57"/>
        <v>0</v>
      </c>
      <c r="CO13" s="1">
        <f t="shared" si="58"/>
        <v>0</v>
      </c>
      <c r="CP13" s="1">
        <f t="shared" si="59"/>
        <v>0</v>
      </c>
      <c r="CQ13" s="1">
        <f t="shared" si="60"/>
        <v>0</v>
      </c>
      <c r="CR13" s="1">
        <f t="shared" si="61"/>
        <v>0</v>
      </c>
    </row>
    <row r="14" spans="1:96" x14ac:dyDescent="0.25">
      <c r="A14" s="3" t="s">
        <v>13</v>
      </c>
      <c r="B14" s="1">
        <v>21</v>
      </c>
      <c r="C14" s="1">
        <v>1</v>
      </c>
      <c r="D14" s="1">
        <v>22</v>
      </c>
      <c r="E14" s="1">
        <v>0</v>
      </c>
      <c r="F14" s="1">
        <v>6</v>
      </c>
      <c r="G14" s="1">
        <v>4</v>
      </c>
      <c r="H14" s="1">
        <v>4</v>
      </c>
      <c r="I14" s="1">
        <v>0</v>
      </c>
      <c r="J14" s="1">
        <v>1</v>
      </c>
      <c r="K14" s="1">
        <v>1</v>
      </c>
      <c r="L14" s="1">
        <v>3</v>
      </c>
      <c r="M14" s="7"/>
      <c r="N14" s="1">
        <v>1</v>
      </c>
      <c r="O14" s="1">
        <v>7</v>
      </c>
      <c r="P14" s="1">
        <v>3</v>
      </c>
      <c r="Q14" s="1">
        <v>0</v>
      </c>
      <c r="R14" s="1">
        <v>3</v>
      </c>
      <c r="S14" s="1">
        <v>0</v>
      </c>
      <c r="T14" s="1">
        <v>4</v>
      </c>
      <c r="U14" s="1">
        <v>4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2</v>
      </c>
      <c r="AC14" s="1">
        <v>2</v>
      </c>
      <c r="AD14" s="1">
        <v>1</v>
      </c>
      <c r="AE14" s="1">
        <v>4</v>
      </c>
      <c r="AH14" s="3" t="s">
        <v>13</v>
      </c>
      <c r="AI14" s="1">
        <f t="shared" si="2"/>
        <v>1</v>
      </c>
      <c r="AJ14" s="1">
        <f t="shared" si="3"/>
        <v>0</v>
      </c>
      <c r="AK14" s="1">
        <f t="shared" si="4"/>
        <v>1</v>
      </c>
      <c r="AL14" s="1">
        <f t="shared" si="5"/>
        <v>0</v>
      </c>
      <c r="AM14" s="1">
        <f t="shared" si="6"/>
        <v>1</v>
      </c>
      <c r="AN14" s="1">
        <f t="shared" si="7"/>
        <v>0</v>
      </c>
      <c r="AO14" s="1">
        <f t="shared" si="8"/>
        <v>0</v>
      </c>
      <c r="AP14" s="1">
        <f t="shared" si="9"/>
        <v>0</v>
      </c>
      <c r="AQ14" s="1">
        <f t="shared" si="10"/>
        <v>0</v>
      </c>
      <c r="AR14" s="1">
        <f t="shared" si="11"/>
        <v>0</v>
      </c>
      <c r="AS14" s="1">
        <f t="shared" si="12"/>
        <v>0</v>
      </c>
      <c r="AT14" s="1">
        <f t="shared" si="13"/>
        <v>0</v>
      </c>
      <c r="AU14" s="1">
        <f t="shared" si="14"/>
        <v>0</v>
      </c>
      <c r="AV14" s="1">
        <f t="shared" si="15"/>
        <v>1</v>
      </c>
      <c r="AW14" s="1">
        <f t="shared" si="16"/>
        <v>0</v>
      </c>
      <c r="AX14" s="1">
        <f t="shared" si="17"/>
        <v>0</v>
      </c>
      <c r="AY14" s="1">
        <f t="shared" si="18"/>
        <v>0</v>
      </c>
      <c r="AZ14" s="1">
        <f t="shared" si="19"/>
        <v>0</v>
      </c>
      <c r="BA14" s="1">
        <f t="shared" si="20"/>
        <v>0</v>
      </c>
      <c r="BB14" s="1">
        <f t="shared" si="21"/>
        <v>0</v>
      </c>
      <c r="BC14" s="1">
        <f t="shared" si="22"/>
        <v>0</v>
      </c>
      <c r="BD14" s="1">
        <f t="shared" si="23"/>
        <v>0</v>
      </c>
      <c r="BE14" s="1">
        <f t="shared" si="24"/>
        <v>0</v>
      </c>
      <c r="BF14" s="1">
        <f t="shared" si="25"/>
        <v>0</v>
      </c>
      <c r="BG14" s="1">
        <f t="shared" si="26"/>
        <v>0</v>
      </c>
      <c r="BH14" s="1">
        <f t="shared" si="27"/>
        <v>0</v>
      </c>
      <c r="BI14" s="1">
        <f t="shared" si="28"/>
        <v>0</v>
      </c>
      <c r="BJ14" s="1">
        <f t="shared" si="29"/>
        <v>0</v>
      </c>
      <c r="BK14" s="1">
        <f t="shared" si="30"/>
        <v>0</v>
      </c>
      <c r="BL14" s="1">
        <f t="shared" si="31"/>
        <v>0</v>
      </c>
      <c r="BN14" s="3" t="s">
        <v>13</v>
      </c>
      <c r="BO14" s="1">
        <f t="shared" si="32"/>
        <v>0.3</v>
      </c>
      <c r="BP14" s="1">
        <f t="shared" si="33"/>
        <v>0</v>
      </c>
      <c r="BQ14" s="1">
        <f t="shared" si="34"/>
        <v>0.3</v>
      </c>
      <c r="BR14" s="1">
        <f t="shared" si="35"/>
        <v>0</v>
      </c>
      <c r="BS14" s="1">
        <f t="shared" si="36"/>
        <v>0.3</v>
      </c>
      <c r="BT14" s="1">
        <f t="shared" si="37"/>
        <v>0</v>
      </c>
      <c r="BU14" s="1">
        <f t="shared" si="38"/>
        <v>0</v>
      </c>
      <c r="BV14" s="1">
        <f t="shared" si="39"/>
        <v>0</v>
      </c>
      <c r="BW14" s="1">
        <f t="shared" si="40"/>
        <v>0</v>
      </c>
      <c r="BX14" s="1">
        <f t="shared" si="41"/>
        <v>0</v>
      </c>
      <c r="BY14" s="1">
        <f t="shared" si="42"/>
        <v>0</v>
      </c>
      <c r="BZ14" s="1">
        <f t="shared" si="43"/>
        <v>0</v>
      </c>
      <c r="CA14" s="1">
        <f t="shared" si="44"/>
        <v>0</v>
      </c>
      <c r="CB14" s="1">
        <f t="shared" si="45"/>
        <v>0.3</v>
      </c>
      <c r="CC14" s="1">
        <f t="shared" si="46"/>
        <v>0</v>
      </c>
      <c r="CD14" s="1">
        <f t="shared" si="47"/>
        <v>0</v>
      </c>
      <c r="CE14" s="1">
        <f t="shared" si="48"/>
        <v>0</v>
      </c>
      <c r="CF14" s="1">
        <f t="shared" si="49"/>
        <v>0</v>
      </c>
      <c r="CG14" s="1">
        <f t="shared" si="50"/>
        <v>0</v>
      </c>
      <c r="CH14" s="1">
        <f t="shared" si="51"/>
        <v>0</v>
      </c>
      <c r="CI14" s="1">
        <f t="shared" si="52"/>
        <v>0</v>
      </c>
      <c r="CJ14" s="1">
        <f t="shared" si="53"/>
        <v>0</v>
      </c>
      <c r="CK14" s="1">
        <f t="shared" si="54"/>
        <v>0</v>
      </c>
      <c r="CL14" s="1">
        <f t="shared" si="55"/>
        <v>0</v>
      </c>
      <c r="CM14" s="1">
        <f t="shared" si="56"/>
        <v>0</v>
      </c>
      <c r="CN14" s="1">
        <f t="shared" si="57"/>
        <v>0</v>
      </c>
      <c r="CO14" s="1">
        <f t="shared" si="58"/>
        <v>0</v>
      </c>
      <c r="CP14" s="1">
        <f t="shared" si="59"/>
        <v>0</v>
      </c>
      <c r="CQ14" s="1">
        <f t="shared" si="60"/>
        <v>0</v>
      </c>
      <c r="CR14" s="1">
        <f t="shared" si="61"/>
        <v>0</v>
      </c>
    </row>
    <row r="15" spans="1:96" x14ac:dyDescent="0.25">
      <c r="A15" s="3" t="s">
        <v>14</v>
      </c>
      <c r="B15" s="1">
        <v>45</v>
      </c>
      <c r="C15" s="1">
        <v>1</v>
      </c>
      <c r="D15" s="1">
        <v>2</v>
      </c>
      <c r="E15" s="1">
        <v>34</v>
      </c>
      <c r="F15" s="1">
        <v>7</v>
      </c>
      <c r="G15" s="1">
        <v>6</v>
      </c>
      <c r="H15" s="1">
        <v>6</v>
      </c>
      <c r="I15" s="1">
        <v>2</v>
      </c>
      <c r="J15" s="1">
        <v>4</v>
      </c>
      <c r="K15" s="1">
        <v>1</v>
      </c>
      <c r="L15" s="1">
        <v>0</v>
      </c>
      <c r="M15" s="1">
        <v>1</v>
      </c>
      <c r="N15" s="7"/>
      <c r="O15" s="1">
        <v>7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7</v>
      </c>
      <c r="V15" s="1">
        <v>1</v>
      </c>
      <c r="W15" s="1">
        <v>2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H15" s="3" t="s">
        <v>14</v>
      </c>
      <c r="AI15" s="1">
        <f t="shared" ref="AI15:AI32" si="62">IF(B15&gt;$AF$3,1,0)</f>
        <v>1</v>
      </c>
      <c r="AJ15" s="1">
        <f t="shared" ref="AJ15:AJ32" si="63">IF(C15&gt;$AF$3,1,0)</f>
        <v>0</v>
      </c>
      <c r="AK15" s="1">
        <f t="shared" ref="AK15:AK32" si="64">IF(D15&gt;$AF$3,1,0)</f>
        <v>0</v>
      </c>
      <c r="AL15" s="1">
        <f t="shared" ref="AL15:AL32" si="65">IF(E15&gt;$AF$3,1,0)</f>
        <v>1</v>
      </c>
      <c r="AM15" s="1">
        <f t="shared" ref="AM15:AM32" si="66">IF(F15&gt;$AF$3,1,0)</f>
        <v>1</v>
      </c>
      <c r="AN15" s="1">
        <f t="shared" ref="AN15:AN32" si="67">IF(G15&gt;$AF$3,1,0)</f>
        <v>1</v>
      </c>
      <c r="AO15" s="1">
        <f t="shared" ref="AO15:AO32" si="68">IF(H15&gt;$AF$3,1,0)</f>
        <v>1</v>
      </c>
      <c r="AP15" s="1">
        <f t="shared" ref="AP15:AP32" si="69">IF(I15&gt;$AF$3,1,0)</f>
        <v>0</v>
      </c>
      <c r="AQ15" s="1">
        <f t="shared" ref="AQ15:AQ32" si="70">IF(J15&gt;$AF$3,1,0)</f>
        <v>0</v>
      </c>
      <c r="AR15" s="1">
        <f t="shared" ref="AR15:AR32" si="71">IF(K15&gt;$AF$3,1,0)</f>
        <v>0</v>
      </c>
      <c r="AS15" s="1">
        <f t="shared" ref="AS15:AS32" si="72">IF(L15&gt;$AF$3,1,0)</f>
        <v>0</v>
      </c>
      <c r="AT15" s="1">
        <f t="shared" ref="AT15:AT32" si="73">IF(M15&gt;$AF$3,1,0)</f>
        <v>0</v>
      </c>
      <c r="AU15" s="1">
        <f t="shared" ref="AU15:AU32" si="74">IF(N15&gt;$AF$3,1,0)</f>
        <v>0</v>
      </c>
      <c r="AV15" s="1">
        <f t="shared" ref="AV15:AV32" si="75">IF(O15&gt;$AF$3,1,0)</f>
        <v>1</v>
      </c>
      <c r="AW15" s="1">
        <f t="shared" ref="AW15:AW32" si="76">IF(P15&gt;$AF$3,1,0)</f>
        <v>0</v>
      </c>
      <c r="AX15" s="1">
        <f t="shared" ref="AX15:AX32" si="77">IF(Q15&gt;$AF$3,1,0)</f>
        <v>0</v>
      </c>
      <c r="AY15" s="1">
        <f t="shared" ref="AY15:AY32" si="78">IF(R15&gt;$AF$3,1,0)</f>
        <v>0</v>
      </c>
      <c r="AZ15" s="1">
        <f t="shared" ref="AZ15:AZ32" si="79">IF(S15&gt;$AF$3,1,0)</f>
        <v>0</v>
      </c>
      <c r="BA15" s="1">
        <f t="shared" ref="BA15:BA32" si="80">IF(T15&gt;$AF$3,1,0)</f>
        <v>0</v>
      </c>
      <c r="BB15" s="1">
        <f t="shared" ref="BB15:BB32" si="81">IF(U15&gt;$AF$3,1,0)</f>
        <v>1</v>
      </c>
      <c r="BC15" s="1">
        <f t="shared" ref="BC15:BC32" si="82">IF(V15&gt;$AF$3,1,0)</f>
        <v>0</v>
      </c>
      <c r="BD15" s="1">
        <f t="shared" ref="BD15:BD32" si="83">IF(W15&gt;$AF$3,1,0)</f>
        <v>0</v>
      </c>
      <c r="BE15" s="1">
        <f t="shared" ref="BE15:BE32" si="84">IF(X15&gt;$AF$3,1,0)</f>
        <v>0</v>
      </c>
      <c r="BF15" s="1">
        <f t="shared" ref="BF15:BF32" si="85">IF(Y15&gt;$AF$3,1,0)</f>
        <v>0</v>
      </c>
      <c r="BG15" s="1">
        <f t="shared" ref="BG15:BG32" si="86">IF(Z15&gt;$AF$3,1,0)</f>
        <v>0</v>
      </c>
      <c r="BH15" s="1">
        <f t="shared" ref="BH15:BH32" si="87">IF(AA15&gt;$AF$3,1,0)</f>
        <v>0</v>
      </c>
      <c r="BI15" s="1">
        <f t="shared" ref="BI15:BI32" si="88">IF(AB15&gt;$AF$3,1,0)</f>
        <v>0</v>
      </c>
      <c r="BJ15" s="1">
        <f t="shared" ref="BJ15:BJ32" si="89">IF(AC15&gt;$AF$3,1,0)</f>
        <v>0</v>
      </c>
      <c r="BK15" s="1">
        <f t="shared" ref="BK15:BK32" si="90">IF(AD15&gt;$AF$3,1,0)</f>
        <v>0</v>
      </c>
      <c r="BL15" s="1">
        <f t="shared" ref="BL15:BL32" si="91">IF(AE15&gt;$AF$3,1,0)</f>
        <v>0</v>
      </c>
      <c r="BN15" s="3" t="s">
        <v>14</v>
      </c>
      <c r="BO15" s="1">
        <f t="shared" si="32"/>
        <v>0.3</v>
      </c>
      <c r="BP15" s="1">
        <f t="shared" si="33"/>
        <v>0</v>
      </c>
      <c r="BQ15" s="1">
        <f t="shared" si="34"/>
        <v>0</v>
      </c>
      <c r="BR15" s="1">
        <f t="shared" si="35"/>
        <v>0.3</v>
      </c>
      <c r="BS15" s="1">
        <f t="shared" si="36"/>
        <v>0.3</v>
      </c>
      <c r="BT15" s="1">
        <f t="shared" si="37"/>
        <v>0.3</v>
      </c>
      <c r="BU15" s="1">
        <f t="shared" si="38"/>
        <v>0.3</v>
      </c>
      <c r="BV15" s="1">
        <f t="shared" si="39"/>
        <v>0</v>
      </c>
      <c r="BW15" s="1">
        <f t="shared" si="40"/>
        <v>0</v>
      </c>
      <c r="BX15" s="1">
        <f t="shared" si="41"/>
        <v>0</v>
      </c>
      <c r="BY15" s="1">
        <f t="shared" si="42"/>
        <v>0</v>
      </c>
      <c r="BZ15" s="1">
        <f t="shared" si="43"/>
        <v>0</v>
      </c>
      <c r="CA15" s="1">
        <f t="shared" si="44"/>
        <v>0</v>
      </c>
      <c r="CB15" s="1">
        <f t="shared" si="45"/>
        <v>0.3</v>
      </c>
      <c r="CC15" s="1">
        <f t="shared" si="46"/>
        <v>0</v>
      </c>
      <c r="CD15" s="1">
        <f t="shared" si="47"/>
        <v>0</v>
      </c>
      <c r="CE15" s="1">
        <f t="shared" si="48"/>
        <v>0</v>
      </c>
      <c r="CF15" s="1">
        <f t="shared" si="49"/>
        <v>0</v>
      </c>
      <c r="CG15" s="1">
        <f t="shared" si="50"/>
        <v>0</v>
      </c>
      <c r="CH15" s="1">
        <f t="shared" si="51"/>
        <v>0.3</v>
      </c>
      <c r="CI15" s="1">
        <f t="shared" si="52"/>
        <v>0</v>
      </c>
      <c r="CJ15" s="1">
        <f t="shared" si="53"/>
        <v>0</v>
      </c>
      <c r="CK15" s="1">
        <f t="shared" si="54"/>
        <v>0</v>
      </c>
      <c r="CL15" s="1">
        <f t="shared" si="55"/>
        <v>0</v>
      </c>
      <c r="CM15" s="1">
        <f t="shared" si="56"/>
        <v>0</v>
      </c>
      <c r="CN15" s="1">
        <f t="shared" si="57"/>
        <v>0</v>
      </c>
      <c r="CO15" s="1">
        <f t="shared" si="58"/>
        <v>0</v>
      </c>
      <c r="CP15" s="1">
        <f t="shared" si="59"/>
        <v>0</v>
      </c>
      <c r="CQ15" s="1">
        <f t="shared" si="60"/>
        <v>0</v>
      </c>
      <c r="CR15" s="1">
        <f t="shared" si="61"/>
        <v>0</v>
      </c>
    </row>
    <row r="16" spans="1:96" x14ac:dyDescent="0.25">
      <c r="A16" s="3" t="s">
        <v>15</v>
      </c>
      <c r="B16" s="1">
        <v>82</v>
      </c>
      <c r="C16" s="1">
        <v>20</v>
      </c>
      <c r="D16" s="1">
        <v>46</v>
      </c>
      <c r="E16" s="1">
        <v>6</v>
      </c>
      <c r="F16" s="1">
        <v>3</v>
      </c>
      <c r="G16" s="1">
        <v>3</v>
      </c>
      <c r="H16" s="1">
        <v>3</v>
      </c>
      <c r="I16" s="1">
        <v>5</v>
      </c>
      <c r="J16" s="1">
        <v>0</v>
      </c>
      <c r="K16" s="1">
        <v>2</v>
      </c>
      <c r="L16" s="1">
        <v>4</v>
      </c>
      <c r="M16" s="1">
        <v>7</v>
      </c>
      <c r="N16" s="1">
        <v>7</v>
      </c>
      <c r="O16" s="7"/>
      <c r="P16" s="1">
        <v>10</v>
      </c>
      <c r="Q16" s="1">
        <v>0</v>
      </c>
      <c r="R16" s="1">
        <v>7</v>
      </c>
      <c r="S16" s="1">
        <v>0</v>
      </c>
      <c r="T16" s="1">
        <v>1</v>
      </c>
      <c r="U16" s="1">
        <v>1</v>
      </c>
      <c r="V16" s="1">
        <v>3</v>
      </c>
      <c r="W16" s="1">
        <v>3</v>
      </c>
      <c r="X16" s="1">
        <v>0</v>
      </c>
      <c r="Y16" s="1">
        <v>0</v>
      </c>
      <c r="Z16" s="1">
        <v>0</v>
      </c>
      <c r="AA16" s="1">
        <v>0</v>
      </c>
      <c r="AB16" s="1">
        <v>21</v>
      </c>
      <c r="AC16" s="1">
        <v>3</v>
      </c>
      <c r="AD16" s="1">
        <v>6</v>
      </c>
      <c r="AE16" s="1">
        <v>25</v>
      </c>
      <c r="AH16" s="3" t="s">
        <v>15</v>
      </c>
      <c r="AI16" s="1">
        <f t="shared" si="62"/>
        <v>1</v>
      </c>
      <c r="AJ16" s="1">
        <f t="shared" si="63"/>
        <v>1</v>
      </c>
      <c r="AK16" s="1">
        <f t="shared" si="64"/>
        <v>1</v>
      </c>
      <c r="AL16" s="1">
        <f t="shared" si="65"/>
        <v>1</v>
      </c>
      <c r="AM16" s="1">
        <f t="shared" si="66"/>
        <v>0</v>
      </c>
      <c r="AN16" s="1">
        <f t="shared" si="67"/>
        <v>0</v>
      </c>
      <c r="AO16" s="1">
        <f t="shared" si="68"/>
        <v>0</v>
      </c>
      <c r="AP16" s="1">
        <f t="shared" si="69"/>
        <v>0</v>
      </c>
      <c r="AQ16" s="1">
        <f t="shared" si="70"/>
        <v>0</v>
      </c>
      <c r="AR16" s="1">
        <f t="shared" si="71"/>
        <v>0</v>
      </c>
      <c r="AS16" s="1">
        <f t="shared" si="72"/>
        <v>0</v>
      </c>
      <c r="AT16" s="1">
        <f t="shared" si="73"/>
        <v>1</v>
      </c>
      <c r="AU16" s="1">
        <f t="shared" si="74"/>
        <v>1</v>
      </c>
      <c r="AV16" s="1">
        <f t="shared" si="75"/>
        <v>0</v>
      </c>
      <c r="AW16" s="1">
        <f t="shared" si="76"/>
        <v>1</v>
      </c>
      <c r="AX16" s="1">
        <f t="shared" si="77"/>
        <v>0</v>
      </c>
      <c r="AY16" s="1">
        <f t="shared" si="78"/>
        <v>1</v>
      </c>
      <c r="AZ16" s="1">
        <f t="shared" si="79"/>
        <v>0</v>
      </c>
      <c r="BA16" s="1">
        <f t="shared" si="80"/>
        <v>0</v>
      </c>
      <c r="BB16" s="1">
        <f t="shared" si="81"/>
        <v>0</v>
      </c>
      <c r="BC16" s="1">
        <f t="shared" si="82"/>
        <v>0</v>
      </c>
      <c r="BD16" s="1">
        <f t="shared" si="83"/>
        <v>0</v>
      </c>
      <c r="BE16" s="1">
        <f t="shared" si="84"/>
        <v>0</v>
      </c>
      <c r="BF16" s="1">
        <f t="shared" si="85"/>
        <v>0</v>
      </c>
      <c r="BG16" s="1">
        <f t="shared" si="86"/>
        <v>0</v>
      </c>
      <c r="BH16" s="1">
        <f t="shared" si="87"/>
        <v>0</v>
      </c>
      <c r="BI16" s="1">
        <f t="shared" si="88"/>
        <v>1</v>
      </c>
      <c r="BJ16" s="1">
        <f t="shared" si="89"/>
        <v>0</v>
      </c>
      <c r="BK16" s="1">
        <f t="shared" si="90"/>
        <v>1</v>
      </c>
      <c r="BL16" s="1">
        <f t="shared" si="91"/>
        <v>1</v>
      </c>
      <c r="BN16" s="3" t="s">
        <v>15</v>
      </c>
      <c r="BO16" s="1">
        <f t="shared" si="32"/>
        <v>0.3</v>
      </c>
      <c r="BP16" s="1">
        <f t="shared" si="33"/>
        <v>0.3</v>
      </c>
      <c r="BQ16" s="1">
        <f t="shared" si="34"/>
        <v>0.3</v>
      </c>
      <c r="BR16" s="1">
        <f t="shared" si="35"/>
        <v>0.3</v>
      </c>
      <c r="BS16" s="1">
        <f t="shared" si="36"/>
        <v>0</v>
      </c>
      <c r="BT16" s="1">
        <f t="shared" si="37"/>
        <v>0</v>
      </c>
      <c r="BU16" s="1">
        <f t="shared" si="38"/>
        <v>0</v>
      </c>
      <c r="BV16" s="1">
        <f t="shared" si="39"/>
        <v>0</v>
      </c>
      <c r="BW16" s="1">
        <f t="shared" si="40"/>
        <v>0</v>
      </c>
      <c r="BX16" s="1">
        <f t="shared" si="41"/>
        <v>0</v>
      </c>
      <c r="BY16" s="1">
        <f t="shared" si="42"/>
        <v>0</v>
      </c>
      <c r="BZ16" s="1">
        <f t="shared" si="43"/>
        <v>0.3</v>
      </c>
      <c r="CA16" s="1">
        <f t="shared" si="44"/>
        <v>0.3</v>
      </c>
      <c r="CB16" s="1">
        <f t="shared" si="45"/>
        <v>0</v>
      </c>
      <c r="CC16" s="1">
        <f t="shared" si="46"/>
        <v>0.3</v>
      </c>
      <c r="CD16" s="1">
        <f t="shared" si="47"/>
        <v>0</v>
      </c>
      <c r="CE16" s="1">
        <f t="shared" si="48"/>
        <v>0.3</v>
      </c>
      <c r="CF16" s="1">
        <f t="shared" si="49"/>
        <v>0</v>
      </c>
      <c r="CG16" s="1">
        <f t="shared" si="50"/>
        <v>0</v>
      </c>
      <c r="CH16" s="1">
        <f t="shared" si="51"/>
        <v>0</v>
      </c>
      <c r="CI16" s="1">
        <f t="shared" si="52"/>
        <v>0</v>
      </c>
      <c r="CJ16" s="1">
        <f t="shared" si="53"/>
        <v>0</v>
      </c>
      <c r="CK16" s="1">
        <f t="shared" si="54"/>
        <v>0</v>
      </c>
      <c r="CL16" s="1">
        <f t="shared" si="55"/>
        <v>0</v>
      </c>
      <c r="CM16" s="1">
        <f t="shared" si="56"/>
        <v>0</v>
      </c>
      <c r="CN16" s="1">
        <f t="shared" si="57"/>
        <v>0</v>
      </c>
      <c r="CO16" s="1">
        <f t="shared" si="58"/>
        <v>0.3</v>
      </c>
      <c r="CP16" s="1">
        <f t="shared" si="59"/>
        <v>0</v>
      </c>
      <c r="CQ16" s="1">
        <f t="shared" si="60"/>
        <v>0.3</v>
      </c>
      <c r="CR16" s="1">
        <f t="shared" si="61"/>
        <v>0.3</v>
      </c>
    </row>
    <row r="17" spans="1:96" x14ac:dyDescent="0.25">
      <c r="A17" s="3" t="s">
        <v>16</v>
      </c>
      <c r="B17" s="1">
        <v>51</v>
      </c>
      <c r="C17" s="1">
        <v>4</v>
      </c>
      <c r="D17" s="1">
        <v>15</v>
      </c>
      <c r="E17" s="1">
        <v>0</v>
      </c>
      <c r="F17" s="1">
        <v>14</v>
      </c>
      <c r="G17" s="1">
        <v>13</v>
      </c>
      <c r="H17" s="1">
        <v>13</v>
      </c>
      <c r="I17" s="1">
        <v>3</v>
      </c>
      <c r="J17" s="1">
        <v>0</v>
      </c>
      <c r="K17" s="1">
        <v>48</v>
      </c>
      <c r="L17" s="1">
        <v>54</v>
      </c>
      <c r="M17" s="1">
        <v>3</v>
      </c>
      <c r="N17" s="1">
        <v>0</v>
      </c>
      <c r="O17" s="1">
        <v>10</v>
      </c>
      <c r="P17" s="7"/>
      <c r="Q17" s="1">
        <v>0</v>
      </c>
      <c r="R17" s="1">
        <v>42</v>
      </c>
      <c r="S17" s="1">
        <v>0</v>
      </c>
      <c r="T17" s="1">
        <v>13</v>
      </c>
      <c r="U17" s="1">
        <v>10</v>
      </c>
      <c r="V17" s="1">
        <v>2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H17" s="3" t="s">
        <v>16</v>
      </c>
      <c r="AI17" s="1">
        <f t="shared" si="62"/>
        <v>1</v>
      </c>
      <c r="AJ17" s="1">
        <f t="shared" si="63"/>
        <v>0</v>
      </c>
      <c r="AK17" s="1">
        <f t="shared" si="64"/>
        <v>1</v>
      </c>
      <c r="AL17" s="1">
        <f t="shared" si="65"/>
        <v>0</v>
      </c>
      <c r="AM17" s="1">
        <f t="shared" si="66"/>
        <v>1</v>
      </c>
      <c r="AN17" s="1">
        <f t="shared" si="67"/>
        <v>1</v>
      </c>
      <c r="AO17" s="1">
        <f t="shared" si="68"/>
        <v>1</v>
      </c>
      <c r="AP17" s="1">
        <f t="shared" si="69"/>
        <v>0</v>
      </c>
      <c r="AQ17" s="1">
        <f t="shared" si="70"/>
        <v>0</v>
      </c>
      <c r="AR17" s="1">
        <f t="shared" si="71"/>
        <v>1</v>
      </c>
      <c r="AS17" s="1">
        <f t="shared" si="72"/>
        <v>1</v>
      </c>
      <c r="AT17" s="1">
        <f t="shared" si="73"/>
        <v>0</v>
      </c>
      <c r="AU17" s="1">
        <f t="shared" si="74"/>
        <v>0</v>
      </c>
      <c r="AV17" s="1">
        <f t="shared" si="75"/>
        <v>1</v>
      </c>
      <c r="AW17" s="1">
        <f t="shared" si="76"/>
        <v>0</v>
      </c>
      <c r="AX17" s="1">
        <f t="shared" si="77"/>
        <v>0</v>
      </c>
      <c r="AY17" s="1">
        <f t="shared" si="78"/>
        <v>1</v>
      </c>
      <c r="AZ17" s="1">
        <f t="shared" si="79"/>
        <v>0</v>
      </c>
      <c r="BA17" s="1">
        <f t="shared" si="80"/>
        <v>1</v>
      </c>
      <c r="BB17" s="1">
        <f t="shared" si="81"/>
        <v>1</v>
      </c>
      <c r="BC17" s="1">
        <f t="shared" si="82"/>
        <v>0</v>
      </c>
      <c r="BD17" s="1">
        <f t="shared" si="83"/>
        <v>0</v>
      </c>
      <c r="BE17" s="1">
        <f t="shared" si="84"/>
        <v>0</v>
      </c>
      <c r="BF17" s="1">
        <f t="shared" si="85"/>
        <v>0</v>
      </c>
      <c r="BG17" s="1">
        <f t="shared" si="86"/>
        <v>0</v>
      </c>
      <c r="BH17" s="1">
        <f t="shared" si="87"/>
        <v>0</v>
      </c>
      <c r="BI17" s="1">
        <f t="shared" si="88"/>
        <v>0</v>
      </c>
      <c r="BJ17" s="1">
        <f t="shared" si="89"/>
        <v>0</v>
      </c>
      <c r="BK17" s="1">
        <f t="shared" si="90"/>
        <v>0</v>
      </c>
      <c r="BL17" s="1">
        <f t="shared" si="91"/>
        <v>0</v>
      </c>
      <c r="BN17" s="3" t="s">
        <v>16</v>
      </c>
      <c r="BO17" s="1">
        <f t="shared" si="32"/>
        <v>0.3</v>
      </c>
      <c r="BP17" s="1">
        <f t="shared" si="33"/>
        <v>0</v>
      </c>
      <c r="BQ17" s="1">
        <f t="shared" si="34"/>
        <v>0.3</v>
      </c>
      <c r="BR17" s="1">
        <f t="shared" si="35"/>
        <v>0</v>
      </c>
      <c r="BS17" s="1">
        <f t="shared" si="36"/>
        <v>0.3</v>
      </c>
      <c r="BT17" s="1">
        <f t="shared" si="37"/>
        <v>0.3</v>
      </c>
      <c r="BU17" s="1">
        <f t="shared" si="38"/>
        <v>0.3</v>
      </c>
      <c r="BV17" s="1">
        <f t="shared" si="39"/>
        <v>0</v>
      </c>
      <c r="BW17" s="1">
        <f t="shared" si="40"/>
        <v>0</v>
      </c>
      <c r="BX17" s="1">
        <f t="shared" si="41"/>
        <v>0.3</v>
      </c>
      <c r="BY17" s="1">
        <f t="shared" si="42"/>
        <v>0.3</v>
      </c>
      <c r="BZ17" s="1">
        <f t="shared" si="43"/>
        <v>0</v>
      </c>
      <c r="CA17" s="1">
        <f t="shared" si="44"/>
        <v>0</v>
      </c>
      <c r="CB17" s="1">
        <f t="shared" si="45"/>
        <v>0.3</v>
      </c>
      <c r="CC17" s="1">
        <f t="shared" si="46"/>
        <v>0</v>
      </c>
      <c r="CD17" s="1">
        <f t="shared" si="47"/>
        <v>0</v>
      </c>
      <c r="CE17" s="1">
        <f t="shared" si="48"/>
        <v>0.3</v>
      </c>
      <c r="CF17" s="1">
        <f t="shared" si="49"/>
        <v>0</v>
      </c>
      <c r="CG17" s="1">
        <f t="shared" si="50"/>
        <v>0.3</v>
      </c>
      <c r="CH17" s="1">
        <f t="shared" si="51"/>
        <v>0.3</v>
      </c>
      <c r="CI17" s="1">
        <f t="shared" si="52"/>
        <v>0</v>
      </c>
      <c r="CJ17" s="1">
        <f t="shared" si="53"/>
        <v>0</v>
      </c>
      <c r="CK17" s="1">
        <f t="shared" si="54"/>
        <v>0</v>
      </c>
      <c r="CL17" s="1">
        <f t="shared" si="55"/>
        <v>0</v>
      </c>
      <c r="CM17" s="1">
        <f t="shared" si="56"/>
        <v>0</v>
      </c>
      <c r="CN17" s="1">
        <f t="shared" si="57"/>
        <v>0</v>
      </c>
      <c r="CO17" s="1">
        <f t="shared" si="58"/>
        <v>0</v>
      </c>
      <c r="CP17" s="1">
        <f t="shared" si="59"/>
        <v>0</v>
      </c>
      <c r="CQ17" s="1">
        <f t="shared" si="60"/>
        <v>0</v>
      </c>
      <c r="CR17" s="1">
        <f t="shared" si="61"/>
        <v>0</v>
      </c>
    </row>
    <row r="18" spans="1:96" x14ac:dyDescent="0.25">
      <c r="A18" s="3" t="s">
        <v>17</v>
      </c>
      <c r="B18" s="1">
        <v>33</v>
      </c>
      <c r="C18" s="1">
        <v>0</v>
      </c>
      <c r="D18" s="1">
        <v>0</v>
      </c>
      <c r="E18" s="1">
        <v>0</v>
      </c>
      <c r="F18" s="1">
        <v>3</v>
      </c>
      <c r="G18" s="1">
        <v>4</v>
      </c>
      <c r="H18" s="1">
        <v>4</v>
      </c>
      <c r="I18" s="1">
        <v>5</v>
      </c>
      <c r="J18" s="1">
        <v>4</v>
      </c>
      <c r="K18" s="1">
        <v>10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7"/>
      <c r="R18" s="1">
        <v>0</v>
      </c>
      <c r="S18" s="1">
        <v>0</v>
      </c>
      <c r="T18" s="1">
        <v>3</v>
      </c>
      <c r="U18" s="1">
        <v>4</v>
      </c>
      <c r="V18" s="1">
        <v>2</v>
      </c>
      <c r="W18" s="1">
        <v>2</v>
      </c>
      <c r="X18" s="1">
        <v>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19</v>
      </c>
      <c r="AH18" s="3" t="s">
        <v>17</v>
      </c>
      <c r="AI18" s="1">
        <f t="shared" si="62"/>
        <v>1</v>
      </c>
      <c r="AJ18" s="1">
        <f t="shared" si="63"/>
        <v>0</v>
      </c>
      <c r="AK18" s="1">
        <f t="shared" si="64"/>
        <v>0</v>
      </c>
      <c r="AL18" s="1">
        <f t="shared" si="65"/>
        <v>0</v>
      </c>
      <c r="AM18" s="1">
        <f t="shared" si="66"/>
        <v>0</v>
      </c>
      <c r="AN18" s="1">
        <f t="shared" si="67"/>
        <v>0</v>
      </c>
      <c r="AO18" s="1">
        <f t="shared" si="68"/>
        <v>0</v>
      </c>
      <c r="AP18" s="1">
        <f t="shared" si="69"/>
        <v>0</v>
      </c>
      <c r="AQ18" s="1">
        <f t="shared" si="70"/>
        <v>0</v>
      </c>
      <c r="AR18" s="1">
        <f t="shared" si="71"/>
        <v>1</v>
      </c>
      <c r="AS18" s="1">
        <f t="shared" si="72"/>
        <v>0</v>
      </c>
      <c r="AT18" s="1">
        <f t="shared" si="73"/>
        <v>0</v>
      </c>
      <c r="AU18" s="1">
        <f t="shared" si="74"/>
        <v>0</v>
      </c>
      <c r="AV18" s="1">
        <f t="shared" si="75"/>
        <v>0</v>
      </c>
      <c r="AW18" s="1">
        <f t="shared" si="76"/>
        <v>0</v>
      </c>
      <c r="AX18" s="1">
        <f t="shared" si="77"/>
        <v>0</v>
      </c>
      <c r="AY18" s="1">
        <f t="shared" si="78"/>
        <v>0</v>
      </c>
      <c r="AZ18" s="1">
        <f t="shared" si="79"/>
        <v>0</v>
      </c>
      <c r="BA18" s="1">
        <f t="shared" si="80"/>
        <v>0</v>
      </c>
      <c r="BB18" s="1">
        <f t="shared" si="81"/>
        <v>0</v>
      </c>
      <c r="BC18" s="1">
        <f t="shared" si="82"/>
        <v>0</v>
      </c>
      <c r="BD18" s="1">
        <f t="shared" si="83"/>
        <v>0</v>
      </c>
      <c r="BE18" s="1">
        <f t="shared" si="84"/>
        <v>0</v>
      </c>
      <c r="BF18" s="1">
        <f t="shared" si="85"/>
        <v>0</v>
      </c>
      <c r="BG18" s="1">
        <f t="shared" si="86"/>
        <v>0</v>
      </c>
      <c r="BH18" s="1">
        <f t="shared" si="87"/>
        <v>0</v>
      </c>
      <c r="BI18" s="1">
        <f t="shared" si="88"/>
        <v>0</v>
      </c>
      <c r="BJ18" s="1">
        <f t="shared" si="89"/>
        <v>0</v>
      </c>
      <c r="BK18" s="1">
        <f t="shared" si="90"/>
        <v>0</v>
      </c>
      <c r="BL18" s="1">
        <f t="shared" si="91"/>
        <v>1</v>
      </c>
      <c r="BN18" s="3" t="s">
        <v>17</v>
      </c>
      <c r="BO18" s="1">
        <f t="shared" si="32"/>
        <v>0.3</v>
      </c>
      <c r="BP18" s="1">
        <f t="shared" si="33"/>
        <v>0</v>
      </c>
      <c r="BQ18" s="1">
        <f t="shared" si="34"/>
        <v>0</v>
      </c>
      <c r="BR18" s="1">
        <f t="shared" si="35"/>
        <v>0</v>
      </c>
      <c r="BS18" s="1">
        <f t="shared" si="36"/>
        <v>0</v>
      </c>
      <c r="BT18" s="1">
        <f t="shared" si="37"/>
        <v>0</v>
      </c>
      <c r="BU18" s="1">
        <f t="shared" si="38"/>
        <v>0</v>
      </c>
      <c r="BV18" s="1">
        <f t="shared" si="39"/>
        <v>0</v>
      </c>
      <c r="BW18" s="1">
        <f t="shared" si="40"/>
        <v>0</v>
      </c>
      <c r="BX18" s="1">
        <f t="shared" si="41"/>
        <v>0.3</v>
      </c>
      <c r="BY18" s="1">
        <f t="shared" si="42"/>
        <v>0</v>
      </c>
      <c r="BZ18" s="1">
        <f t="shared" si="43"/>
        <v>0</v>
      </c>
      <c r="CA18" s="1">
        <f t="shared" si="44"/>
        <v>0</v>
      </c>
      <c r="CB18" s="1">
        <f t="shared" si="45"/>
        <v>0</v>
      </c>
      <c r="CC18" s="1">
        <f t="shared" si="46"/>
        <v>0</v>
      </c>
      <c r="CD18" s="1">
        <f t="shared" si="47"/>
        <v>0</v>
      </c>
      <c r="CE18" s="1">
        <f t="shared" si="48"/>
        <v>0</v>
      </c>
      <c r="CF18" s="1">
        <f t="shared" si="49"/>
        <v>0</v>
      </c>
      <c r="CG18" s="1">
        <f t="shared" si="50"/>
        <v>0</v>
      </c>
      <c r="CH18" s="1">
        <f t="shared" si="51"/>
        <v>0</v>
      </c>
      <c r="CI18" s="1">
        <f t="shared" si="52"/>
        <v>0</v>
      </c>
      <c r="CJ18" s="1">
        <f t="shared" si="53"/>
        <v>0</v>
      </c>
      <c r="CK18" s="1">
        <f t="shared" si="54"/>
        <v>0</v>
      </c>
      <c r="CL18" s="1">
        <f t="shared" si="55"/>
        <v>0</v>
      </c>
      <c r="CM18" s="1">
        <f t="shared" si="56"/>
        <v>0</v>
      </c>
      <c r="CN18" s="1">
        <f t="shared" si="57"/>
        <v>0</v>
      </c>
      <c r="CO18" s="1">
        <f t="shared" si="58"/>
        <v>0</v>
      </c>
      <c r="CP18" s="1">
        <f t="shared" si="59"/>
        <v>0</v>
      </c>
      <c r="CQ18" s="1">
        <f t="shared" si="60"/>
        <v>0</v>
      </c>
      <c r="CR18" s="1">
        <f t="shared" si="61"/>
        <v>0.3</v>
      </c>
    </row>
    <row r="19" spans="1:96" x14ac:dyDescent="0.25">
      <c r="A19" s="3" t="s">
        <v>18</v>
      </c>
      <c r="B19" s="1">
        <v>41</v>
      </c>
      <c r="C19" s="1">
        <v>4</v>
      </c>
      <c r="D19" s="1">
        <v>12</v>
      </c>
      <c r="E19" s="1">
        <v>0</v>
      </c>
      <c r="F19" s="1">
        <v>9</v>
      </c>
      <c r="G19" s="1">
        <v>10</v>
      </c>
      <c r="H19" s="1">
        <v>10</v>
      </c>
      <c r="I19" s="1">
        <v>3</v>
      </c>
      <c r="J19" s="1">
        <v>1</v>
      </c>
      <c r="K19" s="1">
        <v>36</v>
      </c>
      <c r="L19" s="1">
        <v>42</v>
      </c>
      <c r="M19" s="1">
        <v>3</v>
      </c>
      <c r="N19" s="1">
        <v>0</v>
      </c>
      <c r="O19" s="1">
        <v>7</v>
      </c>
      <c r="P19" s="1">
        <v>42</v>
      </c>
      <c r="Q19" s="1">
        <v>0</v>
      </c>
      <c r="R19" s="7"/>
      <c r="S19" s="1">
        <v>0</v>
      </c>
      <c r="T19" s="1">
        <v>9</v>
      </c>
      <c r="U19" s="1">
        <v>8</v>
      </c>
      <c r="V19" s="1">
        <v>2</v>
      </c>
      <c r="W19" s="1">
        <v>2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H19" s="3" t="s">
        <v>18</v>
      </c>
      <c r="AI19" s="1">
        <f t="shared" si="62"/>
        <v>1</v>
      </c>
      <c r="AJ19" s="1">
        <f t="shared" si="63"/>
        <v>0</v>
      </c>
      <c r="AK19" s="1">
        <f t="shared" si="64"/>
        <v>1</v>
      </c>
      <c r="AL19" s="1">
        <f t="shared" si="65"/>
        <v>0</v>
      </c>
      <c r="AM19" s="1">
        <f t="shared" si="66"/>
        <v>1</v>
      </c>
      <c r="AN19" s="1">
        <f t="shared" si="67"/>
        <v>1</v>
      </c>
      <c r="AO19" s="1">
        <f t="shared" si="68"/>
        <v>1</v>
      </c>
      <c r="AP19" s="1">
        <f t="shared" si="69"/>
        <v>0</v>
      </c>
      <c r="AQ19" s="1">
        <f t="shared" si="70"/>
        <v>0</v>
      </c>
      <c r="AR19" s="1">
        <f t="shared" si="71"/>
        <v>1</v>
      </c>
      <c r="AS19" s="1">
        <f t="shared" si="72"/>
        <v>1</v>
      </c>
      <c r="AT19" s="1">
        <f t="shared" si="73"/>
        <v>0</v>
      </c>
      <c r="AU19" s="1">
        <f t="shared" si="74"/>
        <v>0</v>
      </c>
      <c r="AV19" s="1">
        <f t="shared" si="75"/>
        <v>1</v>
      </c>
      <c r="AW19" s="1">
        <f t="shared" si="76"/>
        <v>1</v>
      </c>
      <c r="AX19" s="1">
        <f t="shared" si="77"/>
        <v>0</v>
      </c>
      <c r="AY19" s="1">
        <f t="shared" si="78"/>
        <v>0</v>
      </c>
      <c r="AZ19" s="1">
        <f t="shared" si="79"/>
        <v>0</v>
      </c>
      <c r="BA19" s="1">
        <f t="shared" si="80"/>
        <v>1</v>
      </c>
      <c r="BB19" s="1">
        <f t="shared" si="81"/>
        <v>1</v>
      </c>
      <c r="BC19" s="1">
        <f t="shared" si="82"/>
        <v>0</v>
      </c>
      <c r="BD19" s="1">
        <f t="shared" si="83"/>
        <v>0</v>
      </c>
      <c r="BE19" s="1">
        <f t="shared" si="84"/>
        <v>0</v>
      </c>
      <c r="BF19" s="1">
        <f t="shared" si="85"/>
        <v>0</v>
      </c>
      <c r="BG19" s="1">
        <f t="shared" si="86"/>
        <v>0</v>
      </c>
      <c r="BH19" s="1">
        <f t="shared" si="87"/>
        <v>0</v>
      </c>
      <c r="BI19" s="1">
        <f t="shared" si="88"/>
        <v>0</v>
      </c>
      <c r="BJ19" s="1">
        <f t="shared" si="89"/>
        <v>0</v>
      </c>
      <c r="BK19" s="1">
        <f t="shared" si="90"/>
        <v>0</v>
      </c>
      <c r="BL19" s="1">
        <f t="shared" si="91"/>
        <v>0</v>
      </c>
      <c r="BN19" s="3" t="s">
        <v>18</v>
      </c>
      <c r="BO19" s="1">
        <f t="shared" si="32"/>
        <v>0.3</v>
      </c>
      <c r="BP19" s="1">
        <f t="shared" si="33"/>
        <v>0</v>
      </c>
      <c r="BQ19" s="1">
        <f t="shared" si="34"/>
        <v>0.3</v>
      </c>
      <c r="BR19" s="1">
        <f t="shared" si="35"/>
        <v>0</v>
      </c>
      <c r="BS19" s="1">
        <f t="shared" si="36"/>
        <v>0.3</v>
      </c>
      <c r="BT19" s="1">
        <f t="shared" si="37"/>
        <v>0.3</v>
      </c>
      <c r="BU19" s="1">
        <f t="shared" si="38"/>
        <v>0.3</v>
      </c>
      <c r="BV19" s="1">
        <f t="shared" si="39"/>
        <v>0</v>
      </c>
      <c r="BW19" s="1">
        <f t="shared" si="40"/>
        <v>0</v>
      </c>
      <c r="BX19" s="1">
        <f t="shared" si="41"/>
        <v>0.3</v>
      </c>
      <c r="BY19" s="1">
        <f t="shared" si="42"/>
        <v>0.3</v>
      </c>
      <c r="BZ19" s="1">
        <f t="shared" si="43"/>
        <v>0</v>
      </c>
      <c r="CA19" s="1">
        <f t="shared" si="44"/>
        <v>0</v>
      </c>
      <c r="CB19" s="1">
        <f t="shared" si="45"/>
        <v>0.3</v>
      </c>
      <c r="CC19" s="1">
        <f t="shared" si="46"/>
        <v>0.3</v>
      </c>
      <c r="CD19" s="1">
        <f t="shared" si="47"/>
        <v>0</v>
      </c>
      <c r="CE19" s="1">
        <f t="shared" si="48"/>
        <v>0</v>
      </c>
      <c r="CF19" s="1">
        <f t="shared" si="49"/>
        <v>0</v>
      </c>
      <c r="CG19" s="1">
        <f t="shared" si="50"/>
        <v>0.3</v>
      </c>
      <c r="CH19" s="1">
        <f t="shared" si="51"/>
        <v>0.3</v>
      </c>
      <c r="CI19" s="1">
        <f t="shared" si="52"/>
        <v>0</v>
      </c>
      <c r="CJ19" s="1">
        <f t="shared" si="53"/>
        <v>0</v>
      </c>
      <c r="CK19" s="1">
        <f t="shared" si="54"/>
        <v>0</v>
      </c>
      <c r="CL19" s="1">
        <f t="shared" si="55"/>
        <v>0</v>
      </c>
      <c r="CM19" s="1">
        <f t="shared" si="56"/>
        <v>0</v>
      </c>
      <c r="CN19" s="1">
        <f t="shared" si="57"/>
        <v>0</v>
      </c>
      <c r="CO19" s="1">
        <f t="shared" si="58"/>
        <v>0</v>
      </c>
      <c r="CP19" s="1">
        <f t="shared" si="59"/>
        <v>0</v>
      </c>
      <c r="CQ19" s="1">
        <f t="shared" si="60"/>
        <v>0</v>
      </c>
      <c r="CR19" s="1">
        <f t="shared" si="61"/>
        <v>0</v>
      </c>
    </row>
    <row r="20" spans="1:96" x14ac:dyDescent="0.25">
      <c r="A20" s="3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7"/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H20" s="3" t="s">
        <v>19</v>
      </c>
      <c r="AI20" s="1">
        <f t="shared" si="62"/>
        <v>0</v>
      </c>
      <c r="AJ20" s="1">
        <f t="shared" si="63"/>
        <v>0</v>
      </c>
      <c r="AK20" s="1">
        <f t="shared" si="64"/>
        <v>0</v>
      </c>
      <c r="AL20" s="1">
        <f t="shared" si="65"/>
        <v>0</v>
      </c>
      <c r="AM20" s="1">
        <f t="shared" si="66"/>
        <v>0</v>
      </c>
      <c r="AN20" s="1">
        <f t="shared" si="67"/>
        <v>0</v>
      </c>
      <c r="AO20" s="1">
        <f t="shared" si="68"/>
        <v>0</v>
      </c>
      <c r="AP20" s="1">
        <f t="shared" si="69"/>
        <v>0</v>
      </c>
      <c r="AQ20" s="1">
        <f t="shared" si="70"/>
        <v>0</v>
      </c>
      <c r="AR20" s="1">
        <f t="shared" si="71"/>
        <v>0</v>
      </c>
      <c r="AS20" s="1">
        <f t="shared" si="72"/>
        <v>0</v>
      </c>
      <c r="AT20" s="1">
        <f t="shared" si="73"/>
        <v>0</v>
      </c>
      <c r="AU20" s="1">
        <f t="shared" si="74"/>
        <v>0</v>
      </c>
      <c r="AV20" s="1">
        <f t="shared" si="75"/>
        <v>0</v>
      </c>
      <c r="AW20" s="1">
        <f t="shared" si="76"/>
        <v>0</v>
      </c>
      <c r="AX20" s="1">
        <f t="shared" si="77"/>
        <v>0</v>
      </c>
      <c r="AY20" s="1">
        <f t="shared" si="78"/>
        <v>0</v>
      </c>
      <c r="AZ20" s="1">
        <f t="shared" si="79"/>
        <v>0</v>
      </c>
      <c r="BA20" s="1">
        <f t="shared" si="80"/>
        <v>0</v>
      </c>
      <c r="BB20" s="1">
        <f t="shared" si="81"/>
        <v>0</v>
      </c>
      <c r="BC20" s="1">
        <f t="shared" si="82"/>
        <v>0</v>
      </c>
      <c r="BD20" s="1">
        <f t="shared" si="83"/>
        <v>0</v>
      </c>
      <c r="BE20" s="1">
        <f t="shared" si="84"/>
        <v>0</v>
      </c>
      <c r="BF20" s="1">
        <f t="shared" si="85"/>
        <v>0</v>
      </c>
      <c r="BG20" s="1">
        <f t="shared" si="86"/>
        <v>0</v>
      </c>
      <c r="BH20" s="1">
        <f t="shared" si="87"/>
        <v>0</v>
      </c>
      <c r="BI20" s="1">
        <f t="shared" si="88"/>
        <v>0</v>
      </c>
      <c r="BJ20" s="1">
        <f t="shared" si="89"/>
        <v>0</v>
      </c>
      <c r="BK20" s="1">
        <f t="shared" si="90"/>
        <v>0</v>
      </c>
      <c r="BL20" s="1">
        <f t="shared" si="91"/>
        <v>0</v>
      </c>
      <c r="BN20" s="3" t="s">
        <v>19</v>
      </c>
      <c r="BO20" s="1">
        <f t="shared" si="32"/>
        <v>0</v>
      </c>
      <c r="BP20" s="1">
        <f t="shared" si="33"/>
        <v>0</v>
      </c>
      <c r="BQ20" s="1">
        <f t="shared" si="34"/>
        <v>0</v>
      </c>
      <c r="BR20" s="1">
        <f t="shared" si="35"/>
        <v>0</v>
      </c>
      <c r="BS20" s="1">
        <f t="shared" si="36"/>
        <v>0</v>
      </c>
      <c r="BT20" s="1">
        <f t="shared" si="37"/>
        <v>0</v>
      </c>
      <c r="BU20" s="1">
        <f t="shared" si="38"/>
        <v>0</v>
      </c>
      <c r="BV20" s="1">
        <f t="shared" si="39"/>
        <v>0</v>
      </c>
      <c r="BW20" s="1">
        <f t="shared" si="40"/>
        <v>0</v>
      </c>
      <c r="BX20" s="1">
        <f t="shared" si="41"/>
        <v>0</v>
      </c>
      <c r="BY20" s="1">
        <f t="shared" si="42"/>
        <v>0</v>
      </c>
      <c r="BZ20" s="1">
        <f t="shared" si="43"/>
        <v>0</v>
      </c>
      <c r="CA20" s="1">
        <f t="shared" si="44"/>
        <v>0</v>
      </c>
      <c r="CB20" s="1">
        <f t="shared" si="45"/>
        <v>0</v>
      </c>
      <c r="CC20" s="1">
        <f t="shared" si="46"/>
        <v>0</v>
      </c>
      <c r="CD20" s="1">
        <f t="shared" si="47"/>
        <v>0</v>
      </c>
      <c r="CE20" s="1">
        <f t="shared" si="48"/>
        <v>0</v>
      </c>
      <c r="CF20" s="1">
        <f t="shared" si="49"/>
        <v>0</v>
      </c>
      <c r="CG20" s="1">
        <f t="shared" si="50"/>
        <v>0</v>
      </c>
      <c r="CH20" s="1">
        <f t="shared" si="51"/>
        <v>0</v>
      </c>
      <c r="CI20" s="1">
        <f t="shared" si="52"/>
        <v>0</v>
      </c>
      <c r="CJ20" s="1">
        <f t="shared" si="53"/>
        <v>0</v>
      </c>
      <c r="CK20" s="1">
        <f t="shared" si="54"/>
        <v>0</v>
      </c>
      <c r="CL20" s="1">
        <f t="shared" si="55"/>
        <v>0</v>
      </c>
      <c r="CM20" s="1">
        <f t="shared" si="56"/>
        <v>0</v>
      </c>
      <c r="CN20" s="1">
        <f t="shared" si="57"/>
        <v>0</v>
      </c>
      <c r="CO20" s="1">
        <f t="shared" si="58"/>
        <v>0</v>
      </c>
      <c r="CP20" s="1">
        <f t="shared" si="59"/>
        <v>0</v>
      </c>
      <c r="CQ20" s="1">
        <f t="shared" si="60"/>
        <v>0</v>
      </c>
      <c r="CR20" s="1">
        <f t="shared" si="61"/>
        <v>0</v>
      </c>
    </row>
    <row r="21" spans="1:96" x14ac:dyDescent="0.25">
      <c r="A21" s="3" t="s">
        <v>20</v>
      </c>
      <c r="B21" s="1">
        <v>31</v>
      </c>
      <c r="C21" s="1">
        <v>1</v>
      </c>
      <c r="D21" s="1">
        <v>10</v>
      </c>
      <c r="E21" s="1">
        <v>3</v>
      </c>
      <c r="F21" s="1">
        <v>10</v>
      </c>
      <c r="G21" s="1">
        <v>14</v>
      </c>
      <c r="H21" s="1">
        <v>14</v>
      </c>
      <c r="I21" s="1">
        <v>1</v>
      </c>
      <c r="J21" s="1">
        <v>0</v>
      </c>
      <c r="K21" s="1">
        <v>4</v>
      </c>
      <c r="L21" s="1">
        <v>5</v>
      </c>
      <c r="M21" s="1">
        <v>4</v>
      </c>
      <c r="N21" s="1">
        <v>0</v>
      </c>
      <c r="O21" s="1">
        <v>1</v>
      </c>
      <c r="P21" s="1">
        <v>13</v>
      </c>
      <c r="Q21" s="1">
        <v>3</v>
      </c>
      <c r="R21" s="1">
        <v>9</v>
      </c>
      <c r="S21" s="1">
        <v>0</v>
      </c>
      <c r="T21" s="7"/>
      <c r="U21" s="1">
        <v>29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  <c r="AE21" s="1">
        <v>4</v>
      </c>
      <c r="AH21" s="3" t="s">
        <v>20</v>
      </c>
      <c r="AI21" s="1">
        <f t="shared" si="62"/>
        <v>1</v>
      </c>
      <c r="AJ21" s="1">
        <f t="shared" si="63"/>
        <v>0</v>
      </c>
      <c r="AK21" s="1">
        <f t="shared" si="64"/>
        <v>1</v>
      </c>
      <c r="AL21" s="1">
        <f t="shared" si="65"/>
        <v>0</v>
      </c>
      <c r="AM21" s="1">
        <f t="shared" si="66"/>
        <v>1</v>
      </c>
      <c r="AN21" s="1">
        <f t="shared" si="67"/>
        <v>1</v>
      </c>
      <c r="AO21" s="1">
        <f t="shared" si="68"/>
        <v>1</v>
      </c>
      <c r="AP21" s="1">
        <f t="shared" si="69"/>
        <v>0</v>
      </c>
      <c r="AQ21" s="1">
        <f t="shared" si="70"/>
        <v>0</v>
      </c>
      <c r="AR21" s="1">
        <f t="shared" si="71"/>
        <v>0</v>
      </c>
      <c r="AS21" s="1">
        <f t="shared" si="72"/>
        <v>0</v>
      </c>
      <c r="AT21" s="1">
        <f t="shared" si="73"/>
        <v>0</v>
      </c>
      <c r="AU21" s="1">
        <f t="shared" si="74"/>
        <v>0</v>
      </c>
      <c r="AV21" s="1">
        <f t="shared" si="75"/>
        <v>0</v>
      </c>
      <c r="AW21" s="1">
        <f t="shared" si="76"/>
        <v>1</v>
      </c>
      <c r="AX21" s="1">
        <f t="shared" si="77"/>
        <v>0</v>
      </c>
      <c r="AY21" s="1">
        <f t="shared" si="78"/>
        <v>1</v>
      </c>
      <c r="AZ21" s="1">
        <f t="shared" si="79"/>
        <v>0</v>
      </c>
      <c r="BA21" s="1">
        <f t="shared" si="80"/>
        <v>0</v>
      </c>
      <c r="BB21" s="1">
        <f t="shared" si="81"/>
        <v>1</v>
      </c>
      <c r="BC21" s="1">
        <f t="shared" si="82"/>
        <v>0</v>
      </c>
      <c r="BD21" s="1">
        <f t="shared" si="83"/>
        <v>0</v>
      </c>
      <c r="BE21" s="1">
        <f t="shared" si="84"/>
        <v>0</v>
      </c>
      <c r="BF21" s="1">
        <f t="shared" si="85"/>
        <v>0</v>
      </c>
      <c r="BG21" s="1">
        <f t="shared" si="86"/>
        <v>0</v>
      </c>
      <c r="BH21" s="1">
        <f t="shared" si="87"/>
        <v>0</v>
      </c>
      <c r="BI21" s="1">
        <f t="shared" si="88"/>
        <v>0</v>
      </c>
      <c r="BJ21" s="1">
        <f t="shared" si="89"/>
        <v>0</v>
      </c>
      <c r="BK21" s="1">
        <f t="shared" si="90"/>
        <v>0</v>
      </c>
      <c r="BL21" s="1">
        <f t="shared" si="91"/>
        <v>0</v>
      </c>
      <c r="BN21" s="3" t="s">
        <v>20</v>
      </c>
      <c r="BO21" s="1">
        <f t="shared" si="32"/>
        <v>0.3</v>
      </c>
      <c r="BP21" s="1">
        <f t="shared" si="33"/>
        <v>0</v>
      </c>
      <c r="BQ21" s="1">
        <f t="shared" si="34"/>
        <v>0.3</v>
      </c>
      <c r="BR21" s="1">
        <f t="shared" si="35"/>
        <v>0</v>
      </c>
      <c r="BS21" s="1">
        <f t="shared" si="36"/>
        <v>0.3</v>
      </c>
      <c r="BT21" s="1">
        <f t="shared" si="37"/>
        <v>0.3</v>
      </c>
      <c r="BU21" s="1">
        <f t="shared" si="38"/>
        <v>0.3</v>
      </c>
      <c r="BV21" s="1">
        <f t="shared" si="39"/>
        <v>0</v>
      </c>
      <c r="BW21" s="1">
        <f t="shared" si="40"/>
        <v>0</v>
      </c>
      <c r="BX21" s="1">
        <f t="shared" si="41"/>
        <v>0</v>
      </c>
      <c r="BY21" s="1">
        <f t="shared" si="42"/>
        <v>0</v>
      </c>
      <c r="BZ21" s="1">
        <f t="shared" si="43"/>
        <v>0</v>
      </c>
      <c r="CA21" s="1">
        <f t="shared" si="44"/>
        <v>0</v>
      </c>
      <c r="CB21" s="1">
        <f t="shared" si="45"/>
        <v>0</v>
      </c>
      <c r="CC21" s="1">
        <f t="shared" si="46"/>
        <v>0.3</v>
      </c>
      <c r="CD21" s="1">
        <f t="shared" si="47"/>
        <v>0</v>
      </c>
      <c r="CE21" s="1">
        <f t="shared" si="48"/>
        <v>0.3</v>
      </c>
      <c r="CF21" s="1">
        <f t="shared" si="49"/>
        <v>0</v>
      </c>
      <c r="CG21" s="1">
        <f t="shared" si="50"/>
        <v>0</v>
      </c>
      <c r="CH21" s="1">
        <f t="shared" si="51"/>
        <v>0.3</v>
      </c>
      <c r="CI21" s="1">
        <f t="shared" si="52"/>
        <v>0</v>
      </c>
      <c r="CJ21" s="1">
        <f t="shared" si="53"/>
        <v>0</v>
      </c>
      <c r="CK21" s="1">
        <f t="shared" si="54"/>
        <v>0</v>
      </c>
      <c r="CL21" s="1">
        <f t="shared" si="55"/>
        <v>0</v>
      </c>
      <c r="CM21" s="1">
        <f t="shared" si="56"/>
        <v>0</v>
      </c>
      <c r="CN21" s="1">
        <f t="shared" si="57"/>
        <v>0</v>
      </c>
      <c r="CO21" s="1">
        <f t="shared" si="58"/>
        <v>0</v>
      </c>
      <c r="CP21" s="1">
        <f t="shared" si="59"/>
        <v>0</v>
      </c>
      <c r="CQ21" s="1">
        <f t="shared" si="60"/>
        <v>0</v>
      </c>
      <c r="CR21" s="1">
        <f t="shared" si="61"/>
        <v>0</v>
      </c>
    </row>
    <row r="22" spans="1:96" x14ac:dyDescent="0.25">
      <c r="A22" s="3" t="s">
        <v>21</v>
      </c>
      <c r="B22" s="1">
        <v>43</v>
      </c>
      <c r="C22" s="1">
        <v>1</v>
      </c>
      <c r="D22" s="1">
        <v>10</v>
      </c>
      <c r="E22" s="1">
        <v>7</v>
      </c>
      <c r="F22" s="1">
        <v>10</v>
      </c>
      <c r="G22" s="1">
        <v>16</v>
      </c>
      <c r="H22" s="1">
        <v>16</v>
      </c>
      <c r="I22" s="1">
        <v>1</v>
      </c>
      <c r="J22" s="1">
        <v>0</v>
      </c>
      <c r="K22" s="1">
        <v>4</v>
      </c>
      <c r="L22" s="1">
        <v>5</v>
      </c>
      <c r="M22" s="1">
        <v>4</v>
      </c>
      <c r="N22" s="1">
        <v>7</v>
      </c>
      <c r="O22" s="1">
        <v>1</v>
      </c>
      <c r="P22" s="1">
        <v>10</v>
      </c>
      <c r="Q22" s="1">
        <v>4</v>
      </c>
      <c r="R22" s="1">
        <v>8</v>
      </c>
      <c r="S22" s="1">
        <v>0</v>
      </c>
      <c r="T22" s="1">
        <v>29</v>
      </c>
      <c r="U22" s="7"/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4</v>
      </c>
      <c r="AH22" s="3" t="s">
        <v>21</v>
      </c>
      <c r="AI22" s="1">
        <f t="shared" si="62"/>
        <v>1</v>
      </c>
      <c r="AJ22" s="1">
        <f t="shared" si="63"/>
        <v>0</v>
      </c>
      <c r="AK22" s="1">
        <f t="shared" si="64"/>
        <v>1</v>
      </c>
      <c r="AL22" s="1">
        <f t="shared" si="65"/>
        <v>1</v>
      </c>
      <c r="AM22" s="1">
        <f t="shared" si="66"/>
        <v>1</v>
      </c>
      <c r="AN22" s="1">
        <f t="shared" si="67"/>
        <v>1</v>
      </c>
      <c r="AO22" s="1">
        <f t="shared" si="68"/>
        <v>1</v>
      </c>
      <c r="AP22" s="1">
        <f t="shared" si="69"/>
        <v>0</v>
      </c>
      <c r="AQ22" s="1">
        <f t="shared" si="70"/>
        <v>0</v>
      </c>
      <c r="AR22" s="1">
        <f t="shared" si="71"/>
        <v>0</v>
      </c>
      <c r="AS22" s="1">
        <f t="shared" si="72"/>
        <v>0</v>
      </c>
      <c r="AT22" s="1">
        <f t="shared" si="73"/>
        <v>0</v>
      </c>
      <c r="AU22" s="1">
        <f t="shared" si="74"/>
        <v>1</v>
      </c>
      <c r="AV22" s="1">
        <f t="shared" si="75"/>
        <v>0</v>
      </c>
      <c r="AW22" s="1">
        <f t="shared" si="76"/>
        <v>1</v>
      </c>
      <c r="AX22" s="1">
        <f t="shared" si="77"/>
        <v>0</v>
      </c>
      <c r="AY22" s="1">
        <f t="shared" si="78"/>
        <v>1</v>
      </c>
      <c r="AZ22" s="1">
        <f t="shared" si="79"/>
        <v>0</v>
      </c>
      <c r="BA22" s="1">
        <f t="shared" si="80"/>
        <v>1</v>
      </c>
      <c r="BB22" s="1">
        <f t="shared" si="81"/>
        <v>0</v>
      </c>
      <c r="BC22" s="1">
        <f t="shared" si="82"/>
        <v>0</v>
      </c>
      <c r="BD22" s="1">
        <f t="shared" si="83"/>
        <v>0</v>
      </c>
      <c r="BE22" s="1">
        <f t="shared" si="84"/>
        <v>0</v>
      </c>
      <c r="BF22" s="1">
        <f t="shared" si="85"/>
        <v>0</v>
      </c>
      <c r="BG22" s="1">
        <f t="shared" si="86"/>
        <v>0</v>
      </c>
      <c r="BH22" s="1">
        <f t="shared" si="87"/>
        <v>0</v>
      </c>
      <c r="BI22" s="1">
        <f t="shared" si="88"/>
        <v>0</v>
      </c>
      <c r="BJ22" s="1">
        <f t="shared" si="89"/>
        <v>0</v>
      </c>
      <c r="BK22" s="1">
        <f t="shared" si="90"/>
        <v>0</v>
      </c>
      <c r="BL22" s="1">
        <f t="shared" si="91"/>
        <v>0</v>
      </c>
      <c r="BN22" s="3" t="s">
        <v>21</v>
      </c>
      <c r="BO22" s="1">
        <f t="shared" si="32"/>
        <v>0.3</v>
      </c>
      <c r="BP22" s="1">
        <f t="shared" si="33"/>
        <v>0</v>
      </c>
      <c r="BQ22" s="1">
        <f t="shared" si="34"/>
        <v>0.3</v>
      </c>
      <c r="BR22" s="1">
        <f t="shared" si="35"/>
        <v>0.3</v>
      </c>
      <c r="BS22" s="1">
        <f t="shared" si="36"/>
        <v>0.3</v>
      </c>
      <c r="BT22" s="1">
        <f t="shared" si="37"/>
        <v>0.3</v>
      </c>
      <c r="BU22" s="1">
        <f t="shared" si="38"/>
        <v>0.3</v>
      </c>
      <c r="BV22" s="1">
        <f t="shared" si="39"/>
        <v>0</v>
      </c>
      <c r="BW22" s="1">
        <f t="shared" si="40"/>
        <v>0</v>
      </c>
      <c r="BX22" s="1">
        <f t="shared" si="41"/>
        <v>0</v>
      </c>
      <c r="BY22" s="1">
        <f t="shared" si="42"/>
        <v>0</v>
      </c>
      <c r="BZ22" s="1">
        <f t="shared" si="43"/>
        <v>0</v>
      </c>
      <c r="CA22" s="1">
        <f t="shared" si="44"/>
        <v>0.3</v>
      </c>
      <c r="CB22" s="1">
        <f t="shared" si="45"/>
        <v>0</v>
      </c>
      <c r="CC22" s="1">
        <f t="shared" si="46"/>
        <v>0.3</v>
      </c>
      <c r="CD22" s="1">
        <f t="shared" si="47"/>
        <v>0</v>
      </c>
      <c r="CE22" s="1">
        <f t="shared" si="48"/>
        <v>0.3</v>
      </c>
      <c r="CF22" s="1">
        <f t="shared" si="49"/>
        <v>0</v>
      </c>
      <c r="CG22" s="1">
        <f t="shared" si="50"/>
        <v>0.3</v>
      </c>
      <c r="CH22" s="1">
        <f t="shared" si="51"/>
        <v>0</v>
      </c>
      <c r="CI22" s="1">
        <f t="shared" si="52"/>
        <v>0</v>
      </c>
      <c r="CJ22" s="1">
        <f t="shared" si="53"/>
        <v>0</v>
      </c>
      <c r="CK22" s="1">
        <f t="shared" si="54"/>
        <v>0</v>
      </c>
      <c r="CL22" s="1">
        <f t="shared" si="55"/>
        <v>0</v>
      </c>
      <c r="CM22" s="1">
        <f t="shared" si="56"/>
        <v>0</v>
      </c>
      <c r="CN22" s="1">
        <f t="shared" si="57"/>
        <v>0</v>
      </c>
      <c r="CO22" s="1">
        <f t="shared" si="58"/>
        <v>0</v>
      </c>
      <c r="CP22" s="1">
        <f t="shared" si="59"/>
        <v>0</v>
      </c>
      <c r="CQ22" s="1">
        <f t="shared" si="60"/>
        <v>0</v>
      </c>
      <c r="CR22" s="1">
        <f t="shared" si="61"/>
        <v>0</v>
      </c>
    </row>
    <row r="23" spans="1:96" x14ac:dyDescent="0.25">
      <c r="A23" s="3" t="s">
        <v>22</v>
      </c>
      <c r="B23" s="1">
        <v>8</v>
      </c>
      <c r="C23" s="1">
        <v>0</v>
      </c>
      <c r="D23" s="1">
        <v>0</v>
      </c>
      <c r="E23" s="1">
        <v>2</v>
      </c>
      <c r="F23" s="1">
        <v>0</v>
      </c>
      <c r="G23" s="1">
        <v>0</v>
      </c>
      <c r="H23" s="1">
        <v>0</v>
      </c>
      <c r="I23" s="1">
        <v>18</v>
      </c>
      <c r="J23" s="1">
        <v>0</v>
      </c>
      <c r="K23" s="1">
        <v>3</v>
      </c>
      <c r="L23" s="1">
        <v>1</v>
      </c>
      <c r="M23" s="1">
        <v>0</v>
      </c>
      <c r="N23" s="1">
        <v>1</v>
      </c>
      <c r="O23" s="1">
        <v>3</v>
      </c>
      <c r="P23" s="1">
        <v>2</v>
      </c>
      <c r="Q23" s="1">
        <v>2</v>
      </c>
      <c r="R23" s="1">
        <v>2</v>
      </c>
      <c r="S23" s="1">
        <v>0</v>
      </c>
      <c r="T23" s="1">
        <v>0</v>
      </c>
      <c r="U23" s="1">
        <v>0</v>
      </c>
      <c r="V23" s="7"/>
      <c r="W23" s="1">
        <v>20</v>
      </c>
      <c r="X23" s="1">
        <v>0</v>
      </c>
      <c r="Y23" s="1">
        <v>0</v>
      </c>
      <c r="Z23" s="1">
        <v>0</v>
      </c>
      <c r="AA23" s="1">
        <v>0</v>
      </c>
      <c r="AB23" s="1">
        <v>2</v>
      </c>
      <c r="AC23" s="1">
        <v>0</v>
      </c>
      <c r="AD23" s="1">
        <v>0</v>
      </c>
      <c r="AE23" s="1">
        <v>3</v>
      </c>
      <c r="AH23" s="3" t="s">
        <v>22</v>
      </c>
      <c r="AI23" s="1">
        <f t="shared" si="62"/>
        <v>1</v>
      </c>
      <c r="AJ23" s="1">
        <f t="shared" si="63"/>
        <v>0</v>
      </c>
      <c r="AK23" s="1">
        <f t="shared" si="64"/>
        <v>0</v>
      </c>
      <c r="AL23" s="1">
        <f t="shared" si="65"/>
        <v>0</v>
      </c>
      <c r="AM23" s="1">
        <f t="shared" si="66"/>
        <v>0</v>
      </c>
      <c r="AN23" s="1">
        <f t="shared" si="67"/>
        <v>0</v>
      </c>
      <c r="AO23" s="1">
        <f t="shared" si="68"/>
        <v>0</v>
      </c>
      <c r="AP23" s="1">
        <f t="shared" si="69"/>
        <v>1</v>
      </c>
      <c r="AQ23" s="1">
        <f t="shared" si="70"/>
        <v>0</v>
      </c>
      <c r="AR23" s="1">
        <f t="shared" si="71"/>
        <v>0</v>
      </c>
      <c r="AS23" s="1">
        <f t="shared" si="72"/>
        <v>0</v>
      </c>
      <c r="AT23" s="1">
        <f t="shared" si="73"/>
        <v>0</v>
      </c>
      <c r="AU23" s="1">
        <f t="shared" si="74"/>
        <v>0</v>
      </c>
      <c r="AV23" s="1">
        <f t="shared" si="75"/>
        <v>0</v>
      </c>
      <c r="AW23" s="1">
        <f t="shared" si="76"/>
        <v>0</v>
      </c>
      <c r="AX23" s="1">
        <f t="shared" si="77"/>
        <v>0</v>
      </c>
      <c r="AY23" s="1">
        <f t="shared" si="78"/>
        <v>0</v>
      </c>
      <c r="AZ23" s="1">
        <f t="shared" si="79"/>
        <v>0</v>
      </c>
      <c r="BA23" s="1">
        <f t="shared" si="80"/>
        <v>0</v>
      </c>
      <c r="BB23" s="1">
        <f t="shared" si="81"/>
        <v>0</v>
      </c>
      <c r="BC23" s="1">
        <f t="shared" si="82"/>
        <v>0</v>
      </c>
      <c r="BD23" s="1">
        <f t="shared" si="83"/>
        <v>1</v>
      </c>
      <c r="BE23" s="1">
        <f t="shared" si="84"/>
        <v>0</v>
      </c>
      <c r="BF23" s="1">
        <f t="shared" si="85"/>
        <v>0</v>
      </c>
      <c r="BG23" s="1">
        <f t="shared" si="86"/>
        <v>0</v>
      </c>
      <c r="BH23" s="1">
        <f t="shared" si="87"/>
        <v>0</v>
      </c>
      <c r="BI23" s="1">
        <f t="shared" si="88"/>
        <v>0</v>
      </c>
      <c r="BJ23" s="1">
        <f t="shared" si="89"/>
        <v>0</v>
      </c>
      <c r="BK23" s="1">
        <f t="shared" si="90"/>
        <v>0</v>
      </c>
      <c r="BL23" s="1">
        <f t="shared" si="91"/>
        <v>0</v>
      </c>
      <c r="BN23" s="3" t="s">
        <v>22</v>
      </c>
      <c r="BO23" s="1">
        <f t="shared" si="32"/>
        <v>0.3</v>
      </c>
      <c r="BP23" s="1">
        <f t="shared" si="33"/>
        <v>0</v>
      </c>
      <c r="BQ23" s="1">
        <f t="shared" si="34"/>
        <v>0</v>
      </c>
      <c r="BR23" s="1">
        <f t="shared" si="35"/>
        <v>0</v>
      </c>
      <c r="BS23" s="1">
        <f t="shared" si="36"/>
        <v>0</v>
      </c>
      <c r="BT23" s="1">
        <f t="shared" si="37"/>
        <v>0</v>
      </c>
      <c r="BU23" s="1">
        <f t="shared" si="38"/>
        <v>0</v>
      </c>
      <c r="BV23" s="1">
        <f t="shared" si="39"/>
        <v>0.3</v>
      </c>
      <c r="BW23" s="1">
        <f t="shared" si="40"/>
        <v>0</v>
      </c>
      <c r="BX23" s="1">
        <f t="shared" si="41"/>
        <v>0</v>
      </c>
      <c r="BY23" s="1">
        <f t="shared" si="42"/>
        <v>0</v>
      </c>
      <c r="BZ23" s="1">
        <f t="shared" si="43"/>
        <v>0</v>
      </c>
      <c r="CA23" s="1">
        <f t="shared" si="44"/>
        <v>0</v>
      </c>
      <c r="CB23" s="1">
        <f t="shared" si="45"/>
        <v>0</v>
      </c>
      <c r="CC23" s="1">
        <f t="shared" si="46"/>
        <v>0</v>
      </c>
      <c r="CD23" s="1">
        <f t="shared" si="47"/>
        <v>0</v>
      </c>
      <c r="CE23" s="1">
        <f t="shared" si="48"/>
        <v>0</v>
      </c>
      <c r="CF23" s="1">
        <f t="shared" si="49"/>
        <v>0</v>
      </c>
      <c r="CG23" s="1">
        <f t="shared" si="50"/>
        <v>0</v>
      </c>
      <c r="CH23" s="1">
        <f t="shared" si="51"/>
        <v>0</v>
      </c>
      <c r="CI23" s="1">
        <f t="shared" si="52"/>
        <v>0</v>
      </c>
      <c r="CJ23" s="1">
        <f t="shared" si="53"/>
        <v>0.3</v>
      </c>
      <c r="CK23" s="1">
        <f t="shared" si="54"/>
        <v>0</v>
      </c>
      <c r="CL23" s="1">
        <f t="shared" si="55"/>
        <v>0</v>
      </c>
      <c r="CM23" s="1">
        <f t="shared" si="56"/>
        <v>0</v>
      </c>
      <c r="CN23" s="1">
        <f t="shared" si="57"/>
        <v>0</v>
      </c>
      <c r="CO23" s="1">
        <f t="shared" si="58"/>
        <v>0</v>
      </c>
      <c r="CP23" s="1">
        <f t="shared" si="59"/>
        <v>0</v>
      </c>
      <c r="CQ23" s="1">
        <f t="shared" si="60"/>
        <v>0</v>
      </c>
      <c r="CR23" s="1">
        <f t="shared" si="61"/>
        <v>0</v>
      </c>
    </row>
    <row r="24" spans="1:96" x14ac:dyDescent="0.25">
      <c r="A24" s="3" t="s">
        <v>23</v>
      </c>
      <c r="B24" s="1">
        <v>7</v>
      </c>
      <c r="C24" s="1">
        <v>0</v>
      </c>
      <c r="D24" s="1">
        <v>0</v>
      </c>
      <c r="E24" s="1">
        <v>2</v>
      </c>
      <c r="F24" s="1">
        <v>0</v>
      </c>
      <c r="G24" s="1">
        <v>0</v>
      </c>
      <c r="H24" s="1">
        <v>0</v>
      </c>
      <c r="I24" s="1">
        <v>21</v>
      </c>
      <c r="J24" s="1">
        <v>0</v>
      </c>
      <c r="K24" s="1">
        <v>3</v>
      </c>
      <c r="L24" s="1">
        <v>1</v>
      </c>
      <c r="M24" s="1">
        <v>0</v>
      </c>
      <c r="N24" s="1">
        <v>2</v>
      </c>
      <c r="O24" s="1">
        <v>3</v>
      </c>
      <c r="P24" s="1">
        <v>2</v>
      </c>
      <c r="Q24" s="1">
        <v>2</v>
      </c>
      <c r="R24" s="1">
        <v>2</v>
      </c>
      <c r="S24" s="1">
        <v>0</v>
      </c>
      <c r="T24" s="1">
        <v>0</v>
      </c>
      <c r="U24" s="1">
        <v>0</v>
      </c>
      <c r="V24" s="1">
        <v>20</v>
      </c>
      <c r="W24" s="7"/>
      <c r="X24" s="1">
        <v>0</v>
      </c>
      <c r="Y24" s="1">
        <v>0</v>
      </c>
      <c r="Z24" s="1">
        <v>0</v>
      </c>
      <c r="AA24" s="1">
        <v>0</v>
      </c>
      <c r="AB24" s="1">
        <v>2</v>
      </c>
      <c r="AC24" s="1">
        <v>0</v>
      </c>
      <c r="AD24" s="1">
        <v>0</v>
      </c>
      <c r="AE24" s="1">
        <v>3</v>
      </c>
      <c r="AH24" s="3" t="s">
        <v>23</v>
      </c>
      <c r="AI24" s="1">
        <f t="shared" si="62"/>
        <v>1</v>
      </c>
      <c r="AJ24" s="1">
        <f t="shared" si="63"/>
        <v>0</v>
      </c>
      <c r="AK24" s="1">
        <f t="shared" si="64"/>
        <v>0</v>
      </c>
      <c r="AL24" s="1">
        <f t="shared" si="65"/>
        <v>0</v>
      </c>
      <c r="AM24" s="1">
        <f t="shared" si="66"/>
        <v>0</v>
      </c>
      <c r="AN24" s="1">
        <f t="shared" si="67"/>
        <v>0</v>
      </c>
      <c r="AO24" s="1">
        <f t="shared" si="68"/>
        <v>0</v>
      </c>
      <c r="AP24" s="1">
        <f t="shared" si="69"/>
        <v>1</v>
      </c>
      <c r="AQ24" s="1">
        <f t="shared" si="70"/>
        <v>0</v>
      </c>
      <c r="AR24" s="1">
        <f t="shared" si="71"/>
        <v>0</v>
      </c>
      <c r="AS24" s="1">
        <f t="shared" si="72"/>
        <v>0</v>
      </c>
      <c r="AT24" s="1">
        <f t="shared" si="73"/>
        <v>0</v>
      </c>
      <c r="AU24" s="1">
        <f t="shared" si="74"/>
        <v>0</v>
      </c>
      <c r="AV24" s="1">
        <f t="shared" si="75"/>
        <v>0</v>
      </c>
      <c r="AW24" s="1">
        <f t="shared" si="76"/>
        <v>0</v>
      </c>
      <c r="AX24" s="1">
        <f t="shared" si="77"/>
        <v>0</v>
      </c>
      <c r="AY24" s="1">
        <f t="shared" si="78"/>
        <v>0</v>
      </c>
      <c r="AZ24" s="1">
        <f t="shared" si="79"/>
        <v>0</v>
      </c>
      <c r="BA24" s="1">
        <f t="shared" si="80"/>
        <v>0</v>
      </c>
      <c r="BB24" s="1">
        <f t="shared" si="81"/>
        <v>0</v>
      </c>
      <c r="BC24" s="1">
        <f t="shared" si="82"/>
        <v>1</v>
      </c>
      <c r="BD24" s="1">
        <f t="shared" si="83"/>
        <v>0</v>
      </c>
      <c r="BE24" s="1">
        <f t="shared" si="84"/>
        <v>0</v>
      </c>
      <c r="BF24" s="1">
        <f t="shared" si="85"/>
        <v>0</v>
      </c>
      <c r="BG24" s="1">
        <f t="shared" si="86"/>
        <v>0</v>
      </c>
      <c r="BH24" s="1">
        <f t="shared" si="87"/>
        <v>0</v>
      </c>
      <c r="BI24" s="1">
        <f t="shared" si="88"/>
        <v>0</v>
      </c>
      <c r="BJ24" s="1">
        <f t="shared" si="89"/>
        <v>0</v>
      </c>
      <c r="BK24" s="1">
        <f t="shared" si="90"/>
        <v>0</v>
      </c>
      <c r="BL24" s="1">
        <f t="shared" si="91"/>
        <v>0</v>
      </c>
      <c r="BN24" s="3" t="s">
        <v>23</v>
      </c>
      <c r="BO24" s="1">
        <f t="shared" si="32"/>
        <v>0.3</v>
      </c>
      <c r="BP24" s="1">
        <f t="shared" si="33"/>
        <v>0</v>
      </c>
      <c r="BQ24" s="1">
        <f t="shared" si="34"/>
        <v>0</v>
      </c>
      <c r="BR24" s="1">
        <f t="shared" si="35"/>
        <v>0</v>
      </c>
      <c r="BS24" s="1">
        <f t="shared" si="36"/>
        <v>0</v>
      </c>
      <c r="BT24" s="1">
        <f t="shared" si="37"/>
        <v>0</v>
      </c>
      <c r="BU24" s="1">
        <f t="shared" si="38"/>
        <v>0</v>
      </c>
      <c r="BV24" s="1">
        <f t="shared" si="39"/>
        <v>0.3</v>
      </c>
      <c r="BW24" s="1">
        <f t="shared" si="40"/>
        <v>0</v>
      </c>
      <c r="BX24" s="1">
        <f t="shared" si="41"/>
        <v>0</v>
      </c>
      <c r="BY24" s="1">
        <f t="shared" si="42"/>
        <v>0</v>
      </c>
      <c r="BZ24" s="1">
        <f t="shared" si="43"/>
        <v>0</v>
      </c>
      <c r="CA24" s="1">
        <f t="shared" si="44"/>
        <v>0</v>
      </c>
      <c r="CB24" s="1">
        <f t="shared" si="45"/>
        <v>0</v>
      </c>
      <c r="CC24" s="1">
        <f t="shared" si="46"/>
        <v>0</v>
      </c>
      <c r="CD24" s="1">
        <f t="shared" si="47"/>
        <v>0</v>
      </c>
      <c r="CE24" s="1">
        <f t="shared" si="48"/>
        <v>0</v>
      </c>
      <c r="CF24" s="1">
        <f t="shared" si="49"/>
        <v>0</v>
      </c>
      <c r="CG24" s="1">
        <f t="shared" si="50"/>
        <v>0</v>
      </c>
      <c r="CH24" s="1">
        <f t="shared" si="51"/>
        <v>0</v>
      </c>
      <c r="CI24" s="1">
        <f t="shared" si="52"/>
        <v>0.3</v>
      </c>
      <c r="CJ24" s="1">
        <f t="shared" si="53"/>
        <v>0</v>
      </c>
      <c r="CK24" s="1">
        <f t="shared" si="54"/>
        <v>0</v>
      </c>
      <c r="CL24" s="1">
        <f t="shared" si="55"/>
        <v>0</v>
      </c>
      <c r="CM24" s="1">
        <f t="shared" si="56"/>
        <v>0</v>
      </c>
      <c r="CN24" s="1">
        <f t="shared" si="57"/>
        <v>0</v>
      </c>
      <c r="CO24" s="1">
        <f t="shared" si="58"/>
        <v>0</v>
      </c>
      <c r="CP24" s="1">
        <f t="shared" si="59"/>
        <v>0</v>
      </c>
      <c r="CQ24" s="1">
        <f t="shared" si="60"/>
        <v>0</v>
      </c>
      <c r="CR24" s="1">
        <f t="shared" si="61"/>
        <v>0</v>
      </c>
    </row>
    <row r="25" spans="1:96" x14ac:dyDescent="0.25">
      <c r="A25" s="3" t="s">
        <v>24</v>
      </c>
      <c r="B25" s="1">
        <v>1</v>
      </c>
      <c r="C25" s="1">
        <v>0</v>
      </c>
      <c r="D25" s="1">
        <v>0</v>
      </c>
      <c r="E25" s="1">
        <v>0</v>
      </c>
      <c r="F25" s="1">
        <v>1</v>
      </c>
      <c r="G25" s="1">
        <v>1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 s="7"/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H25" s="3" t="s">
        <v>24</v>
      </c>
      <c r="AI25" s="1">
        <f t="shared" si="62"/>
        <v>0</v>
      </c>
      <c r="AJ25" s="1">
        <f t="shared" si="63"/>
        <v>0</v>
      </c>
      <c r="AK25" s="1">
        <f t="shared" si="64"/>
        <v>0</v>
      </c>
      <c r="AL25" s="1">
        <f t="shared" si="65"/>
        <v>0</v>
      </c>
      <c r="AM25" s="1">
        <f t="shared" si="66"/>
        <v>0</v>
      </c>
      <c r="AN25" s="1">
        <f t="shared" si="67"/>
        <v>0</v>
      </c>
      <c r="AO25" s="1">
        <f t="shared" si="68"/>
        <v>0</v>
      </c>
      <c r="AP25" s="1">
        <f t="shared" si="69"/>
        <v>0</v>
      </c>
      <c r="AQ25" s="1">
        <f t="shared" si="70"/>
        <v>0</v>
      </c>
      <c r="AR25" s="1">
        <f t="shared" si="71"/>
        <v>0</v>
      </c>
      <c r="AS25" s="1">
        <f t="shared" si="72"/>
        <v>0</v>
      </c>
      <c r="AT25" s="1">
        <f t="shared" si="73"/>
        <v>0</v>
      </c>
      <c r="AU25" s="1">
        <f t="shared" si="74"/>
        <v>0</v>
      </c>
      <c r="AV25" s="1">
        <f t="shared" si="75"/>
        <v>0</v>
      </c>
      <c r="AW25" s="1">
        <f t="shared" si="76"/>
        <v>0</v>
      </c>
      <c r="AX25" s="1">
        <f t="shared" si="77"/>
        <v>0</v>
      </c>
      <c r="AY25" s="1">
        <f t="shared" si="78"/>
        <v>0</v>
      </c>
      <c r="AZ25" s="1">
        <f t="shared" si="79"/>
        <v>0</v>
      </c>
      <c r="BA25" s="1">
        <f t="shared" si="80"/>
        <v>0</v>
      </c>
      <c r="BB25" s="1">
        <f t="shared" si="81"/>
        <v>0</v>
      </c>
      <c r="BC25" s="1">
        <f t="shared" si="82"/>
        <v>0</v>
      </c>
      <c r="BD25" s="1">
        <f t="shared" si="83"/>
        <v>0</v>
      </c>
      <c r="BE25" s="1">
        <f t="shared" si="84"/>
        <v>0</v>
      </c>
      <c r="BF25" s="1">
        <f t="shared" si="85"/>
        <v>0</v>
      </c>
      <c r="BG25" s="1">
        <f t="shared" si="86"/>
        <v>0</v>
      </c>
      <c r="BH25" s="1">
        <f t="shared" si="87"/>
        <v>0</v>
      </c>
      <c r="BI25" s="1">
        <f t="shared" si="88"/>
        <v>0</v>
      </c>
      <c r="BJ25" s="1">
        <f t="shared" si="89"/>
        <v>0</v>
      </c>
      <c r="BK25" s="1">
        <f t="shared" si="90"/>
        <v>0</v>
      </c>
      <c r="BL25" s="1">
        <f t="shared" si="91"/>
        <v>0</v>
      </c>
      <c r="BN25" s="3" t="s">
        <v>24</v>
      </c>
      <c r="BO25" s="1">
        <f t="shared" si="32"/>
        <v>0</v>
      </c>
      <c r="BP25" s="1">
        <f t="shared" si="33"/>
        <v>0</v>
      </c>
      <c r="BQ25" s="1">
        <f t="shared" si="34"/>
        <v>0</v>
      </c>
      <c r="BR25" s="1">
        <f t="shared" si="35"/>
        <v>0</v>
      </c>
      <c r="BS25" s="1">
        <f t="shared" si="36"/>
        <v>0</v>
      </c>
      <c r="BT25" s="1">
        <f t="shared" si="37"/>
        <v>0</v>
      </c>
      <c r="BU25" s="1">
        <f t="shared" si="38"/>
        <v>0</v>
      </c>
      <c r="BV25" s="1">
        <f t="shared" si="39"/>
        <v>0</v>
      </c>
      <c r="BW25" s="1">
        <f t="shared" si="40"/>
        <v>0</v>
      </c>
      <c r="BX25" s="1">
        <f t="shared" si="41"/>
        <v>0</v>
      </c>
      <c r="BY25" s="1">
        <f t="shared" si="42"/>
        <v>0</v>
      </c>
      <c r="BZ25" s="1">
        <f t="shared" si="43"/>
        <v>0</v>
      </c>
      <c r="CA25" s="1">
        <f t="shared" si="44"/>
        <v>0</v>
      </c>
      <c r="CB25" s="1">
        <f t="shared" si="45"/>
        <v>0</v>
      </c>
      <c r="CC25" s="1">
        <f t="shared" si="46"/>
        <v>0</v>
      </c>
      <c r="CD25" s="1">
        <f t="shared" si="47"/>
        <v>0</v>
      </c>
      <c r="CE25" s="1">
        <f t="shared" si="48"/>
        <v>0</v>
      </c>
      <c r="CF25" s="1">
        <f t="shared" si="49"/>
        <v>0</v>
      </c>
      <c r="CG25" s="1">
        <f t="shared" si="50"/>
        <v>0</v>
      </c>
      <c r="CH25" s="1">
        <f t="shared" si="51"/>
        <v>0</v>
      </c>
      <c r="CI25" s="1">
        <f t="shared" si="52"/>
        <v>0</v>
      </c>
      <c r="CJ25" s="1">
        <f t="shared" si="53"/>
        <v>0</v>
      </c>
      <c r="CK25" s="1">
        <f t="shared" si="54"/>
        <v>0</v>
      </c>
      <c r="CL25" s="1">
        <f t="shared" si="55"/>
        <v>0</v>
      </c>
      <c r="CM25" s="1">
        <f t="shared" si="56"/>
        <v>0</v>
      </c>
      <c r="CN25" s="1">
        <f t="shared" si="57"/>
        <v>0</v>
      </c>
      <c r="CO25" s="1">
        <f t="shared" si="58"/>
        <v>0</v>
      </c>
      <c r="CP25" s="1">
        <f t="shared" si="59"/>
        <v>0</v>
      </c>
      <c r="CQ25" s="1">
        <f t="shared" si="60"/>
        <v>0</v>
      </c>
      <c r="CR25" s="1">
        <f t="shared" si="61"/>
        <v>0</v>
      </c>
    </row>
    <row r="26" spans="1:96" x14ac:dyDescent="0.25">
      <c r="A26" s="3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7"/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H26" s="3" t="s">
        <v>25</v>
      </c>
      <c r="AI26" s="1">
        <f t="shared" si="62"/>
        <v>0</v>
      </c>
      <c r="AJ26" s="1">
        <f t="shared" si="63"/>
        <v>0</v>
      </c>
      <c r="AK26" s="1">
        <f t="shared" si="64"/>
        <v>0</v>
      </c>
      <c r="AL26" s="1">
        <f t="shared" si="65"/>
        <v>0</v>
      </c>
      <c r="AM26" s="1">
        <f t="shared" si="66"/>
        <v>0</v>
      </c>
      <c r="AN26" s="1">
        <f t="shared" si="67"/>
        <v>0</v>
      </c>
      <c r="AO26" s="1">
        <f t="shared" si="68"/>
        <v>0</v>
      </c>
      <c r="AP26" s="1">
        <f t="shared" si="69"/>
        <v>0</v>
      </c>
      <c r="AQ26" s="1">
        <f t="shared" si="70"/>
        <v>0</v>
      </c>
      <c r="AR26" s="1">
        <f t="shared" si="71"/>
        <v>0</v>
      </c>
      <c r="AS26" s="1">
        <f t="shared" si="72"/>
        <v>0</v>
      </c>
      <c r="AT26" s="1">
        <f t="shared" si="73"/>
        <v>0</v>
      </c>
      <c r="AU26" s="1">
        <f t="shared" si="74"/>
        <v>0</v>
      </c>
      <c r="AV26" s="1">
        <f t="shared" si="75"/>
        <v>0</v>
      </c>
      <c r="AW26" s="1">
        <f t="shared" si="76"/>
        <v>0</v>
      </c>
      <c r="AX26" s="1">
        <f t="shared" si="77"/>
        <v>0</v>
      </c>
      <c r="AY26" s="1">
        <f t="shared" si="78"/>
        <v>0</v>
      </c>
      <c r="AZ26" s="1">
        <f t="shared" si="79"/>
        <v>0</v>
      </c>
      <c r="BA26" s="1">
        <f t="shared" si="80"/>
        <v>0</v>
      </c>
      <c r="BB26" s="1">
        <f t="shared" si="81"/>
        <v>0</v>
      </c>
      <c r="BC26" s="1">
        <f t="shared" si="82"/>
        <v>0</v>
      </c>
      <c r="BD26" s="1">
        <f t="shared" si="83"/>
        <v>0</v>
      </c>
      <c r="BE26" s="1">
        <f t="shared" si="84"/>
        <v>0</v>
      </c>
      <c r="BF26" s="1">
        <f t="shared" si="85"/>
        <v>0</v>
      </c>
      <c r="BG26" s="1">
        <f t="shared" si="86"/>
        <v>0</v>
      </c>
      <c r="BH26" s="1">
        <f t="shared" si="87"/>
        <v>0</v>
      </c>
      <c r="BI26" s="1">
        <f t="shared" si="88"/>
        <v>0</v>
      </c>
      <c r="BJ26" s="1">
        <f t="shared" si="89"/>
        <v>0</v>
      </c>
      <c r="BK26" s="1">
        <f t="shared" si="90"/>
        <v>0</v>
      </c>
      <c r="BL26" s="1">
        <f t="shared" si="91"/>
        <v>0</v>
      </c>
      <c r="BN26" s="3" t="s">
        <v>25</v>
      </c>
      <c r="BO26" s="1">
        <f t="shared" si="32"/>
        <v>0</v>
      </c>
      <c r="BP26" s="1">
        <f t="shared" si="33"/>
        <v>0</v>
      </c>
      <c r="BQ26" s="1">
        <f t="shared" si="34"/>
        <v>0</v>
      </c>
      <c r="BR26" s="1">
        <f t="shared" si="35"/>
        <v>0</v>
      </c>
      <c r="BS26" s="1">
        <f t="shared" si="36"/>
        <v>0</v>
      </c>
      <c r="BT26" s="1">
        <f t="shared" si="37"/>
        <v>0</v>
      </c>
      <c r="BU26" s="1">
        <f t="shared" si="38"/>
        <v>0</v>
      </c>
      <c r="BV26" s="1">
        <f t="shared" si="39"/>
        <v>0</v>
      </c>
      <c r="BW26" s="1">
        <f t="shared" si="40"/>
        <v>0</v>
      </c>
      <c r="BX26" s="1">
        <f t="shared" si="41"/>
        <v>0</v>
      </c>
      <c r="BY26" s="1">
        <f t="shared" si="42"/>
        <v>0</v>
      </c>
      <c r="BZ26" s="1">
        <f t="shared" si="43"/>
        <v>0</v>
      </c>
      <c r="CA26" s="1">
        <f t="shared" si="44"/>
        <v>0</v>
      </c>
      <c r="CB26" s="1">
        <f t="shared" si="45"/>
        <v>0</v>
      </c>
      <c r="CC26" s="1">
        <f t="shared" si="46"/>
        <v>0</v>
      </c>
      <c r="CD26" s="1">
        <f t="shared" si="47"/>
        <v>0</v>
      </c>
      <c r="CE26" s="1">
        <f t="shared" si="48"/>
        <v>0</v>
      </c>
      <c r="CF26" s="1">
        <f t="shared" si="49"/>
        <v>0</v>
      </c>
      <c r="CG26" s="1">
        <f t="shared" si="50"/>
        <v>0</v>
      </c>
      <c r="CH26" s="1">
        <f t="shared" si="51"/>
        <v>0</v>
      </c>
      <c r="CI26" s="1">
        <f t="shared" si="52"/>
        <v>0</v>
      </c>
      <c r="CJ26" s="1">
        <f t="shared" si="53"/>
        <v>0</v>
      </c>
      <c r="CK26" s="1">
        <f t="shared" si="54"/>
        <v>0</v>
      </c>
      <c r="CL26" s="1">
        <f t="shared" si="55"/>
        <v>0</v>
      </c>
      <c r="CM26" s="1">
        <f t="shared" si="56"/>
        <v>0</v>
      </c>
      <c r="CN26" s="1">
        <f t="shared" si="57"/>
        <v>0</v>
      </c>
      <c r="CO26" s="1">
        <f t="shared" si="58"/>
        <v>0</v>
      </c>
      <c r="CP26" s="1">
        <f t="shared" si="59"/>
        <v>0</v>
      </c>
      <c r="CQ26" s="1">
        <f t="shared" si="60"/>
        <v>0</v>
      </c>
      <c r="CR26" s="1">
        <f t="shared" si="61"/>
        <v>0</v>
      </c>
    </row>
    <row r="27" spans="1:96" x14ac:dyDescent="0.25">
      <c r="A27" s="3" t="s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7"/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H27" s="3" t="s">
        <v>26</v>
      </c>
      <c r="AI27" s="1">
        <f t="shared" si="62"/>
        <v>0</v>
      </c>
      <c r="AJ27" s="1">
        <f t="shared" si="63"/>
        <v>0</v>
      </c>
      <c r="AK27" s="1">
        <f t="shared" si="64"/>
        <v>0</v>
      </c>
      <c r="AL27" s="1">
        <f t="shared" si="65"/>
        <v>0</v>
      </c>
      <c r="AM27" s="1">
        <f t="shared" si="66"/>
        <v>0</v>
      </c>
      <c r="AN27" s="1">
        <f t="shared" si="67"/>
        <v>0</v>
      </c>
      <c r="AO27" s="1">
        <f t="shared" si="68"/>
        <v>0</v>
      </c>
      <c r="AP27" s="1">
        <f t="shared" si="69"/>
        <v>0</v>
      </c>
      <c r="AQ27" s="1">
        <f t="shared" si="70"/>
        <v>0</v>
      </c>
      <c r="AR27" s="1">
        <f t="shared" si="71"/>
        <v>0</v>
      </c>
      <c r="AS27" s="1">
        <f t="shared" si="72"/>
        <v>0</v>
      </c>
      <c r="AT27" s="1">
        <f t="shared" si="73"/>
        <v>0</v>
      </c>
      <c r="AU27" s="1">
        <f t="shared" si="74"/>
        <v>0</v>
      </c>
      <c r="AV27" s="1">
        <f t="shared" si="75"/>
        <v>0</v>
      </c>
      <c r="AW27" s="1">
        <f t="shared" si="76"/>
        <v>0</v>
      </c>
      <c r="AX27" s="1">
        <f t="shared" si="77"/>
        <v>0</v>
      </c>
      <c r="AY27" s="1">
        <f t="shared" si="78"/>
        <v>0</v>
      </c>
      <c r="AZ27" s="1">
        <f t="shared" si="79"/>
        <v>0</v>
      </c>
      <c r="BA27" s="1">
        <f t="shared" si="80"/>
        <v>0</v>
      </c>
      <c r="BB27" s="1">
        <f t="shared" si="81"/>
        <v>0</v>
      </c>
      <c r="BC27" s="1">
        <f t="shared" si="82"/>
        <v>0</v>
      </c>
      <c r="BD27" s="1">
        <f t="shared" si="83"/>
        <v>0</v>
      </c>
      <c r="BE27" s="1">
        <f t="shared" si="84"/>
        <v>0</v>
      </c>
      <c r="BF27" s="1">
        <f t="shared" si="85"/>
        <v>0</v>
      </c>
      <c r="BG27" s="1">
        <f t="shared" si="86"/>
        <v>0</v>
      </c>
      <c r="BH27" s="1">
        <f t="shared" si="87"/>
        <v>0</v>
      </c>
      <c r="BI27" s="1">
        <f t="shared" si="88"/>
        <v>0</v>
      </c>
      <c r="BJ27" s="1">
        <f t="shared" si="89"/>
        <v>0</v>
      </c>
      <c r="BK27" s="1">
        <f t="shared" si="90"/>
        <v>0</v>
      </c>
      <c r="BL27" s="1">
        <f t="shared" si="91"/>
        <v>0</v>
      </c>
      <c r="BN27" s="3" t="s">
        <v>26</v>
      </c>
      <c r="BO27" s="1">
        <f t="shared" si="32"/>
        <v>0</v>
      </c>
      <c r="BP27" s="1">
        <f t="shared" si="33"/>
        <v>0</v>
      </c>
      <c r="BQ27" s="1">
        <f t="shared" si="34"/>
        <v>0</v>
      </c>
      <c r="BR27" s="1">
        <f t="shared" si="35"/>
        <v>0</v>
      </c>
      <c r="BS27" s="1">
        <f t="shared" si="36"/>
        <v>0</v>
      </c>
      <c r="BT27" s="1">
        <f t="shared" si="37"/>
        <v>0</v>
      </c>
      <c r="BU27" s="1">
        <f t="shared" si="38"/>
        <v>0</v>
      </c>
      <c r="BV27" s="1">
        <f t="shared" si="39"/>
        <v>0</v>
      </c>
      <c r="BW27" s="1">
        <f t="shared" si="40"/>
        <v>0</v>
      </c>
      <c r="BX27" s="1">
        <f t="shared" si="41"/>
        <v>0</v>
      </c>
      <c r="BY27" s="1">
        <f t="shared" si="42"/>
        <v>0</v>
      </c>
      <c r="BZ27" s="1">
        <f t="shared" si="43"/>
        <v>0</v>
      </c>
      <c r="CA27" s="1">
        <f t="shared" si="44"/>
        <v>0</v>
      </c>
      <c r="CB27" s="1">
        <f t="shared" si="45"/>
        <v>0</v>
      </c>
      <c r="CC27" s="1">
        <f t="shared" si="46"/>
        <v>0</v>
      </c>
      <c r="CD27" s="1">
        <f t="shared" si="47"/>
        <v>0</v>
      </c>
      <c r="CE27" s="1">
        <f t="shared" si="48"/>
        <v>0</v>
      </c>
      <c r="CF27" s="1">
        <f t="shared" si="49"/>
        <v>0</v>
      </c>
      <c r="CG27" s="1">
        <f t="shared" si="50"/>
        <v>0</v>
      </c>
      <c r="CH27" s="1">
        <f t="shared" si="51"/>
        <v>0</v>
      </c>
      <c r="CI27" s="1">
        <f t="shared" si="52"/>
        <v>0</v>
      </c>
      <c r="CJ27" s="1">
        <f t="shared" si="53"/>
        <v>0</v>
      </c>
      <c r="CK27" s="1">
        <f t="shared" si="54"/>
        <v>0</v>
      </c>
      <c r="CL27" s="1">
        <f t="shared" si="55"/>
        <v>0</v>
      </c>
      <c r="CM27" s="1">
        <f t="shared" si="56"/>
        <v>0</v>
      </c>
      <c r="CN27" s="1">
        <f t="shared" si="57"/>
        <v>0</v>
      </c>
      <c r="CO27" s="1">
        <f t="shared" si="58"/>
        <v>0</v>
      </c>
      <c r="CP27" s="1">
        <f t="shared" si="59"/>
        <v>0</v>
      </c>
      <c r="CQ27" s="1">
        <f t="shared" si="60"/>
        <v>0</v>
      </c>
      <c r="CR27" s="1">
        <f t="shared" si="61"/>
        <v>0</v>
      </c>
    </row>
    <row r="28" spans="1:96" x14ac:dyDescent="0.25">
      <c r="A28" s="3" t="s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7"/>
      <c r="AB28" s="1">
        <v>0</v>
      </c>
      <c r="AC28" s="1">
        <v>4</v>
      </c>
      <c r="AD28" s="1">
        <v>7</v>
      </c>
      <c r="AE28" s="1">
        <v>0</v>
      </c>
      <c r="AH28" s="3" t="s">
        <v>27</v>
      </c>
      <c r="AI28" s="1">
        <f t="shared" si="62"/>
        <v>0</v>
      </c>
      <c r="AJ28" s="1">
        <f t="shared" si="63"/>
        <v>0</v>
      </c>
      <c r="AK28" s="1">
        <f t="shared" si="64"/>
        <v>0</v>
      </c>
      <c r="AL28" s="1">
        <f t="shared" si="65"/>
        <v>0</v>
      </c>
      <c r="AM28" s="1">
        <f t="shared" si="66"/>
        <v>0</v>
      </c>
      <c r="AN28" s="1">
        <f t="shared" si="67"/>
        <v>0</v>
      </c>
      <c r="AO28" s="1">
        <f t="shared" si="68"/>
        <v>0</v>
      </c>
      <c r="AP28" s="1">
        <f t="shared" si="69"/>
        <v>0</v>
      </c>
      <c r="AQ28" s="1">
        <f t="shared" si="70"/>
        <v>0</v>
      </c>
      <c r="AR28" s="1">
        <f t="shared" si="71"/>
        <v>0</v>
      </c>
      <c r="AS28" s="1">
        <f t="shared" si="72"/>
        <v>0</v>
      </c>
      <c r="AT28" s="1">
        <f t="shared" si="73"/>
        <v>0</v>
      </c>
      <c r="AU28" s="1">
        <f t="shared" si="74"/>
        <v>0</v>
      </c>
      <c r="AV28" s="1">
        <f t="shared" si="75"/>
        <v>0</v>
      </c>
      <c r="AW28" s="1">
        <f t="shared" si="76"/>
        <v>0</v>
      </c>
      <c r="AX28" s="1">
        <f t="shared" si="77"/>
        <v>0</v>
      </c>
      <c r="AY28" s="1">
        <f t="shared" si="78"/>
        <v>0</v>
      </c>
      <c r="AZ28" s="1">
        <f t="shared" si="79"/>
        <v>0</v>
      </c>
      <c r="BA28" s="1">
        <f t="shared" si="80"/>
        <v>0</v>
      </c>
      <c r="BB28" s="1">
        <f t="shared" si="81"/>
        <v>0</v>
      </c>
      <c r="BC28" s="1">
        <f t="shared" si="82"/>
        <v>0</v>
      </c>
      <c r="BD28" s="1">
        <f t="shared" si="83"/>
        <v>0</v>
      </c>
      <c r="BE28" s="1">
        <f t="shared" si="84"/>
        <v>0</v>
      </c>
      <c r="BF28" s="1">
        <f t="shared" si="85"/>
        <v>0</v>
      </c>
      <c r="BG28" s="1">
        <f t="shared" si="86"/>
        <v>0</v>
      </c>
      <c r="BH28" s="1">
        <f t="shared" si="87"/>
        <v>0</v>
      </c>
      <c r="BI28" s="1">
        <f t="shared" si="88"/>
        <v>0</v>
      </c>
      <c r="BJ28" s="1">
        <f t="shared" si="89"/>
        <v>0</v>
      </c>
      <c r="BK28" s="1">
        <f t="shared" si="90"/>
        <v>1</v>
      </c>
      <c r="BL28" s="1">
        <f t="shared" si="91"/>
        <v>0</v>
      </c>
      <c r="BN28" s="3" t="s">
        <v>27</v>
      </c>
      <c r="BO28" s="1">
        <f t="shared" si="32"/>
        <v>0</v>
      </c>
      <c r="BP28" s="1">
        <f t="shared" si="33"/>
        <v>0</v>
      </c>
      <c r="BQ28" s="1">
        <f t="shared" si="34"/>
        <v>0</v>
      </c>
      <c r="BR28" s="1">
        <f t="shared" si="35"/>
        <v>0</v>
      </c>
      <c r="BS28" s="1">
        <f t="shared" si="36"/>
        <v>0</v>
      </c>
      <c r="BT28" s="1">
        <f t="shared" si="37"/>
        <v>0</v>
      </c>
      <c r="BU28" s="1">
        <f t="shared" si="38"/>
        <v>0</v>
      </c>
      <c r="BV28" s="1">
        <f t="shared" si="39"/>
        <v>0</v>
      </c>
      <c r="BW28" s="1">
        <f t="shared" si="40"/>
        <v>0</v>
      </c>
      <c r="BX28" s="1">
        <f t="shared" si="41"/>
        <v>0</v>
      </c>
      <c r="BY28" s="1">
        <f t="shared" si="42"/>
        <v>0</v>
      </c>
      <c r="BZ28" s="1">
        <f t="shared" si="43"/>
        <v>0</v>
      </c>
      <c r="CA28" s="1">
        <f t="shared" si="44"/>
        <v>0</v>
      </c>
      <c r="CB28" s="1">
        <f t="shared" si="45"/>
        <v>0</v>
      </c>
      <c r="CC28" s="1">
        <f t="shared" si="46"/>
        <v>0</v>
      </c>
      <c r="CD28" s="1">
        <f t="shared" si="47"/>
        <v>0</v>
      </c>
      <c r="CE28" s="1">
        <f t="shared" si="48"/>
        <v>0</v>
      </c>
      <c r="CF28" s="1">
        <f t="shared" si="49"/>
        <v>0</v>
      </c>
      <c r="CG28" s="1">
        <f t="shared" si="50"/>
        <v>0</v>
      </c>
      <c r="CH28" s="1">
        <f t="shared" si="51"/>
        <v>0</v>
      </c>
      <c r="CI28" s="1">
        <f t="shared" si="52"/>
        <v>0</v>
      </c>
      <c r="CJ28" s="1">
        <f t="shared" si="53"/>
        <v>0</v>
      </c>
      <c r="CK28" s="1">
        <f t="shared" si="54"/>
        <v>0</v>
      </c>
      <c r="CL28" s="1">
        <f t="shared" si="55"/>
        <v>0</v>
      </c>
      <c r="CM28" s="1">
        <f t="shared" si="56"/>
        <v>0</v>
      </c>
      <c r="CN28" s="1">
        <f t="shared" si="57"/>
        <v>0</v>
      </c>
      <c r="CO28" s="1">
        <f t="shared" si="58"/>
        <v>0</v>
      </c>
      <c r="CP28" s="1">
        <f t="shared" si="59"/>
        <v>0</v>
      </c>
      <c r="CQ28" s="1">
        <f t="shared" si="60"/>
        <v>0.3</v>
      </c>
      <c r="CR28" s="1">
        <f t="shared" si="61"/>
        <v>0</v>
      </c>
    </row>
    <row r="29" spans="1:96" x14ac:dyDescent="0.25">
      <c r="A29" s="3" t="s">
        <v>28</v>
      </c>
      <c r="B29" s="1">
        <v>21</v>
      </c>
      <c r="C29" s="1">
        <v>6</v>
      </c>
      <c r="D29" s="1">
        <v>17</v>
      </c>
      <c r="E29" s="1">
        <v>0</v>
      </c>
      <c r="F29" s="1">
        <v>17</v>
      </c>
      <c r="G29" s="1">
        <v>1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2</v>
      </c>
      <c r="N29" s="1">
        <v>0</v>
      </c>
      <c r="O29" s="1">
        <v>21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2</v>
      </c>
      <c r="W29" s="1">
        <v>2</v>
      </c>
      <c r="X29" s="1">
        <v>0</v>
      </c>
      <c r="Y29" s="1">
        <v>0</v>
      </c>
      <c r="Z29" s="1">
        <v>0</v>
      </c>
      <c r="AA29" s="1">
        <v>0</v>
      </c>
      <c r="AB29" s="7"/>
      <c r="AC29" s="1">
        <v>0</v>
      </c>
      <c r="AD29" s="1">
        <v>0</v>
      </c>
      <c r="AE29" s="1">
        <v>34</v>
      </c>
      <c r="AH29" s="3" t="s">
        <v>28</v>
      </c>
      <c r="AI29" s="1">
        <f t="shared" si="62"/>
        <v>1</v>
      </c>
      <c r="AJ29" s="1">
        <f t="shared" si="63"/>
        <v>1</v>
      </c>
      <c r="AK29" s="1">
        <f t="shared" si="64"/>
        <v>1</v>
      </c>
      <c r="AL29" s="1">
        <f t="shared" si="65"/>
        <v>0</v>
      </c>
      <c r="AM29" s="1">
        <f t="shared" si="66"/>
        <v>1</v>
      </c>
      <c r="AN29" s="1">
        <f t="shared" si="67"/>
        <v>0</v>
      </c>
      <c r="AO29" s="1">
        <f t="shared" si="68"/>
        <v>0</v>
      </c>
      <c r="AP29" s="1">
        <f t="shared" si="69"/>
        <v>0</v>
      </c>
      <c r="AQ29" s="1">
        <f t="shared" si="70"/>
        <v>0</v>
      </c>
      <c r="AR29" s="1">
        <f t="shared" si="71"/>
        <v>0</v>
      </c>
      <c r="AS29" s="1">
        <f t="shared" si="72"/>
        <v>0</v>
      </c>
      <c r="AT29" s="1">
        <f t="shared" si="73"/>
        <v>0</v>
      </c>
      <c r="AU29" s="1">
        <f t="shared" si="74"/>
        <v>0</v>
      </c>
      <c r="AV29" s="1">
        <f t="shared" si="75"/>
        <v>1</v>
      </c>
      <c r="AW29" s="1">
        <f t="shared" si="76"/>
        <v>0</v>
      </c>
      <c r="AX29" s="1">
        <f t="shared" si="77"/>
        <v>0</v>
      </c>
      <c r="AY29" s="1">
        <f t="shared" si="78"/>
        <v>0</v>
      </c>
      <c r="AZ29" s="1">
        <f t="shared" si="79"/>
        <v>0</v>
      </c>
      <c r="BA29" s="1">
        <f t="shared" si="80"/>
        <v>0</v>
      </c>
      <c r="BB29" s="1">
        <f t="shared" si="81"/>
        <v>0</v>
      </c>
      <c r="BC29" s="1">
        <f t="shared" si="82"/>
        <v>0</v>
      </c>
      <c r="BD29" s="1">
        <f t="shared" si="83"/>
        <v>0</v>
      </c>
      <c r="BE29" s="1">
        <f t="shared" si="84"/>
        <v>0</v>
      </c>
      <c r="BF29" s="1">
        <f t="shared" si="85"/>
        <v>0</v>
      </c>
      <c r="BG29" s="1">
        <f t="shared" si="86"/>
        <v>0</v>
      </c>
      <c r="BH29" s="1">
        <f t="shared" si="87"/>
        <v>0</v>
      </c>
      <c r="BI29" s="1">
        <f t="shared" si="88"/>
        <v>0</v>
      </c>
      <c r="BJ29" s="1">
        <f t="shared" si="89"/>
        <v>0</v>
      </c>
      <c r="BK29" s="1">
        <f t="shared" si="90"/>
        <v>0</v>
      </c>
      <c r="BL29" s="1">
        <f t="shared" si="91"/>
        <v>1</v>
      </c>
      <c r="BN29" s="3" t="s">
        <v>28</v>
      </c>
      <c r="BO29" s="1">
        <f t="shared" si="32"/>
        <v>0.3</v>
      </c>
      <c r="BP29" s="1">
        <f t="shared" si="33"/>
        <v>0.3</v>
      </c>
      <c r="BQ29" s="1">
        <f t="shared" si="34"/>
        <v>0.3</v>
      </c>
      <c r="BR29" s="1">
        <f t="shared" si="35"/>
        <v>0</v>
      </c>
      <c r="BS29" s="1">
        <f t="shared" si="36"/>
        <v>0.3</v>
      </c>
      <c r="BT29" s="1">
        <f t="shared" si="37"/>
        <v>0</v>
      </c>
      <c r="BU29" s="1">
        <f t="shared" si="38"/>
        <v>0</v>
      </c>
      <c r="BV29" s="1">
        <f t="shared" si="39"/>
        <v>0</v>
      </c>
      <c r="BW29" s="1">
        <f t="shared" si="40"/>
        <v>0</v>
      </c>
      <c r="BX29" s="1">
        <f t="shared" si="41"/>
        <v>0</v>
      </c>
      <c r="BY29" s="1">
        <f t="shared" si="42"/>
        <v>0</v>
      </c>
      <c r="BZ29" s="1">
        <f t="shared" si="43"/>
        <v>0</v>
      </c>
      <c r="CA29" s="1">
        <f t="shared" si="44"/>
        <v>0</v>
      </c>
      <c r="CB29" s="1">
        <f t="shared" si="45"/>
        <v>0.3</v>
      </c>
      <c r="CC29" s="1">
        <f t="shared" si="46"/>
        <v>0</v>
      </c>
      <c r="CD29" s="1">
        <f t="shared" si="47"/>
        <v>0</v>
      </c>
      <c r="CE29" s="1">
        <f t="shared" si="48"/>
        <v>0</v>
      </c>
      <c r="CF29" s="1">
        <f t="shared" si="49"/>
        <v>0</v>
      </c>
      <c r="CG29" s="1">
        <f t="shared" si="50"/>
        <v>0</v>
      </c>
      <c r="CH29" s="1">
        <f t="shared" si="51"/>
        <v>0</v>
      </c>
      <c r="CI29" s="1">
        <f t="shared" si="52"/>
        <v>0</v>
      </c>
      <c r="CJ29" s="1">
        <f t="shared" si="53"/>
        <v>0</v>
      </c>
      <c r="CK29" s="1">
        <f t="shared" si="54"/>
        <v>0</v>
      </c>
      <c r="CL29" s="1">
        <f t="shared" si="55"/>
        <v>0</v>
      </c>
      <c r="CM29" s="1">
        <f t="shared" si="56"/>
        <v>0</v>
      </c>
      <c r="CN29" s="1">
        <f t="shared" si="57"/>
        <v>0</v>
      </c>
      <c r="CO29" s="1">
        <f t="shared" si="58"/>
        <v>0</v>
      </c>
      <c r="CP29" s="1">
        <f t="shared" si="59"/>
        <v>0</v>
      </c>
      <c r="CQ29" s="1">
        <f t="shared" si="60"/>
        <v>0</v>
      </c>
      <c r="CR29" s="1">
        <f t="shared" si="61"/>
        <v>0.3</v>
      </c>
    </row>
    <row r="30" spans="1:96" x14ac:dyDescent="0.25">
      <c r="A30" s="3" t="s">
        <v>29</v>
      </c>
      <c r="B30" s="1">
        <v>4</v>
      </c>
      <c r="C30" s="1">
        <v>0</v>
      </c>
      <c r="D30" s="1">
        <v>3</v>
      </c>
      <c r="E30" s="1">
        <v>1</v>
      </c>
      <c r="F30" s="1">
        <v>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2</v>
      </c>
      <c r="N30" s="1">
        <v>0</v>
      </c>
      <c r="O30" s="1">
        <v>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4</v>
      </c>
      <c r="AB30" s="1">
        <v>0</v>
      </c>
      <c r="AC30" s="7"/>
      <c r="AD30" s="1">
        <v>41</v>
      </c>
      <c r="AE30" s="1">
        <v>0</v>
      </c>
      <c r="AH30" s="3" t="s">
        <v>29</v>
      </c>
      <c r="AI30" s="1">
        <f t="shared" si="62"/>
        <v>0</v>
      </c>
      <c r="AJ30" s="1">
        <f t="shared" si="63"/>
        <v>0</v>
      </c>
      <c r="AK30" s="1">
        <f t="shared" si="64"/>
        <v>0</v>
      </c>
      <c r="AL30" s="1">
        <f t="shared" si="65"/>
        <v>0</v>
      </c>
      <c r="AM30" s="1">
        <f t="shared" si="66"/>
        <v>0</v>
      </c>
      <c r="AN30" s="1">
        <f t="shared" si="67"/>
        <v>0</v>
      </c>
      <c r="AO30" s="1">
        <f t="shared" si="68"/>
        <v>0</v>
      </c>
      <c r="AP30" s="1">
        <f t="shared" si="69"/>
        <v>0</v>
      </c>
      <c r="AQ30" s="1">
        <f t="shared" si="70"/>
        <v>0</v>
      </c>
      <c r="AR30" s="1">
        <f t="shared" si="71"/>
        <v>0</v>
      </c>
      <c r="AS30" s="1">
        <f t="shared" si="72"/>
        <v>0</v>
      </c>
      <c r="AT30" s="1">
        <f t="shared" si="73"/>
        <v>0</v>
      </c>
      <c r="AU30" s="1">
        <f t="shared" si="74"/>
        <v>0</v>
      </c>
      <c r="AV30" s="1">
        <f t="shared" si="75"/>
        <v>0</v>
      </c>
      <c r="AW30" s="1">
        <f t="shared" si="76"/>
        <v>0</v>
      </c>
      <c r="AX30" s="1">
        <f t="shared" si="77"/>
        <v>0</v>
      </c>
      <c r="AY30" s="1">
        <f t="shared" si="78"/>
        <v>0</v>
      </c>
      <c r="AZ30" s="1">
        <f t="shared" si="79"/>
        <v>0</v>
      </c>
      <c r="BA30" s="1">
        <f t="shared" si="80"/>
        <v>0</v>
      </c>
      <c r="BB30" s="1">
        <f t="shared" si="81"/>
        <v>0</v>
      </c>
      <c r="BC30" s="1">
        <f t="shared" si="82"/>
        <v>0</v>
      </c>
      <c r="BD30" s="1">
        <f t="shared" si="83"/>
        <v>0</v>
      </c>
      <c r="BE30" s="1">
        <f t="shared" si="84"/>
        <v>0</v>
      </c>
      <c r="BF30" s="1">
        <f t="shared" si="85"/>
        <v>0</v>
      </c>
      <c r="BG30" s="1">
        <f t="shared" si="86"/>
        <v>0</v>
      </c>
      <c r="BH30" s="1">
        <f t="shared" si="87"/>
        <v>0</v>
      </c>
      <c r="BI30" s="1">
        <f t="shared" si="88"/>
        <v>0</v>
      </c>
      <c r="BJ30" s="1">
        <f t="shared" si="89"/>
        <v>0</v>
      </c>
      <c r="BK30" s="1">
        <f t="shared" si="90"/>
        <v>1</v>
      </c>
      <c r="BL30" s="1">
        <f t="shared" si="91"/>
        <v>0</v>
      </c>
      <c r="BN30" s="3" t="s">
        <v>29</v>
      </c>
      <c r="BO30" s="1">
        <f t="shared" si="32"/>
        <v>0</v>
      </c>
      <c r="BP30" s="1">
        <f t="shared" si="33"/>
        <v>0</v>
      </c>
      <c r="BQ30" s="1">
        <f t="shared" si="34"/>
        <v>0</v>
      </c>
      <c r="BR30" s="1">
        <f t="shared" si="35"/>
        <v>0</v>
      </c>
      <c r="BS30" s="1">
        <f t="shared" si="36"/>
        <v>0</v>
      </c>
      <c r="BT30" s="1">
        <f t="shared" si="37"/>
        <v>0</v>
      </c>
      <c r="BU30" s="1">
        <f t="shared" si="38"/>
        <v>0</v>
      </c>
      <c r="BV30" s="1">
        <f t="shared" si="39"/>
        <v>0</v>
      </c>
      <c r="BW30" s="1">
        <f t="shared" si="40"/>
        <v>0</v>
      </c>
      <c r="BX30" s="1">
        <f t="shared" si="41"/>
        <v>0</v>
      </c>
      <c r="BY30" s="1">
        <f t="shared" si="42"/>
        <v>0</v>
      </c>
      <c r="BZ30" s="1">
        <f t="shared" si="43"/>
        <v>0</v>
      </c>
      <c r="CA30" s="1">
        <f t="shared" si="44"/>
        <v>0</v>
      </c>
      <c r="CB30" s="1">
        <f t="shared" si="45"/>
        <v>0</v>
      </c>
      <c r="CC30" s="1">
        <f t="shared" si="46"/>
        <v>0</v>
      </c>
      <c r="CD30" s="1">
        <f t="shared" si="47"/>
        <v>0</v>
      </c>
      <c r="CE30" s="1">
        <f t="shared" si="48"/>
        <v>0</v>
      </c>
      <c r="CF30" s="1">
        <f t="shared" si="49"/>
        <v>0</v>
      </c>
      <c r="CG30" s="1">
        <f t="shared" si="50"/>
        <v>0</v>
      </c>
      <c r="CH30" s="1">
        <f t="shared" si="51"/>
        <v>0</v>
      </c>
      <c r="CI30" s="1">
        <f t="shared" si="52"/>
        <v>0</v>
      </c>
      <c r="CJ30" s="1">
        <f t="shared" si="53"/>
        <v>0</v>
      </c>
      <c r="CK30" s="1">
        <f t="shared" si="54"/>
        <v>0</v>
      </c>
      <c r="CL30" s="1">
        <f t="shared" si="55"/>
        <v>0</v>
      </c>
      <c r="CM30" s="1">
        <f t="shared" si="56"/>
        <v>0</v>
      </c>
      <c r="CN30" s="1">
        <f t="shared" si="57"/>
        <v>0</v>
      </c>
      <c r="CO30" s="1">
        <f t="shared" si="58"/>
        <v>0</v>
      </c>
      <c r="CP30" s="1">
        <f t="shared" si="59"/>
        <v>0</v>
      </c>
      <c r="CQ30" s="1">
        <f t="shared" si="60"/>
        <v>0.3</v>
      </c>
      <c r="CR30" s="1">
        <f t="shared" si="61"/>
        <v>0</v>
      </c>
    </row>
    <row r="31" spans="1:96" x14ac:dyDescent="0.25">
      <c r="A31" s="3" t="s">
        <v>30</v>
      </c>
      <c r="B31" s="1">
        <v>7</v>
      </c>
      <c r="C31" s="1">
        <v>0</v>
      </c>
      <c r="D31" s="1">
        <v>4</v>
      </c>
      <c r="E31" s="1">
        <v>1</v>
      </c>
      <c r="F31" s="1">
        <v>4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6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7</v>
      </c>
      <c r="AB31" s="1">
        <v>0</v>
      </c>
      <c r="AC31" s="1">
        <v>41</v>
      </c>
      <c r="AD31" s="7"/>
      <c r="AE31" s="1">
        <v>0</v>
      </c>
      <c r="AH31" s="3" t="s">
        <v>30</v>
      </c>
      <c r="AI31" s="1">
        <f t="shared" si="62"/>
        <v>1</v>
      </c>
      <c r="AJ31" s="1">
        <f t="shared" si="63"/>
        <v>0</v>
      </c>
      <c r="AK31" s="1">
        <f t="shared" si="64"/>
        <v>0</v>
      </c>
      <c r="AL31" s="1">
        <f t="shared" si="65"/>
        <v>0</v>
      </c>
      <c r="AM31" s="1">
        <f t="shared" si="66"/>
        <v>0</v>
      </c>
      <c r="AN31" s="1">
        <f t="shared" si="67"/>
        <v>0</v>
      </c>
      <c r="AO31" s="1">
        <f t="shared" si="68"/>
        <v>0</v>
      </c>
      <c r="AP31" s="1">
        <f t="shared" si="69"/>
        <v>0</v>
      </c>
      <c r="AQ31" s="1">
        <f t="shared" si="70"/>
        <v>0</v>
      </c>
      <c r="AR31" s="1">
        <f t="shared" si="71"/>
        <v>0</v>
      </c>
      <c r="AS31" s="1">
        <f t="shared" si="72"/>
        <v>0</v>
      </c>
      <c r="AT31" s="1">
        <f t="shared" si="73"/>
        <v>0</v>
      </c>
      <c r="AU31" s="1">
        <f t="shared" si="74"/>
        <v>0</v>
      </c>
      <c r="AV31" s="1">
        <f t="shared" si="75"/>
        <v>1</v>
      </c>
      <c r="AW31" s="1">
        <f t="shared" si="76"/>
        <v>0</v>
      </c>
      <c r="AX31" s="1">
        <f t="shared" si="77"/>
        <v>0</v>
      </c>
      <c r="AY31" s="1">
        <f t="shared" si="78"/>
        <v>0</v>
      </c>
      <c r="AZ31" s="1">
        <f t="shared" si="79"/>
        <v>0</v>
      </c>
      <c r="BA31" s="1">
        <f t="shared" si="80"/>
        <v>0</v>
      </c>
      <c r="BB31" s="1">
        <f t="shared" si="81"/>
        <v>0</v>
      </c>
      <c r="BC31" s="1">
        <f t="shared" si="82"/>
        <v>0</v>
      </c>
      <c r="BD31" s="1">
        <f t="shared" si="83"/>
        <v>0</v>
      </c>
      <c r="BE31" s="1">
        <f t="shared" si="84"/>
        <v>0</v>
      </c>
      <c r="BF31" s="1">
        <f t="shared" si="85"/>
        <v>0</v>
      </c>
      <c r="BG31" s="1">
        <f t="shared" si="86"/>
        <v>0</v>
      </c>
      <c r="BH31" s="1">
        <f t="shared" si="87"/>
        <v>1</v>
      </c>
      <c r="BI31" s="1">
        <f t="shared" si="88"/>
        <v>0</v>
      </c>
      <c r="BJ31" s="1">
        <f t="shared" si="89"/>
        <v>1</v>
      </c>
      <c r="BK31" s="1">
        <f t="shared" si="90"/>
        <v>0</v>
      </c>
      <c r="BL31" s="1">
        <f t="shared" si="91"/>
        <v>0</v>
      </c>
      <c r="BN31" s="3" t="s">
        <v>30</v>
      </c>
      <c r="BO31" s="1">
        <f t="shared" si="32"/>
        <v>0.3</v>
      </c>
      <c r="BP31" s="1">
        <f t="shared" si="33"/>
        <v>0</v>
      </c>
      <c r="BQ31" s="1">
        <f t="shared" si="34"/>
        <v>0</v>
      </c>
      <c r="BR31" s="1">
        <f t="shared" si="35"/>
        <v>0</v>
      </c>
      <c r="BS31" s="1">
        <f t="shared" si="36"/>
        <v>0</v>
      </c>
      <c r="BT31" s="1">
        <f t="shared" si="37"/>
        <v>0</v>
      </c>
      <c r="BU31" s="1">
        <f t="shared" si="38"/>
        <v>0</v>
      </c>
      <c r="BV31" s="1">
        <f t="shared" si="39"/>
        <v>0</v>
      </c>
      <c r="BW31" s="1">
        <f t="shared" si="40"/>
        <v>0</v>
      </c>
      <c r="BX31" s="1">
        <f t="shared" si="41"/>
        <v>0</v>
      </c>
      <c r="BY31" s="1">
        <f t="shared" si="42"/>
        <v>0</v>
      </c>
      <c r="BZ31" s="1">
        <f t="shared" si="43"/>
        <v>0</v>
      </c>
      <c r="CA31" s="1">
        <f t="shared" si="44"/>
        <v>0</v>
      </c>
      <c r="CB31" s="1">
        <f t="shared" si="45"/>
        <v>0.3</v>
      </c>
      <c r="CC31" s="1">
        <f t="shared" si="46"/>
        <v>0</v>
      </c>
      <c r="CD31" s="1">
        <f t="shared" si="47"/>
        <v>0</v>
      </c>
      <c r="CE31" s="1">
        <f t="shared" si="48"/>
        <v>0</v>
      </c>
      <c r="CF31" s="1">
        <f t="shared" si="49"/>
        <v>0</v>
      </c>
      <c r="CG31" s="1">
        <f t="shared" si="50"/>
        <v>0</v>
      </c>
      <c r="CH31" s="1">
        <f t="shared" si="51"/>
        <v>0</v>
      </c>
      <c r="CI31" s="1">
        <f t="shared" si="52"/>
        <v>0</v>
      </c>
      <c r="CJ31" s="1">
        <f t="shared" si="53"/>
        <v>0</v>
      </c>
      <c r="CK31" s="1">
        <f t="shared" si="54"/>
        <v>0</v>
      </c>
      <c r="CL31" s="1">
        <f t="shared" si="55"/>
        <v>0</v>
      </c>
      <c r="CM31" s="1">
        <f t="shared" si="56"/>
        <v>0</v>
      </c>
      <c r="CN31" s="1">
        <f t="shared" si="57"/>
        <v>0.3</v>
      </c>
      <c r="CO31" s="1">
        <f t="shared" si="58"/>
        <v>0</v>
      </c>
      <c r="CP31" s="1">
        <f t="shared" si="59"/>
        <v>0.3</v>
      </c>
      <c r="CQ31" s="1">
        <f t="shared" si="60"/>
        <v>0</v>
      </c>
      <c r="CR31" s="1">
        <f t="shared" si="61"/>
        <v>0</v>
      </c>
    </row>
    <row r="32" spans="1:96" x14ac:dyDescent="0.25">
      <c r="A32" s="3" t="s">
        <v>31</v>
      </c>
      <c r="B32" s="1">
        <v>43</v>
      </c>
      <c r="C32" s="1">
        <v>8</v>
      </c>
      <c r="D32" s="1">
        <v>21</v>
      </c>
      <c r="E32" s="1">
        <v>0</v>
      </c>
      <c r="F32" s="1">
        <v>21</v>
      </c>
      <c r="G32" s="1">
        <v>4</v>
      </c>
      <c r="H32" s="1">
        <v>4</v>
      </c>
      <c r="I32" s="1">
        <v>2</v>
      </c>
      <c r="J32" s="1">
        <v>1</v>
      </c>
      <c r="K32" s="1">
        <v>3</v>
      </c>
      <c r="L32" s="1">
        <v>0</v>
      </c>
      <c r="M32" s="1">
        <v>4</v>
      </c>
      <c r="N32" s="1">
        <v>0</v>
      </c>
      <c r="O32" s="1">
        <v>25</v>
      </c>
      <c r="P32" s="1">
        <v>0</v>
      </c>
      <c r="Q32" s="1">
        <v>19</v>
      </c>
      <c r="R32" s="1">
        <v>0</v>
      </c>
      <c r="S32" s="1">
        <v>0</v>
      </c>
      <c r="T32" s="1">
        <v>4</v>
      </c>
      <c r="U32" s="1">
        <v>4</v>
      </c>
      <c r="V32" s="1">
        <v>3</v>
      </c>
      <c r="W32" s="1">
        <v>3</v>
      </c>
      <c r="X32" s="1">
        <v>1</v>
      </c>
      <c r="Y32" s="1">
        <v>0</v>
      </c>
      <c r="Z32" s="1">
        <v>0</v>
      </c>
      <c r="AA32" s="1">
        <v>0</v>
      </c>
      <c r="AB32" s="1">
        <v>34</v>
      </c>
      <c r="AC32" s="1">
        <v>0</v>
      </c>
      <c r="AD32" s="1">
        <v>0</v>
      </c>
      <c r="AE32" s="7"/>
      <c r="AH32" s="3" t="s">
        <v>31</v>
      </c>
      <c r="AI32" s="1">
        <f t="shared" si="62"/>
        <v>1</v>
      </c>
      <c r="AJ32" s="1">
        <f t="shared" si="63"/>
        <v>1</v>
      </c>
      <c r="AK32" s="1">
        <f t="shared" si="64"/>
        <v>1</v>
      </c>
      <c r="AL32" s="1">
        <f t="shared" si="65"/>
        <v>0</v>
      </c>
      <c r="AM32" s="1">
        <f t="shared" si="66"/>
        <v>1</v>
      </c>
      <c r="AN32" s="1">
        <f t="shared" si="67"/>
        <v>0</v>
      </c>
      <c r="AO32" s="1">
        <f t="shared" si="68"/>
        <v>0</v>
      </c>
      <c r="AP32" s="1">
        <f t="shared" si="69"/>
        <v>0</v>
      </c>
      <c r="AQ32" s="1">
        <f t="shared" si="70"/>
        <v>0</v>
      </c>
      <c r="AR32" s="1">
        <f t="shared" si="71"/>
        <v>0</v>
      </c>
      <c r="AS32" s="1">
        <f t="shared" si="72"/>
        <v>0</v>
      </c>
      <c r="AT32" s="1">
        <f t="shared" si="73"/>
        <v>0</v>
      </c>
      <c r="AU32" s="1">
        <f t="shared" si="74"/>
        <v>0</v>
      </c>
      <c r="AV32" s="1">
        <f t="shared" si="75"/>
        <v>1</v>
      </c>
      <c r="AW32" s="1">
        <f t="shared" si="76"/>
        <v>0</v>
      </c>
      <c r="AX32" s="1">
        <f t="shared" si="77"/>
        <v>1</v>
      </c>
      <c r="AY32" s="1">
        <f t="shared" si="78"/>
        <v>0</v>
      </c>
      <c r="AZ32" s="1">
        <f t="shared" si="79"/>
        <v>0</v>
      </c>
      <c r="BA32" s="1">
        <f t="shared" si="80"/>
        <v>0</v>
      </c>
      <c r="BB32" s="1">
        <f t="shared" si="81"/>
        <v>0</v>
      </c>
      <c r="BC32" s="1">
        <f t="shared" si="82"/>
        <v>0</v>
      </c>
      <c r="BD32" s="1">
        <f t="shared" si="83"/>
        <v>0</v>
      </c>
      <c r="BE32" s="1">
        <f t="shared" si="84"/>
        <v>0</v>
      </c>
      <c r="BF32" s="1">
        <f t="shared" si="85"/>
        <v>0</v>
      </c>
      <c r="BG32" s="1">
        <f t="shared" si="86"/>
        <v>0</v>
      </c>
      <c r="BH32" s="1">
        <f t="shared" si="87"/>
        <v>0</v>
      </c>
      <c r="BI32" s="1">
        <f t="shared" si="88"/>
        <v>1</v>
      </c>
      <c r="BJ32" s="1">
        <f t="shared" si="89"/>
        <v>0</v>
      </c>
      <c r="BK32" s="1">
        <f t="shared" si="90"/>
        <v>0</v>
      </c>
      <c r="BL32" s="1">
        <f t="shared" si="91"/>
        <v>0</v>
      </c>
      <c r="BN32" s="3" t="s">
        <v>31</v>
      </c>
      <c r="BO32" s="1">
        <f t="shared" si="32"/>
        <v>0.3</v>
      </c>
      <c r="BP32" s="1">
        <f t="shared" si="33"/>
        <v>0.3</v>
      </c>
      <c r="BQ32" s="1">
        <f t="shared" si="34"/>
        <v>0.3</v>
      </c>
      <c r="BR32" s="1">
        <f t="shared" si="35"/>
        <v>0</v>
      </c>
      <c r="BS32" s="1">
        <f t="shared" si="36"/>
        <v>0.3</v>
      </c>
      <c r="BT32" s="1">
        <f t="shared" si="37"/>
        <v>0</v>
      </c>
      <c r="BU32" s="1">
        <f t="shared" si="38"/>
        <v>0</v>
      </c>
      <c r="BV32" s="1">
        <f t="shared" si="39"/>
        <v>0</v>
      </c>
      <c r="BW32" s="1">
        <f t="shared" si="40"/>
        <v>0</v>
      </c>
      <c r="BX32" s="1">
        <f t="shared" si="41"/>
        <v>0</v>
      </c>
      <c r="BY32" s="1">
        <f t="shared" si="42"/>
        <v>0</v>
      </c>
      <c r="BZ32" s="1">
        <f t="shared" si="43"/>
        <v>0</v>
      </c>
      <c r="CA32" s="1">
        <f t="shared" si="44"/>
        <v>0</v>
      </c>
      <c r="CB32" s="1">
        <f t="shared" si="45"/>
        <v>0.3</v>
      </c>
      <c r="CC32" s="1">
        <f t="shared" si="46"/>
        <v>0</v>
      </c>
      <c r="CD32" s="1">
        <f t="shared" si="47"/>
        <v>0.3</v>
      </c>
      <c r="CE32" s="1">
        <f t="shared" si="48"/>
        <v>0</v>
      </c>
      <c r="CF32" s="1">
        <f t="shared" si="49"/>
        <v>0</v>
      </c>
      <c r="CG32" s="1">
        <f t="shared" si="50"/>
        <v>0</v>
      </c>
      <c r="CH32" s="1">
        <f t="shared" si="51"/>
        <v>0</v>
      </c>
      <c r="CI32" s="1">
        <f t="shared" si="52"/>
        <v>0</v>
      </c>
      <c r="CJ32" s="1">
        <f t="shared" si="53"/>
        <v>0</v>
      </c>
      <c r="CK32" s="1">
        <f t="shared" si="54"/>
        <v>0</v>
      </c>
      <c r="CL32" s="1">
        <f t="shared" si="55"/>
        <v>0</v>
      </c>
      <c r="CM32" s="1">
        <f t="shared" si="56"/>
        <v>0</v>
      </c>
      <c r="CN32" s="1">
        <f t="shared" si="57"/>
        <v>0</v>
      </c>
      <c r="CO32" s="1">
        <f t="shared" si="58"/>
        <v>0.3</v>
      </c>
      <c r="CP32" s="1">
        <f t="shared" si="59"/>
        <v>0</v>
      </c>
      <c r="CQ32" s="1">
        <f t="shared" si="60"/>
        <v>0</v>
      </c>
      <c r="CR32" s="1">
        <f t="shared" si="61"/>
        <v>0</v>
      </c>
    </row>
    <row r="35" spans="1:96" x14ac:dyDescent="0.25">
      <c r="A35" s="1" t="s">
        <v>40</v>
      </c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3" t="s">
        <v>16</v>
      </c>
      <c r="Q35" s="3" t="s">
        <v>17</v>
      </c>
      <c r="R35" s="3" t="s">
        <v>18</v>
      </c>
      <c r="S35" s="3" t="s">
        <v>19</v>
      </c>
      <c r="T35" s="3" t="s">
        <v>20</v>
      </c>
      <c r="U35" s="3" t="s">
        <v>21</v>
      </c>
      <c r="V35" s="3" t="s">
        <v>22</v>
      </c>
      <c r="W35" s="3" t="s">
        <v>23</v>
      </c>
      <c r="X35" s="3" t="s">
        <v>24</v>
      </c>
      <c r="Y35" s="3" t="s">
        <v>25</v>
      </c>
      <c r="Z35" s="3" t="s">
        <v>26</v>
      </c>
      <c r="AA35" s="3" t="s">
        <v>27</v>
      </c>
      <c r="AB35" s="3" t="s">
        <v>28</v>
      </c>
      <c r="AC35" s="3" t="s">
        <v>29</v>
      </c>
      <c r="AD35" s="3" t="s">
        <v>30</v>
      </c>
      <c r="AE35" s="3" t="s">
        <v>31</v>
      </c>
      <c r="AH35" s="1" t="s">
        <v>40</v>
      </c>
      <c r="AI35" s="3" t="s">
        <v>2</v>
      </c>
      <c r="AJ35" s="3" t="s">
        <v>3</v>
      </c>
      <c r="AK35" s="3" t="s">
        <v>4</v>
      </c>
      <c r="AL35" s="3" t="s">
        <v>5</v>
      </c>
      <c r="AM35" s="3" t="s">
        <v>6</v>
      </c>
      <c r="AN35" s="3" t="s">
        <v>7</v>
      </c>
      <c r="AO35" s="3" t="s">
        <v>8</v>
      </c>
      <c r="AP35" s="3" t="s">
        <v>9</v>
      </c>
      <c r="AQ35" s="3" t="s">
        <v>10</v>
      </c>
      <c r="AR35" s="3" t="s">
        <v>11</v>
      </c>
      <c r="AS35" s="3" t="s">
        <v>12</v>
      </c>
      <c r="AT35" s="3" t="s">
        <v>13</v>
      </c>
      <c r="AU35" s="3" t="s">
        <v>14</v>
      </c>
      <c r="AV35" s="3" t="s">
        <v>15</v>
      </c>
      <c r="AW35" s="3" t="s">
        <v>16</v>
      </c>
      <c r="AX35" s="3" t="s">
        <v>17</v>
      </c>
      <c r="AY35" s="3" t="s">
        <v>18</v>
      </c>
      <c r="AZ35" s="3" t="s">
        <v>19</v>
      </c>
      <c r="BA35" s="3" t="s">
        <v>20</v>
      </c>
      <c r="BB35" s="3" t="s">
        <v>21</v>
      </c>
      <c r="BC35" s="3" t="s">
        <v>22</v>
      </c>
      <c r="BD35" s="3" t="s">
        <v>23</v>
      </c>
      <c r="BE35" s="3" t="s">
        <v>24</v>
      </c>
      <c r="BF35" s="3" t="s">
        <v>25</v>
      </c>
      <c r="BG35" s="3" t="s">
        <v>26</v>
      </c>
      <c r="BH35" s="3" t="s">
        <v>27</v>
      </c>
      <c r="BI35" s="3" t="s">
        <v>28</v>
      </c>
      <c r="BJ35" s="3" t="s">
        <v>29</v>
      </c>
      <c r="BK35" s="3" t="s">
        <v>30</v>
      </c>
      <c r="BL35" s="3" t="s">
        <v>31</v>
      </c>
      <c r="BN35" s="1" t="s">
        <v>40</v>
      </c>
      <c r="BO35" s="3" t="s">
        <v>2</v>
      </c>
      <c r="BP35" s="3" t="s">
        <v>3</v>
      </c>
      <c r="BQ35" s="3" t="s">
        <v>4</v>
      </c>
      <c r="BR35" s="3" t="s">
        <v>5</v>
      </c>
      <c r="BS35" s="3" t="s">
        <v>6</v>
      </c>
      <c r="BT35" s="3" t="s">
        <v>7</v>
      </c>
      <c r="BU35" s="3" t="s">
        <v>8</v>
      </c>
      <c r="BV35" s="3" t="s">
        <v>9</v>
      </c>
      <c r="BW35" s="3" t="s">
        <v>10</v>
      </c>
      <c r="BX35" s="3" t="s">
        <v>11</v>
      </c>
      <c r="BY35" s="3" t="s">
        <v>12</v>
      </c>
      <c r="BZ35" s="3" t="s">
        <v>13</v>
      </c>
      <c r="CA35" s="3" t="s">
        <v>14</v>
      </c>
      <c r="CB35" s="3" t="s">
        <v>15</v>
      </c>
      <c r="CC35" s="3" t="s">
        <v>16</v>
      </c>
      <c r="CD35" s="3" t="s">
        <v>17</v>
      </c>
      <c r="CE35" s="3" t="s">
        <v>18</v>
      </c>
      <c r="CF35" s="3" t="s">
        <v>19</v>
      </c>
      <c r="CG35" s="3" t="s">
        <v>20</v>
      </c>
      <c r="CH35" s="3" t="s">
        <v>21</v>
      </c>
      <c r="CI35" s="3" t="s">
        <v>22</v>
      </c>
      <c r="CJ35" s="3" t="s">
        <v>23</v>
      </c>
      <c r="CK35" s="3" t="s">
        <v>24</v>
      </c>
      <c r="CL35" s="3" t="s">
        <v>25</v>
      </c>
      <c r="CM35" s="3" t="s">
        <v>26</v>
      </c>
      <c r="CN35" s="3" t="s">
        <v>27</v>
      </c>
      <c r="CO35" s="3" t="s">
        <v>28</v>
      </c>
      <c r="CP35" s="3" t="s">
        <v>29</v>
      </c>
      <c r="CQ35" s="3" t="s">
        <v>30</v>
      </c>
      <c r="CR35" s="3" t="s">
        <v>31</v>
      </c>
    </row>
    <row r="36" spans="1:96" x14ac:dyDescent="0.25">
      <c r="A36" s="3" t="s">
        <v>2</v>
      </c>
      <c r="B36" s="7"/>
      <c r="C36" s="1">
        <v>45</v>
      </c>
      <c r="D36" s="1">
        <v>42</v>
      </c>
      <c r="E36" s="1">
        <v>8</v>
      </c>
      <c r="F36" s="1">
        <v>19</v>
      </c>
      <c r="G36" s="1">
        <v>11</v>
      </c>
      <c r="H36" s="1">
        <v>27</v>
      </c>
      <c r="I36" s="1">
        <v>0</v>
      </c>
      <c r="J36" s="1">
        <v>0</v>
      </c>
      <c r="K36" s="1">
        <v>14</v>
      </c>
      <c r="L36" s="1">
        <v>16</v>
      </c>
      <c r="M36" s="1">
        <v>16</v>
      </c>
      <c r="N36" s="1">
        <v>7</v>
      </c>
      <c r="O36" s="1">
        <v>45</v>
      </c>
      <c r="P36" s="1">
        <v>19</v>
      </c>
      <c r="Q36" s="1">
        <v>1</v>
      </c>
      <c r="R36" s="1">
        <v>12</v>
      </c>
      <c r="S36" s="1">
        <v>0</v>
      </c>
      <c r="T36" s="1">
        <v>19</v>
      </c>
      <c r="U36" s="1">
        <v>27</v>
      </c>
      <c r="V36" s="1">
        <v>0</v>
      </c>
      <c r="W36" s="1">
        <v>0</v>
      </c>
      <c r="X36" s="1">
        <v>1</v>
      </c>
      <c r="Y36" s="1">
        <v>7</v>
      </c>
      <c r="Z36" s="1">
        <v>7</v>
      </c>
      <c r="AA36" s="1">
        <v>0</v>
      </c>
      <c r="AB36" s="1">
        <v>5</v>
      </c>
      <c r="AC36" s="1">
        <v>5</v>
      </c>
      <c r="AD36" s="1">
        <v>17</v>
      </c>
      <c r="AE36" s="1">
        <v>10</v>
      </c>
      <c r="AF36" s="1">
        <f>SUM(B36:AE65)/870</f>
        <v>3.6160919540229899</v>
      </c>
      <c r="AH36" s="3" t="s">
        <v>2</v>
      </c>
      <c r="AI36" s="1">
        <f>IF(B36&gt;$AF$36,1,0)</f>
        <v>0</v>
      </c>
      <c r="AJ36" s="1">
        <f t="shared" ref="AJ36:BL36" si="92">IF(C36&gt;$AF$36,1,0)</f>
        <v>1</v>
      </c>
      <c r="AK36" s="1">
        <f t="shared" si="92"/>
        <v>1</v>
      </c>
      <c r="AL36" s="1">
        <f t="shared" si="92"/>
        <v>1</v>
      </c>
      <c r="AM36" s="1">
        <f t="shared" si="92"/>
        <v>1</v>
      </c>
      <c r="AN36" s="1">
        <f t="shared" si="92"/>
        <v>1</v>
      </c>
      <c r="AO36" s="1">
        <f t="shared" si="92"/>
        <v>1</v>
      </c>
      <c r="AP36" s="1">
        <f t="shared" si="92"/>
        <v>0</v>
      </c>
      <c r="AQ36" s="1">
        <f t="shared" si="92"/>
        <v>0</v>
      </c>
      <c r="AR36" s="1">
        <f t="shared" si="92"/>
        <v>1</v>
      </c>
      <c r="AS36" s="1">
        <f t="shared" si="92"/>
        <v>1</v>
      </c>
      <c r="AT36" s="1">
        <f t="shared" si="92"/>
        <v>1</v>
      </c>
      <c r="AU36" s="1">
        <f t="shared" si="92"/>
        <v>1</v>
      </c>
      <c r="AV36" s="1">
        <f t="shared" si="92"/>
        <v>1</v>
      </c>
      <c r="AW36" s="1">
        <f t="shared" si="92"/>
        <v>1</v>
      </c>
      <c r="AX36" s="1">
        <f t="shared" si="92"/>
        <v>0</v>
      </c>
      <c r="AY36" s="1">
        <f t="shared" si="92"/>
        <v>1</v>
      </c>
      <c r="AZ36" s="1">
        <f t="shared" si="92"/>
        <v>0</v>
      </c>
      <c r="BA36" s="1">
        <f t="shared" si="92"/>
        <v>1</v>
      </c>
      <c r="BB36" s="1">
        <f t="shared" si="92"/>
        <v>1</v>
      </c>
      <c r="BC36" s="1">
        <f t="shared" si="92"/>
        <v>0</v>
      </c>
      <c r="BD36" s="1">
        <f t="shared" si="92"/>
        <v>0</v>
      </c>
      <c r="BE36" s="1">
        <f t="shared" si="92"/>
        <v>0</v>
      </c>
      <c r="BF36" s="1">
        <f t="shared" si="92"/>
        <v>1</v>
      </c>
      <c r="BG36" s="1">
        <f t="shared" si="92"/>
        <v>1</v>
      </c>
      <c r="BH36" s="1">
        <f t="shared" si="92"/>
        <v>0</v>
      </c>
      <c r="BI36" s="1">
        <f t="shared" si="92"/>
        <v>1</v>
      </c>
      <c r="BJ36" s="1">
        <f t="shared" si="92"/>
        <v>1</v>
      </c>
      <c r="BK36" s="1">
        <f t="shared" si="92"/>
        <v>1</v>
      </c>
      <c r="BL36" s="1">
        <f t="shared" si="92"/>
        <v>1</v>
      </c>
      <c r="BN36" s="3" t="s">
        <v>2</v>
      </c>
      <c r="BO36" s="1">
        <f>0.3*AI36</f>
        <v>0</v>
      </c>
      <c r="BP36" s="1">
        <f t="shared" ref="BP36:CR36" si="93">0.3*AJ36</f>
        <v>0.3</v>
      </c>
      <c r="BQ36" s="1">
        <f t="shared" si="93"/>
        <v>0.3</v>
      </c>
      <c r="BR36" s="1">
        <f t="shared" si="93"/>
        <v>0.3</v>
      </c>
      <c r="BS36" s="1">
        <f t="shared" si="93"/>
        <v>0.3</v>
      </c>
      <c r="BT36" s="1">
        <f t="shared" si="93"/>
        <v>0.3</v>
      </c>
      <c r="BU36" s="1">
        <f t="shared" si="93"/>
        <v>0.3</v>
      </c>
      <c r="BV36" s="1">
        <f t="shared" si="93"/>
        <v>0</v>
      </c>
      <c r="BW36" s="1">
        <f t="shared" si="93"/>
        <v>0</v>
      </c>
      <c r="BX36" s="1">
        <f t="shared" si="93"/>
        <v>0.3</v>
      </c>
      <c r="BY36" s="1">
        <f t="shared" si="93"/>
        <v>0.3</v>
      </c>
      <c r="BZ36" s="1">
        <f t="shared" si="93"/>
        <v>0.3</v>
      </c>
      <c r="CA36" s="1">
        <f t="shared" si="93"/>
        <v>0.3</v>
      </c>
      <c r="CB36" s="1">
        <f t="shared" si="93"/>
        <v>0.3</v>
      </c>
      <c r="CC36" s="1">
        <f t="shared" si="93"/>
        <v>0.3</v>
      </c>
      <c r="CD36" s="1">
        <f t="shared" si="93"/>
        <v>0</v>
      </c>
      <c r="CE36" s="1">
        <f t="shared" si="93"/>
        <v>0.3</v>
      </c>
      <c r="CF36" s="1">
        <f t="shared" si="93"/>
        <v>0</v>
      </c>
      <c r="CG36" s="1">
        <f t="shared" si="93"/>
        <v>0.3</v>
      </c>
      <c r="CH36" s="1">
        <f t="shared" si="93"/>
        <v>0.3</v>
      </c>
      <c r="CI36" s="1">
        <f t="shared" si="93"/>
        <v>0</v>
      </c>
      <c r="CJ36" s="1">
        <f t="shared" si="93"/>
        <v>0</v>
      </c>
      <c r="CK36" s="1">
        <f t="shared" si="93"/>
        <v>0</v>
      </c>
      <c r="CL36" s="1">
        <f t="shared" si="93"/>
        <v>0.3</v>
      </c>
      <c r="CM36" s="1">
        <f t="shared" si="93"/>
        <v>0.3</v>
      </c>
      <c r="CN36" s="1">
        <f t="shared" si="93"/>
        <v>0</v>
      </c>
      <c r="CO36" s="1">
        <f t="shared" si="93"/>
        <v>0.3</v>
      </c>
      <c r="CP36" s="1">
        <f t="shared" si="93"/>
        <v>0.3</v>
      </c>
      <c r="CQ36" s="1">
        <f t="shared" si="93"/>
        <v>0.3</v>
      </c>
      <c r="CR36" s="1">
        <f t="shared" si="93"/>
        <v>0.3</v>
      </c>
    </row>
    <row r="37" spans="1:96" x14ac:dyDescent="0.25">
      <c r="A37" s="3" t="s">
        <v>3</v>
      </c>
      <c r="B37" s="1">
        <v>45</v>
      </c>
      <c r="C37" s="7"/>
      <c r="D37" s="1">
        <v>20</v>
      </c>
      <c r="E37" s="1">
        <v>0</v>
      </c>
      <c r="F37" s="1">
        <v>2</v>
      </c>
      <c r="G37" s="1">
        <v>2</v>
      </c>
      <c r="H37" s="1">
        <v>5</v>
      </c>
      <c r="I37" s="1">
        <v>0</v>
      </c>
      <c r="J37" s="1">
        <v>0</v>
      </c>
      <c r="K37" s="1">
        <v>2</v>
      </c>
      <c r="L37" s="1">
        <v>2</v>
      </c>
      <c r="M37" s="1">
        <v>13</v>
      </c>
      <c r="N37" s="1">
        <v>3</v>
      </c>
      <c r="O37" s="1">
        <v>45</v>
      </c>
      <c r="P37" s="1">
        <v>2</v>
      </c>
      <c r="Q37" s="1">
        <v>0</v>
      </c>
      <c r="R37" s="1">
        <v>2</v>
      </c>
      <c r="S37" s="1">
        <v>0</v>
      </c>
      <c r="T37" s="1">
        <v>1</v>
      </c>
      <c r="U37" s="1">
        <v>1</v>
      </c>
      <c r="V37" s="1">
        <v>0</v>
      </c>
      <c r="W37" s="1">
        <v>0</v>
      </c>
      <c r="X37" s="1">
        <v>0</v>
      </c>
      <c r="Y37" s="1">
        <v>6</v>
      </c>
      <c r="Z37" s="1">
        <v>6</v>
      </c>
      <c r="AA37" s="1">
        <v>0</v>
      </c>
      <c r="AB37" s="1">
        <v>3</v>
      </c>
      <c r="AC37" s="1">
        <v>2</v>
      </c>
      <c r="AD37" s="1">
        <v>12</v>
      </c>
      <c r="AE37" s="1">
        <v>11</v>
      </c>
      <c r="AH37" s="3" t="s">
        <v>3</v>
      </c>
      <c r="AI37" s="1">
        <f t="shared" ref="AI37:AI65" si="94">IF(B37&gt;$AF$36,1,0)</f>
        <v>1</v>
      </c>
      <c r="AJ37" s="1">
        <f t="shared" ref="AJ37:BL37" si="95">IF(C37&gt;$AF$36,1,0)</f>
        <v>0</v>
      </c>
      <c r="AK37" s="1">
        <f t="shared" si="95"/>
        <v>1</v>
      </c>
      <c r="AL37" s="1">
        <f t="shared" si="95"/>
        <v>0</v>
      </c>
      <c r="AM37" s="1">
        <f t="shared" si="95"/>
        <v>0</v>
      </c>
      <c r="AN37" s="1">
        <f t="shared" si="95"/>
        <v>0</v>
      </c>
      <c r="AO37" s="1">
        <f t="shared" si="95"/>
        <v>1</v>
      </c>
      <c r="AP37" s="1">
        <f t="shared" si="95"/>
        <v>0</v>
      </c>
      <c r="AQ37" s="1">
        <f t="shared" si="95"/>
        <v>0</v>
      </c>
      <c r="AR37" s="1">
        <f t="shared" si="95"/>
        <v>0</v>
      </c>
      <c r="AS37" s="1">
        <f t="shared" si="95"/>
        <v>0</v>
      </c>
      <c r="AT37" s="1">
        <f t="shared" si="95"/>
        <v>1</v>
      </c>
      <c r="AU37" s="1">
        <f t="shared" si="95"/>
        <v>0</v>
      </c>
      <c r="AV37" s="1">
        <f t="shared" si="95"/>
        <v>1</v>
      </c>
      <c r="AW37" s="1">
        <f t="shared" si="95"/>
        <v>0</v>
      </c>
      <c r="AX37" s="1">
        <f t="shared" si="95"/>
        <v>0</v>
      </c>
      <c r="AY37" s="1">
        <f t="shared" si="95"/>
        <v>0</v>
      </c>
      <c r="AZ37" s="1">
        <f t="shared" si="95"/>
        <v>0</v>
      </c>
      <c r="BA37" s="1">
        <f t="shared" si="95"/>
        <v>0</v>
      </c>
      <c r="BB37" s="1">
        <f t="shared" si="95"/>
        <v>0</v>
      </c>
      <c r="BC37" s="1">
        <f t="shared" si="95"/>
        <v>0</v>
      </c>
      <c r="BD37" s="1">
        <f t="shared" si="95"/>
        <v>0</v>
      </c>
      <c r="BE37" s="1">
        <f t="shared" si="95"/>
        <v>0</v>
      </c>
      <c r="BF37" s="1">
        <f t="shared" si="95"/>
        <v>1</v>
      </c>
      <c r="BG37" s="1">
        <f t="shared" si="95"/>
        <v>1</v>
      </c>
      <c r="BH37" s="1">
        <f t="shared" si="95"/>
        <v>0</v>
      </c>
      <c r="BI37" s="1">
        <f t="shared" si="95"/>
        <v>0</v>
      </c>
      <c r="BJ37" s="1">
        <f t="shared" si="95"/>
        <v>0</v>
      </c>
      <c r="BK37" s="1">
        <f t="shared" si="95"/>
        <v>1</v>
      </c>
      <c r="BL37" s="1">
        <f t="shared" si="95"/>
        <v>1</v>
      </c>
      <c r="BN37" s="3" t="s">
        <v>3</v>
      </c>
      <c r="BO37" s="1">
        <f t="shared" ref="BO37:BO65" si="96">0.3*AI37</f>
        <v>0.3</v>
      </c>
      <c r="BP37" s="1">
        <f t="shared" ref="BP37:BP65" si="97">0.3*AJ37</f>
        <v>0</v>
      </c>
      <c r="BQ37" s="1">
        <f t="shared" ref="BQ37:BQ65" si="98">0.3*AK37</f>
        <v>0.3</v>
      </c>
      <c r="BR37" s="1">
        <f t="shared" ref="BR37:BR65" si="99">0.3*AL37</f>
        <v>0</v>
      </c>
      <c r="BS37" s="1">
        <f t="shared" ref="BS37:BS65" si="100">0.3*AM37</f>
        <v>0</v>
      </c>
      <c r="BT37" s="1">
        <f t="shared" ref="BT37:BT65" si="101">0.3*AN37</f>
        <v>0</v>
      </c>
      <c r="BU37" s="1">
        <f t="shared" ref="BU37:BU65" si="102">0.3*AO37</f>
        <v>0.3</v>
      </c>
      <c r="BV37" s="1">
        <f t="shared" ref="BV37:BV65" si="103">0.3*AP37</f>
        <v>0</v>
      </c>
      <c r="BW37" s="1">
        <f t="shared" ref="BW37:BW65" si="104">0.3*AQ37</f>
        <v>0</v>
      </c>
      <c r="BX37" s="1">
        <f t="shared" ref="BX37:BX65" si="105">0.3*AR37</f>
        <v>0</v>
      </c>
      <c r="BY37" s="1">
        <f t="shared" ref="BY37:BY65" si="106">0.3*AS37</f>
        <v>0</v>
      </c>
      <c r="BZ37" s="1">
        <f t="shared" ref="BZ37:BZ65" si="107">0.3*AT37</f>
        <v>0.3</v>
      </c>
      <c r="CA37" s="1">
        <f t="shared" ref="CA37:CA65" si="108">0.3*AU37</f>
        <v>0</v>
      </c>
      <c r="CB37" s="1">
        <f t="shared" ref="CB37:CB65" si="109">0.3*AV37</f>
        <v>0.3</v>
      </c>
      <c r="CC37" s="1">
        <f t="shared" ref="CC37:CC65" si="110">0.3*AW37</f>
        <v>0</v>
      </c>
      <c r="CD37" s="1">
        <f t="shared" ref="CD37:CD65" si="111">0.3*AX37</f>
        <v>0</v>
      </c>
      <c r="CE37" s="1">
        <f t="shared" ref="CE37:CE65" si="112">0.3*AY37</f>
        <v>0</v>
      </c>
      <c r="CF37" s="1">
        <f t="shared" ref="CF37:CF65" si="113">0.3*AZ37</f>
        <v>0</v>
      </c>
      <c r="CG37" s="1">
        <f t="shared" ref="CG37:CG65" si="114">0.3*BA37</f>
        <v>0</v>
      </c>
      <c r="CH37" s="1">
        <f t="shared" ref="CH37:CH65" si="115">0.3*BB37</f>
        <v>0</v>
      </c>
      <c r="CI37" s="1">
        <f t="shared" ref="CI37:CI65" si="116">0.3*BC37</f>
        <v>0</v>
      </c>
      <c r="CJ37" s="1">
        <f t="shared" ref="CJ37:CJ65" si="117">0.3*BD37</f>
        <v>0</v>
      </c>
      <c r="CK37" s="1">
        <f t="shared" ref="CK37:CK65" si="118">0.3*BE37</f>
        <v>0</v>
      </c>
      <c r="CL37" s="1">
        <f t="shared" ref="CL37:CL65" si="119">0.3*BF37</f>
        <v>0.3</v>
      </c>
      <c r="CM37" s="1">
        <f t="shared" ref="CM37:CM65" si="120">0.3*BG37</f>
        <v>0.3</v>
      </c>
      <c r="CN37" s="1">
        <f t="shared" ref="CN37:CN65" si="121">0.3*BH37</f>
        <v>0</v>
      </c>
      <c r="CO37" s="1">
        <f t="shared" ref="CO37:CO65" si="122">0.3*BI37</f>
        <v>0</v>
      </c>
      <c r="CP37" s="1">
        <f t="shared" ref="CP37:CP65" si="123">0.3*BJ37</f>
        <v>0</v>
      </c>
      <c r="CQ37" s="1">
        <f t="shared" ref="CQ37:CQ65" si="124">0.3*BK37</f>
        <v>0.3</v>
      </c>
      <c r="CR37" s="1">
        <f t="shared" ref="CR37:CR65" si="125">0.3*BL37</f>
        <v>0.3</v>
      </c>
    </row>
    <row r="38" spans="1:96" x14ac:dyDescent="0.25">
      <c r="A38" s="3" t="s">
        <v>4</v>
      </c>
      <c r="B38" s="1">
        <v>42</v>
      </c>
      <c r="C38" s="1">
        <v>20</v>
      </c>
      <c r="D38" s="7"/>
      <c r="E38" s="1">
        <v>10</v>
      </c>
      <c r="F38" s="1">
        <v>7</v>
      </c>
      <c r="G38" s="1">
        <v>4</v>
      </c>
      <c r="H38" s="1">
        <v>9</v>
      </c>
      <c r="I38" s="1">
        <v>3</v>
      </c>
      <c r="J38" s="1">
        <v>0</v>
      </c>
      <c r="K38" s="1">
        <v>2</v>
      </c>
      <c r="L38" s="1">
        <v>6</v>
      </c>
      <c r="M38" s="1">
        <v>19</v>
      </c>
      <c r="N38" s="1">
        <v>6</v>
      </c>
      <c r="O38" s="1">
        <v>20</v>
      </c>
      <c r="P38" s="1">
        <v>7</v>
      </c>
      <c r="Q38" s="1">
        <v>0</v>
      </c>
      <c r="R38" s="1">
        <v>5</v>
      </c>
      <c r="S38" s="1">
        <v>3</v>
      </c>
      <c r="T38" s="1">
        <v>7</v>
      </c>
      <c r="U38" s="1">
        <v>8</v>
      </c>
      <c r="V38" s="1">
        <v>0</v>
      </c>
      <c r="W38" s="1">
        <v>0</v>
      </c>
      <c r="X38" s="1">
        <v>2</v>
      </c>
      <c r="Y38" s="1">
        <v>3</v>
      </c>
      <c r="Z38" s="1">
        <v>3</v>
      </c>
      <c r="AA38" s="1">
        <v>0</v>
      </c>
      <c r="AB38" s="1">
        <v>4</v>
      </c>
      <c r="AC38" s="1">
        <v>2</v>
      </c>
      <c r="AD38" s="1">
        <v>9</v>
      </c>
      <c r="AE38" s="1">
        <v>6</v>
      </c>
      <c r="AH38" s="3" t="s">
        <v>4</v>
      </c>
      <c r="AI38" s="1">
        <f t="shared" si="94"/>
        <v>1</v>
      </c>
      <c r="AJ38" s="1">
        <f t="shared" ref="AJ38:BL38" si="126">IF(C38&gt;$AF$36,1,0)</f>
        <v>1</v>
      </c>
      <c r="AK38" s="1">
        <f t="shared" si="126"/>
        <v>0</v>
      </c>
      <c r="AL38" s="1">
        <f t="shared" si="126"/>
        <v>1</v>
      </c>
      <c r="AM38" s="1">
        <f t="shared" si="126"/>
        <v>1</v>
      </c>
      <c r="AN38" s="1">
        <f t="shared" si="126"/>
        <v>1</v>
      </c>
      <c r="AO38" s="1">
        <f t="shared" si="126"/>
        <v>1</v>
      </c>
      <c r="AP38" s="1">
        <f t="shared" si="126"/>
        <v>0</v>
      </c>
      <c r="AQ38" s="1">
        <f t="shared" si="126"/>
        <v>0</v>
      </c>
      <c r="AR38" s="1">
        <f t="shared" si="126"/>
        <v>0</v>
      </c>
      <c r="AS38" s="1">
        <f t="shared" si="126"/>
        <v>1</v>
      </c>
      <c r="AT38" s="1">
        <f t="shared" si="126"/>
        <v>1</v>
      </c>
      <c r="AU38" s="1">
        <f t="shared" si="126"/>
        <v>1</v>
      </c>
      <c r="AV38" s="1">
        <f t="shared" si="126"/>
        <v>1</v>
      </c>
      <c r="AW38" s="1">
        <f t="shared" si="126"/>
        <v>1</v>
      </c>
      <c r="AX38" s="1">
        <f t="shared" si="126"/>
        <v>0</v>
      </c>
      <c r="AY38" s="1">
        <f t="shared" si="126"/>
        <v>1</v>
      </c>
      <c r="AZ38" s="1">
        <f t="shared" si="126"/>
        <v>0</v>
      </c>
      <c r="BA38" s="1">
        <f t="shared" si="126"/>
        <v>1</v>
      </c>
      <c r="BB38" s="1">
        <f t="shared" si="126"/>
        <v>1</v>
      </c>
      <c r="BC38" s="1">
        <f t="shared" si="126"/>
        <v>0</v>
      </c>
      <c r="BD38" s="1">
        <f t="shared" si="126"/>
        <v>0</v>
      </c>
      <c r="BE38" s="1">
        <f t="shared" si="126"/>
        <v>0</v>
      </c>
      <c r="BF38" s="1">
        <f t="shared" si="126"/>
        <v>0</v>
      </c>
      <c r="BG38" s="1">
        <f t="shared" si="126"/>
        <v>0</v>
      </c>
      <c r="BH38" s="1">
        <f t="shared" si="126"/>
        <v>0</v>
      </c>
      <c r="BI38" s="1">
        <f t="shared" si="126"/>
        <v>1</v>
      </c>
      <c r="BJ38" s="1">
        <f t="shared" si="126"/>
        <v>0</v>
      </c>
      <c r="BK38" s="1">
        <f t="shared" si="126"/>
        <v>1</v>
      </c>
      <c r="BL38" s="1">
        <f t="shared" si="126"/>
        <v>1</v>
      </c>
      <c r="BN38" s="3" t="s">
        <v>4</v>
      </c>
      <c r="BO38" s="1">
        <f t="shared" si="96"/>
        <v>0.3</v>
      </c>
      <c r="BP38" s="1">
        <f t="shared" si="97"/>
        <v>0.3</v>
      </c>
      <c r="BQ38" s="1">
        <f t="shared" si="98"/>
        <v>0</v>
      </c>
      <c r="BR38" s="1">
        <f t="shared" si="99"/>
        <v>0.3</v>
      </c>
      <c r="BS38" s="1">
        <f t="shared" si="100"/>
        <v>0.3</v>
      </c>
      <c r="BT38" s="1">
        <f t="shared" si="101"/>
        <v>0.3</v>
      </c>
      <c r="BU38" s="1">
        <f t="shared" si="102"/>
        <v>0.3</v>
      </c>
      <c r="BV38" s="1">
        <f t="shared" si="103"/>
        <v>0</v>
      </c>
      <c r="BW38" s="1">
        <f t="shared" si="104"/>
        <v>0</v>
      </c>
      <c r="BX38" s="1">
        <f t="shared" si="105"/>
        <v>0</v>
      </c>
      <c r="BY38" s="1">
        <f t="shared" si="106"/>
        <v>0.3</v>
      </c>
      <c r="BZ38" s="1">
        <f t="shared" si="107"/>
        <v>0.3</v>
      </c>
      <c r="CA38" s="1">
        <f t="shared" si="108"/>
        <v>0.3</v>
      </c>
      <c r="CB38" s="1">
        <f t="shared" si="109"/>
        <v>0.3</v>
      </c>
      <c r="CC38" s="1">
        <f t="shared" si="110"/>
        <v>0.3</v>
      </c>
      <c r="CD38" s="1">
        <f t="shared" si="111"/>
        <v>0</v>
      </c>
      <c r="CE38" s="1">
        <f t="shared" si="112"/>
        <v>0.3</v>
      </c>
      <c r="CF38" s="1">
        <f t="shared" si="113"/>
        <v>0</v>
      </c>
      <c r="CG38" s="1">
        <f t="shared" si="114"/>
        <v>0.3</v>
      </c>
      <c r="CH38" s="1">
        <f t="shared" si="115"/>
        <v>0.3</v>
      </c>
      <c r="CI38" s="1">
        <f t="shared" si="116"/>
        <v>0</v>
      </c>
      <c r="CJ38" s="1">
        <f t="shared" si="117"/>
        <v>0</v>
      </c>
      <c r="CK38" s="1">
        <f t="shared" si="118"/>
        <v>0</v>
      </c>
      <c r="CL38" s="1">
        <f t="shared" si="119"/>
        <v>0</v>
      </c>
      <c r="CM38" s="1">
        <f t="shared" si="120"/>
        <v>0</v>
      </c>
      <c r="CN38" s="1">
        <f t="shared" si="121"/>
        <v>0</v>
      </c>
      <c r="CO38" s="1">
        <f t="shared" si="122"/>
        <v>0.3</v>
      </c>
      <c r="CP38" s="1">
        <f t="shared" si="123"/>
        <v>0</v>
      </c>
      <c r="CQ38" s="1">
        <f t="shared" si="124"/>
        <v>0.3</v>
      </c>
      <c r="CR38" s="1">
        <f t="shared" si="125"/>
        <v>0.3</v>
      </c>
    </row>
    <row r="39" spans="1:96" x14ac:dyDescent="0.25">
      <c r="A39" s="3" t="s">
        <v>5</v>
      </c>
      <c r="B39" s="1">
        <v>8</v>
      </c>
      <c r="C39" s="1">
        <v>0</v>
      </c>
      <c r="D39" s="1">
        <v>10</v>
      </c>
      <c r="E39" s="7"/>
      <c r="F39" s="1">
        <v>5</v>
      </c>
      <c r="G39" s="1">
        <v>4</v>
      </c>
      <c r="H39" s="1">
        <v>6</v>
      </c>
      <c r="I39" s="1">
        <v>2</v>
      </c>
      <c r="J39" s="8">
        <v>0</v>
      </c>
      <c r="K39" s="1">
        <v>0</v>
      </c>
      <c r="L39" s="1">
        <v>6</v>
      </c>
      <c r="M39" s="1">
        <v>4</v>
      </c>
      <c r="N39" s="1">
        <v>13</v>
      </c>
      <c r="O39" s="1">
        <v>2</v>
      </c>
      <c r="P39" s="1">
        <v>4</v>
      </c>
      <c r="Q39" s="1">
        <v>2</v>
      </c>
      <c r="R39" s="1">
        <v>3</v>
      </c>
      <c r="S39" s="1">
        <v>2</v>
      </c>
      <c r="T39" s="1">
        <v>5</v>
      </c>
      <c r="U39" s="1">
        <v>6</v>
      </c>
      <c r="V39" s="1">
        <v>0</v>
      </c>
      <c r="W39" s="1">
        <v>0</v>
      </c>
      <c r="X39" s="1">
        <v>2</v>
      </c>
      <c r="Y39" s="1">
        <v>1</v>
      </c>
      <c r="Z39" s="1">
        <v>1</v>
      </c>
      <c r="AA39" s="1">
        <v>0</v>
      </c>
      <c r="AB39" s="1">
        <v>0</v>
      </c>
      <c r="AC39" s="1">
        <v>1</v>
      </c>
      <c r="AD39" s="1">
        <v>3</v>
      </c>
      <c r="AE39" s="1">
        <v>2</v>
      </c>
      <c r="AH39" s="3" t="s">
        <v>5</v>
      </c>
      <c r="AI39" s="1">
        <f t="shared" si="94"/>
        <v>1</v>
      </c>
      <c r="AJ39" s="1">
        <f t="shared" ref="AJ39:BL39" si="127">IF(C39&gt;$AF$36,1,0)</f>
        <v>0</v>
      </c>
      <c r="AK39" s="1">
        <f t="shared" si="127"/>
        <v>1</v>
      </c>
      <c r="AL39" s="1">
        <f t="shared" si="127"/>
        <v>0</v>
      </c>
      <c r="AM39" s="1">
        <f t="shared" si="127"/>
        <v>1</v>
      </c>
      <c r="AN39" s="1">
        <f t="shared" si="127"/>
        <v>1</v>
      </c>
      <c r="AO39" s="1">
        <f t="shared" si="127"/>
        <v>1</v>
      </c>
      <c r="AP39" s="1">
        <f t="shared" si="127"/>
        <v>0</v>
      </c>
      <c r="AQ39" s="1">
        <f t="shared" si="127"/>
        <v>0</v>
      </c>
      <c r="AR39" s="1">
        <f t="shared" si="127"/>
        <v>0</v>
      </c>
      <c r="AS39" s="1">
        <f t="shared" si="127"/>
        <v>1</v>
      </c>
      <c r="AT39" s="1">
        <f t="shared" si="127"/>
        <v>1</v>
      </c>
      <c r="AU39" s="1">
        <f t="shared" si="127"/>
        <v>1</v>
      </c>
      <c r="AV39" s="1">
        <f t="shared" si="127"/>
        <v>0</v>
      </c>
      <c r="AW39" s="1">
        <f t="shared" si="127"/>
        <v>1</v>
      </c>
      <c r="AX39" s="1">
        <f t="shared" si="127"/>
        <v>0</v>
      </c>
      <c r="AY39" s="1">
        <f t="shared" si="127"/>
        <v>0</v>
      </c>
      <c r="AZ39" s="1">
        <f t="shared" si="127"/>
        <v>0</v>
      </c>
      <c r="BA39" s="1">
        <f t="shared" si="127"/>
        <v>1</v>
      </c>
      <c r="BB39" s="1">
        <f t="shared" si="127"/>
        <v>1</v>
      </c>
      <c r="BC39" s="1">
        <f t="shared" si="127"/>
        <v>0</v>
      </c>
      <c r="BD39" s="1">
        <f t="shared" si="127"/>
        <v>0</v>
      </c>
      <c r="BE39" s="1">
        <f t="shared" si="127"/>
        <v>0</v>
      </c>
      <c r="BF39" s="1">
        <f t="shared" si="127"/>
        <v>0</v>
      </c>
      <c r="BG39" s="1">
        <f t="shared" si="127"/>
        <v>0</v>
      </c>
      <c r="BH39" s="1">
        <f t="shared" si="127"/>
        <v>0</v>
      </c>
      <c r="BI39" s="1">
        <f t="shared" si="127"/>
        <v>0</v>
      </c>
      <c r="BJ39" s="1">
        <f t="shared" si="127"/>
        <v>0</v>
      </c>
      <c r="BK39" s="1">
        <f t="shared" si="127"/>
        <v>0</v>
      </c>
      <c r="BL39" s="1">
        <f t="shared" si="127"/>
        <v>0</v>
      </c>
      <c r="BN39" s="3" t="s">
        <v>5</v>
      </c>
      <c r="BO39" s="1">
        <f t="shared" si="96"/>
        <v>0.3</v>
      </c>
      <c r="BP39" s="1">
        <f t="shared" si="97"/>
        <v>0</v>
      </c>
      <c r="BQ39" s="1">
        <f t="shared" si="98"/>
        <v>0.3</v>
      </c>
      <c r="BR39" s="1">
        <f t="shared" si="99"/>
        <v>0</v>
      </c>
      <c r="BS39" s="1">
        <f t="shared" si="100"/>
        <v>0.3</v>
      </c>
      <c r="BT39" s="1">
        <f t="shared" si="101"/>
        <v>0.3</v>
      </c>
      <c r="BU39" s="1">
        <f t="shared" si="102"/>
        <v>0.3</v>
      </c>
      <c r="BV39" s="1">
        <f t="shared" si="103"/>
        <v>0</v>
      </c>
      <c r="BW39" s="1">
        <f t="shared" si="104"/>
        <v>0</v>
      </c>
      <c r="BX39" s="1">
        <f t="shared" si="105"/>
        <v>0</v>
      </c>
      <c r="BY39" s="1">
        <f t="shared" si="106"/>
        <v>0.3</v>
      </c>
      <c r="BZ39" s="1">
        <f t="shared" si="107"/>
        <v>0.3</v>
      </c>
      <c r="CA39" s="1">
        <f t="shared" si="108"/>
        <v>0.3</v>
      </c>
      <c r="CB39" s="1">
        <f t="shared" si="109"/>
        <v>0</v>
      </c>
      <c r="CC39" s="1">
        <f t="shared" si="110"/>
        <v>0.3</v>
      </c>
      <c r="CD39" s="1">
        <f t="shared" si="111"/>
        <v>0</v>
      </c>
      <c r="CE39" s="1">
        <f t="shared" si="112"/>
        <v>0</v>
      </c>
      <c r="CF39" s="1">
        <f t="shared" si="113"/>
        <v>0</v>
      </c>
      <c r="CG39" s="1">
        <f t="shared" si="114"/>
        <v>0.3</v>
      </c>
      <c r="CH39" s="1">
        <f t="shared" si="115"/>
        <v>0.3</v>
      </c>
      <c r="CI39" s="1">
        <f t="shared" si="116"/>
        <v>0</v>
      </c>
      <c r="CJ39" s="1">
        <f t="shared" si="117"/>
        <v>0</v>
      </c>
      <c r="CK39" s="1">
        <f t="shared" si="118"/>
        <v>0</v>
      </c>
      <c r="CL39" s="1">
        <f t="shared" si="119"/>
        <v>0</v>
      </c>
      <c r="CM39" s="1">
        <f t="shared" si="120"/>
        <v>0</v>
      </c>
      <c r="CN39" s="1">
        <f t="shared" si="121"/>
        <v>0</v>
      </c>
      <c r="CO39" s="1">
        <f t="shared" si="122"/>
        <v>0</v>
      </c>
      <c r="CP39" s="1">
        <f t="shared" si="123"/>
        <v>0</v>
      </c>
      <c r="CQ39" s="1">
        <f t="shared" si="124"/>
        <v>0</v>
      </c>
      <c r="CR39" s="1">
        <f t="shared" si="125"/>
        <v>0</v>
      </c>
    </row>
    <row r="40" spans="1:96" x14ac:dyDescent="0.25">
      <c r="A40" s="3" t="s">
        <v>6</v>
      </c>
      <c r="B40" s="1">
        <v>19</v>
      </c>
      <c r="C40" s="1">
        <v>2</v>
      </c>
      <c r="D40" s="1">
        <v>7</v>
      </c>
      <c r="E40" s="1">
        <v>5</v>
      </c>
      <c r="F40" s="7"/>
      <c r="G40" s="1">
        <v>12</v>
      </c>
      <c r="H40" s="1">
        <v>19</v>
      </c>
      <c r="I40" s="1">
        <v>3</v>
      </c>
      <c r="J40" s="1">
        <v>0</v>
      </c>
      <c r="K40" s="1">
        <v>5</v>
      </c>
      <c r="L40" s="1">
        <v>7</v>
      </c>
      <c r="M40" s="1">
        <v>3</v>
      </c>
      <c r="N40" s="1">
        <v>5</v>
      </c>
      <c r="O40" s="1">
        <v>2</v>
      </c>
      <c r="P40" s="1">
        <v>6</v>
      </c>
      <c r="Q40" s="1">
        <v>0</v>
      </c>
      <c r="R40" s="1">
        <v>4</v>
      </c>
      <c r="S40" s="1">
        <v>3</v>
      </c>
      <c r="T40" s="1">
        <v>16</v>
      </c>
      <c r="U40" s="1">
        <v>20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H40" s="3" t="s">
        <v>6</v>
      </c>
      <c r="AI40" s="1">
        <f t="shared" si="94"/>
        <v>1</v>
      </c>
      <c r="AJ40" s="1">
        <f t="shared" ref="AJ40:BL40" si="128">IF(C40&gt;$AF$36,1,0)</f>
        <v>0</v>
      </c>
      <c r="AK40" s="1">
        <f t="shared" si="128"/>
        <v>1</v>
      </c>
      <c r="AL40" s="1">
        <f t="shared" si="128"/>
        <v>1</v>
      </c>
      <c r="AM40" s="1">
        <f t="shared" si="128"/>
        <v>0</v>
      </c>
      <c r="AN40" s="1">
        <f t="shared" si="128"/>
        <v>1</v>
      </c>
      <c r="AO40" s="1">
        <f t="shared" si="128"/>
        <v>1</v>
      </c>
      <c r="AP40" s="1">
        <f t="shared" si="128"/>
        <v>0</v>
      </c>
      <c r="AQ40" s="1">
        <f t="shared" si="128"/>
        <v>0</v>
      </c>
      <c r="AR40" s="1">
        <f t="shared" si="128"/>
        <v>1</v>
      </c>
      <c r="AS40" s="1">
        <f t="shared" si="128"/>
        <v>1</v>
      </c>
      <c r="AT40" s="1">
        <f t="shared" si="128"/>
        <v>0</v>
      </c>
      <c r="AU40" s="1">
        <f t="shared" si="128"/>
        <v>1</v>
      </c>
      <c r="AV40" s="1">
        <f t="shared" si="128"/>
        <v>0</v>
      </c>
      <c r="AW40" s="1">
        <f t="shared" si="128"/>
        <v>1</v>
      </c>
      <c r="AX40" s="1">
        <f t="shared" si="128"/>
        <v>0</v>
      </c>
      <c r="AY40" s="1">
        <f t="shared" si="128"/>
        <v>1</v>
      </c>
      <c r="AZ40" s="1">
        <f t="shared" si="128"/>
        <v>0</v>
      </c>
      <c r="BA40" s="1">
        <f t="shared" si="128"/>
        <v>1</v>
      </c>
      <c r="BB40" s="1">
        <f t="shared" si="128"/>
        <v>1</v>
      </c>
      <c r="BC40" s="1">
        <f t="shared" si="128"/>
        <v>0</v>
      </c>
      <c r="BD40" s="1">
        <f t="shared" si="128"/>
        <v>0</v>
      </c>
      <c r="BE40" s="1">
        <f t="shared" si="128"/>
        <v>0</v>
      </c>
      <c r="BF40" s="1">
        <f t="shared" si="128"/>
        <v>0</v>
      </c>
      <c r="BG40" s="1">
        <f t="shared" si="128"/>
        <v>0</v>
      </c>
      <c r="BH40" s="1">
        <f t="shared" si="128"/>
        <v>0</v>
      </c>
      <c r="BI40" s="1">
        <f t="shared" si="128"/>
        <v>0</v>
      </c>
      <c r="BJ40" s="1">
        <f t="shared" si="128"/>
        <v>0</v>
      </c>
      <c r="BK40" s="1">
        <f t="shared" si="128"/>
        <v>0</v>
      </c>
      <c r="BL40" s="1">
        <f t="shared" si="128"/>
        <v>0</v>
      </c>
      <c r="BN40" s="3" t="s">
        <v>6</v>
      </c>
      <c r="BO40" s="1">
        <f t="shared" si="96"/>
        <v>0.3</v>
      </c>
      <c r="BP40" s="1">
        <f t="shared" si="97"/>
        <v>0</v>
      </c>
      <c r="BQ40" s="1">
        <f t="shared" si="98"/>
        <v>0.3</v>
      </c>
      <c r="BR40" s="1">
        <f t="shared" si="99"/>
        <v>0.3</v>
      </c>
      <c r="BS40" s="1">
        <f t="shared" si="100"/>
        <v>0</v>
      </c>
      <c r="BT40" s="1">
        <f t="shared" si="101"/>
        <v>0.3</v>
      </c>
      <c r="BU40" s="1">
        <f t="shared" si="102"/>
        <v>0.3</v>
      </c>
      <c r="BV40" s="1">
        <f t="shared" si="103"/>
        <v>0</v>
      </c>
      <c r="BW40" s="1">
        <f t="shared" si="104"/>
        <v>0</v>
      </c>
      <c r="BX40" s="1">
        <f t="shared" si="105"/>
        <v>0.3</v>
      </c>
      <c r="BY40" s="1">
        <f t="shared" si="106"/>
        <v>0.3</v>
      </c>
      <c r="BZ40" s="1">
        <f t="shared" si="107"/>
        <v>0</v>
      </c>
      <c r="CA40" s="1">
        <f t="shared" si="108"/>
        <v>0.3</v>
      </c>
      <c r="CB40" s="1">
        <f t="shared" si="109"/>
        <v>0</v>
      </c>
      <c r="CC40" s="1">
        <f t="shared" si="110"/>
        <v>0.3</v>
      </c>
      <c r="CD40" s="1">
        <f t="shared" si="111"/>
        <v>0</v>
      </c>
      <c r="CE40" s="1">
        <f t="shared" si="112"/>
        <v>0.3</v>
      </c>
      <c r="CF40" s="1">
        <f t="shared" si="113"/>
        <v>0</v>
      </c>
      <c r="CG40" s="1">
        <f t="shared" si="114"/>
        <v>0.3</v>
      </c>
      <c r="CH40" s="1">
        <f t="shared" si="115"/>
        <v>0.3</v>
      </c>
      <c r="CI40" s="1">
        <f t="shared" si="116"/>
        <v>0</v>
      </c>
      <c r="CJ40" s="1">
        <f t="shared" si="117"/>
        <v>0</v>
      </c>
      <c r="CK40" s="1">
        <f t="shared" si="118"/>
        <v>0</v>
      </c>
      <c r="CL40" s="1">
        <f t="shared" si="119"/>
        <v>0</v>
      </c>
      <c r="CM40" s="1">
        <f t="shared" si="120"/>
        <v>0</v>
      </c>
      <c r="CN40" s="1">
        <f t="shared" si="121"/>
        <v>0</v>
      </c>
      <c r="CO40" s="1">
        <f t="shared" si="122"/>
        <v>0</v>
      </c>
      <c r="CP40" s="1">
        <f t="shared" si="123"/>
        <v>0</v>
      </c>
      <c r="CQ40" s="1">
        <f t="shared" si="124"/>
        <v>0</v>
      </c>
      <c r="CR40" s="1">
        <f t="shared" si="125"/>
        <v>0</v>
      </c>
    </row>
    <row r="41" spans="1:96" x14ac:dyDescent="0.25">
      <c r="A41" s="3" t="s">
        <v>7</v>
      </c>
      <c r="B41" s="1">
        <v>11</v>
      </c>
      <c r="C41" s="1">
        <v>2</v>
      </c>
      <c r="D41" s="1">
        <v>4</v>
      </c>
      <c r="E41" s="1">
        <v>4</v>
      </c>
      <c r="F41" s="1">
        <v>12</v>
      </c>
      <c r="G41" s="7"/>
      <c r="H41" s="1">
        <v>11</v>
      </c>
      <c r="I41" s="1">
        <v>0</v>
      </c>
      <c r="J41" s="1">
        <v>0</v>
      </c>
      <c r="K41" s="1">
        <v>1</v>
      </c>
      <c r="L41" s="1">
        <v>4</v>
      </c>
      <c r="M41" s="1">
        <v>3</v>
      </c>
      <c r="N41" s="1">
        <v>4</v>
      </c>
      <c r="O41" s="1">
        <v>2</v>
      </c>
      <c r="P41" s="1">
        <v>2</v>
      </c>
      <c r="Q41" s="1">
        <v>1</v>
      </c>
      <c r="R41" s="1">
        <v>2</v>
      </c>
      <c r="S41" s="1">
        <v>2</v>
      </c>
      <c r="T41" s="1">
        <v>8</v>
      </c>
      <c r="U41" s="1">
        <v>11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H41" s="3" t="s">
        <v>7</v>
      </c>
      <c r="AI41" s="1">
        <f t="shared" si="94"/>
        <v>1</v>
      </c>
      <c r="AJ41" s="1">
        <f t="shared" ref="AJ41:BL41" si="129">IF(C41&gt;$AF$36,1,0)</f>
        <v>0</v>
      </c>
      <c r="AK41" s="1">
        <f t="shared" si="129"/>
        <v>1</v>
      </c>
      <c r="AL41" s="1">
        <f t="shared" si="129"/>
        <v>1</v>
      </c>
      <c r="AM41" s="1">
        <f t="shared" si="129"/>
        <v>1</v>
      </c>
      <c r="AN41" s="1">
        <f t="shared" si="129"/>
        <v>0</v>
      </c>
      <c r="AO41" s="1">
        <f t="shared" si="129"/>
        <v>1</v>
      </c>
      <c r="AP41" s="1">
        <f t="shared" si="129"/>
        <v>0</v>
      </c>
      <c r="AQ41" s="1">
        <f t="shared" si="129"/>
        <v>0</v>
      </c>
      <c r="AR41" s="1">
        <f t="shared" si="129"/>
        <v>0</v>
      </c>
      <c r="AS41" s="1">
        <f t="shared" si="129"/>
        <v>1</v>
      </c>
      <c r="AT41" s="1">
        <f t="shared" si="129"/>
        <v>0</v>
      </c>
      <c r="AU41" s="1">
        <f t="shared" si="129"/>
        <v>1</v>
      </c>
      <c r="AV41" s="1">
        <f t="shared" si="129"/>
        <v>0</v>
      </c>
      <c r="AW41" s="1">
        <f t="shared" si="129"/>
        <v>0</v>
      </c>
      <c r="AX41" s="1">
        <f t="shared" si="129"/>
        <v>0</v>
      </c>
      <c r="AY41" s="1">
        <f t="shared" si="129"/>
        <v>0</v>
      </c>
      <c r="AZ41" s="1">
        <f t="shared" si="129"/>
        <v>0</v>
      </c>
      <c r="BA41" s="1">
        <f t="shared" si="129"/>
        <v>1</v>
      </c>
      <c r="BB41" s="1">
        <f t="shared" si="129"/>
        <v>1</v>
      </c>
      <c r="BC41" s="1">
        <f t="shared" si="129"/>
        <v>0</v>
      </c>
      <c r="BD41" s="1">
        <f t="shared" si="129"/>
        <v>0</v>
      </c>
      <c r="BE41" s="1">
        <f t="shared" si="129"/>
        <v>0</v>
      </c>
      <c r="BF41" s="1">
        <f t="shared" si="129"/>
        <v>0</v>
      </c>
      <c r="BG41" s="1">
        <f t="shared" si="129"/>
        <v>0</v>
      </c>
      <c r="BH41" s="1">
        <f t="shared" si="129"/>
        <v>0</v>
      </c>
      <c r="BI41" s="1">
        <f t="shared" si="129"/>
        <v>0</v>
      </c>
      <c r="BJ41" s="1">
        <f t="shared" si="129"/>
        <v>0</v>
      </c>
      <c r="BK41" s="1">
        <f t="shared" si="129"/>
        <v>0</v>
      </c>
      <c r="BL41" s="1">
        <f t="shared" si="129"/>
        <v>0</v>
      </c>
      <c r="BN41" s="3" t="s">
        <v>7</v>
      </c>
      <c r="BO41" s="1">
        <f t="shared" si="96"/>
        <v>0.3</v>
      </c>
      <c r="BP41" s="1">
        <f t="shared" si="97"/>
        <v>0</v>
      </c>
      <c r="BQ41" s="1">
        <f t="shared" si="98"/>
        <v>0.3</v>
      </c>
      <c r="BR41" s="1">
        <f t="shared" si="99"/>
        <v>0.3</v>
      </c>
      <c r="BS41" s="1">
        <f t="shared" si="100"/>
        <v>0.3</v>
      </c>
      <c r="BT41" s="1">
        <f t="shared" si="101"/>
        <v>0</v>
      </c>
      <c r="BU41" s="1">
        <f t="shared" si="102"/>
        <v>0.3</v>
      </c>
      <c r="BV41" s="1">
        <f t="shared" si="103"/>
        <v>0</v>
      </c>
      <c r="BW41" s="1">
        <f t="shared" si="104"/>
        <v>0</v>
      </c>
      <c r="BX41" s="1">
        <f t="shared" si="105"/>
        <v>0</v>
      </c>
      <c r="BY41" s="1">
        <f t="shared" si="106"/>
        <v>0.3</v>
      </c>
      <c r="BZ41" s="1">
        <f t="shared" si="107"/>
        <v>0</v>
      </c>
      <c r="CA41" s="1">
        <f t="shared" si="108"/>
        <v>0.3</v>
      </c>
      <c r="CB41" s="1">
        <f t="shared" si="109"/>
        <v>0</v>
      </c>
      <c r="CC41" s="1">
        <f t="shared" si="110"/>
        <v>0</v>
      </c>
      <c r="CD41" s="1">
        <f t="shared" si="111"/>
        <v>0</v>
      </c>
      <c r="CE41" s="1">
        <f t="shared" si="112"/>
        <v>0</v>
      </c>
      <c r="CF41" s="1">
        <f t="shared" si="113"/>
        <v>0</v>
      </c>
      <c r="CG41" s="1">
        <f t="shared" si="114"/>
        <v>0.3</v>
      </c>
      <c r="CH41" s="1">
        <f t="shared" si="115"/>
        <v>0.3</v>
      </c>
      <c r="CI41" s="1">
        <f t="shared" si="116"/>
        <v>0</v>
      </c>
      <c r="CJ41" s="1">
        <f t="shared" si="117"/>
        <v>0</v>
      </c>
      <c r="CK41" s="1">
        <f t="shared" si="118"/>
        <v>0</v>
      </c>
      <c r="CL41" s="1">
        <f t="shared" si="119"/>
        <v>0</v>
      </c>
      <c r="CM41" s="1">
        <f t="shared" si="120"/>
        <v>0</v>
      </c>
      <c r="CN41" s="1">
        <f t="shared" si="121"/>
        <v>0</v>
      </c>
      <c r="CO41" s="1">
        <f t="shared" si="122"/>
        <v>0</v>
      </c>
      <c r="CP41" s="1">
        <f t="shared" si="123"/>
        <v>0</v>
      </c>
      <c r="CQ41" s="1">
        <f t="shared" si="124"/>
        <v>0</v>
      </c>
      <c r="CR41" s="1">
        <f t="shared" si="125"/>
        <v>0</v>
      </c>
    </row>
    <row r="42" spans="1:96" x14ac:dyDescent="0.25">
      <c r="A42" s="3" t="s">
        <v>8</v>
      </c>
      <c r="B42" s="1">
        <v>27</v>
      </c>
      <c r="C42" s="1">
        <v>5</v>
      </c>
      <c r="D42" s="1">
        <v>9</v>
      </c>
      <c r="E42" s="1">
        <v>6</v>
      </c>
      <c r="F42" s="1">
        <v>19</v>
      </c>
      <c r="G42" s="1">
        <v>11</v>
      </c>
      <c r="H42" s="7"/>
      <c r="I42" s="1">
        <v>4</v>
      </c>
      <c r="J42" s="1">
        <v>0</v>
      </c>
      <c r="K42" s="1">
        <v>8</v>
      </c>
      <c r="L42" s="1">
        <v>8</v>
      </c>
      <c r="M42" s="1">
        <v>3</v>
      </c>
      <c r="N42" s="1">
        <v>6</v>
      </c>
      <c r="O42" s="1">
        <v>5</v>
      </c>
      <c r="P42" s="1">
        <v>5</v>
      </c>
      <c r="Q42" s="1">
        <v>1</v>
      </c>
      <c r="R42" s="1">
        <v>5</v>
      </c>
      <c r="S42" s="1">
        <v>4</v>
      </c>
      <c r="T42" s="1">
        <v>16</v>
      </c>
      <c r="U42" s="1">
        <v>24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2</v>
      </c>
      <c r="AE42" s="1">
        <v>1</v>
      </c>
      <c r="AH42" s="3" t="s">
        <v>8</v>
      </c>
      <c r="AI42" s="1">
        <f t="shared" si="94"/>
        <v>1</v>
      </c>
      <c r="AJ42" s="1">
        <f t="shared" ref="AJ42:BL42" si="130">IF(C42&gt;$AF$36,1,0)</f>
        <v>1</v>
      </c>
      <c r="AK42" s="1">
        <f t="shared" si="130"/>
        <v>1</v>
      </c>
      <c r="AL42" s="1">
        <f t="shared" si="130"/>
        <v>1</v>
      </c>
      <c r="AM42" s="1">
        <f t="shared" si="130"/>
        <v>1</v>
      </c>
      <c r="AN42" s="1">
        <f t="shared" si="130"/>
        <v>1</v>
      </c>
      <c r="AO42" s="1">
        <f t="shared" si="130"/>
        <v>0</v>
      </c>
      <c r="AP42" s="1">
        <f t="shared" si="130"/>
        <v>1</v>
      </c>
      <c r="AQ42" s="1">
        <f t="shared" si="130"/>
        <v>0</v>
      </c>
      <c r="AR42" s="1">
        <f t="shared" si="130"/>
        <v>1</v>
      </c>
      <c r="AS42" s="1">
        <f t="shared" si="130"/>
        <v>1</v>
      </c>
      <c r="AT42" s="1">
        <f t="shared" si="130"/>
        <v>0</v>
      </c>
      <c r="AU42" s="1">
        <f t="shared" si="130"/>
        <v>1</v>
      </c>
      <c r="AV42" s="1">
        <f t="shared" si="130"/>
        <v>1</v>
      </c>
      <c r="AW42" s="1">
        <f t="shared" si="130"/>
        <v>1</v>
      </c>
      <c r="AX42" s="1">
        <f t="shared" si="130"/>
        <v>0</v>
      </c>
      <c r="AY42" s="1">
        <f t="shared" si="130"/>
        <v>1</v>
      </c>
      <c r="AZ42" s="1">
        <f t="shared" si="130"/>
        <v>1</v>
      </c>
      <c r="BA42" s="1">
        <f t="shared" si="130"/>
        <v>1</v>
      </c>
      <c r="BB42" s="1">
        <f t="shared" si="130"/>
        <v>1</v>
      </c>
      <c r="BC42" s="1">
        <f t="shared" si="130"/>
        <v>0</v>
      </c>
      <c r="BD42" s="1">
        <f t="shared" si="130"/>
        <v>0</v>
      </c>
      <c r="BE42" s="1">
        <f t="shared" si="130"/>
        <v>0</v>
      </c>
      <c r="BF42" s="1">
        <f t="shared" si="130"/>
        <v>0</v>
      </c>
      <c r="BG42" s="1">
        <f t="shared" si="130"/>
        <v>0</v>
      </c>
      <c r="BH42" s="1">
        <f t="shared" si="130"/>
        <v>0</v>
      </c>
      <c r="BI42" s="1">
        <f t="shared" si="130"/>
        <v>0</v>
      </c>
      <c r="BJ42" s="1">
        <f t="shared" si="130"/>
        <v>0</v>
      </c>
      <c r="BK42" s="1">
        <f t="shared" si="130"/>
        <v>0</v>
      </c>
      <c r="BL42" s="1">
        <f t="shared" si="130"/>
        <v>0</v>
      </c>
      <c r="BN42" s="3" t="s">
        <v>8</v>
      </c>
      <c r="BO42" s="1">
        <f t="shared" si="96"/>
        <v>0.3</v>
      </c>
      <c r="BP42" s="1">
        <f t="shared" si="97"/>
        <v>0.3</v>
      </c>
      <c r="BQ42" s="1">
        <f t="shared" si="98"/>
        <v>0.3</v>
      </c>
      <c r="BR42" s="1">
        <f t="shared" si="99"/>
        <v>0.3</v>
      </c>
      <c r="BS42" s="1">
        <f t="shared" si="100"/>
        <v>0.3</v>
      </c>
      <c r="BT42" s="1">
        <f t="shared" si="101"/>
        <v>0.3</v>
      </c>
      <c r="BU42" s="1">
        <f t="shared" si="102"/>
        <v>0</v>
      </c>
      <c r="BV42" s="1">
        <f t="shared" si="103"/>
        <v>0.3</v>
      </c>
      <c r="BW42" s="1">
        <f t="shared" si="104"/>
        <v>0</v>
      </c>
      <c r="BX42" s="1">
        <f t="shared" si="105"/>
        <v>0.3</v>
      </c>
      <c r="BY42" s="1">
        <f t="shared" si="106"/>
        <v>0.3</v>
      </c>
      <c r="BZ42" s="1">
        <f t="shared" si="107"/>
        <v>0</v>
      </c>
      <c r="CA42" s="1">
        <f t="shared" si="108"/>
        <v>0.3</v>
      </c>
      <c r="CB42" s="1">
        <f t="shared" si="109"/>
        <v>0.3</v>
      </c>
      <c r="CC42" s="1">
        <f t="shared" si="110"/>
        <v>0.3</v>
      </c>
      <c r="CD42" s="1">
        <f t="shared" si="111"/>
        <v>0</v>
      </c>
      <c r="CE42" s="1">
        <f t="shared" si="112"/>
        <v>0.3</v>
      </c>
      <c r="CF42" s="1">
        <f t="shared" si="113"/>
        <v>0.3</v>
      </c>
      <c r="CG42" s="1">
        <f t="shared" si="114"/>
        <v>0.3</v>
      </c>
      <c r="CH42" s="1">
        <f t="shared" si="115"/>
        <v>0.3</v>
      </c>
      <c r="CI42" s="1">
        <f t="shared" si="116"/>
        <v>0</v>
      </c>
      <c r="CJ42" s="1">
        <f t="shared" si="117"/>
        <v>0</v>
      </c>
      <c r="CK42" s="1">
        <f t="shared" si="118"/>
        <v>0</v>
      </c>
      <c r="CL42" s="1">
        <f t="shared" si="119"/>
        <v>0</v>
      </c>
      <c r="CM42" s="1">
        <f t="shared" si="120"/>
        <v>0</v>
      </c>
      <c r="CN42" s="1">
        <f t="shared" si="121"/>
        <v>0</v>
      </c>
      <c r="CO42" s="1">
        <f t="shared" si="122"/>
        <v>0</v>
      </c>
      <c r="CP42" s="1">
        <f t="shared" si="123"/>
        <v>0</v>
      </c>
      <c r="CQ42" s="1">
        <f t="shared" si="124"/>
        <v>0</v>
      </c>
      <c r="CR42" s="1">
        <f t="shared" si="125"/>
        <v>0</v>
      </c>
    </row>
    <row r="43" spans="1:96" x14ac:dyDescent="0.25">
      <c r="A43" s="3" t="s">
        <v>9</v>
      </c>
      <c r="B43" s="1">
        <v>0</v>
      </c>
      <c r="C43" s="1">
        <v>0</v>
      </c>
      <c r="D43" s="1">
        <v>3</v>
      </c>
      <c r="E43" s="1">
        <v>2</v>
      </c>
      <c r="F43" s="1">
        <v>3</v>
      </c>
      <c r="G43" s="1">
        <v>0</v>
      </c>
      <c r="H43" s="1">
        <v>4</v>
      </c>
      <c r="I43" s="7"/>
      <c r="J43" s="1">
        <v>0</v>
      </c>
      <c r="K43" s="1">
        <v>0</v>
      </c>
      <c r="L43" s="1">
        <v>0</v>
      </c>
      <c r="M43" s="1">
        <v>0</v>
      </c>
      <c r="N43" s="1">
        <v>2</v>
      </c>
      <c r="O43" s="1">
        <v>0</v>
      </c>
      <c r="P43" s="1">
        <v>0</v>
      </c>
      <c r="Q43" s="1">
        <v>0</v>
      </c>
      <c r="R43" s="1">
        <v>0</v>
      </c>
      <c r="S43" s="1">
        <v>4</v>
      </c>
      <c r="T43" s="1">
        <v>3</v>
      </c>
      <c r="U43" s="1">
        <v>3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H43" s="3" t="s">
        <v>9</v>
      </c>
      <c r="AI43" s="1">
        <f t="shared" si="94"/>
        <v>0</v>
      </c>
      <c r="AJ43" s="1">
        <f t="shared" ref="AJ43:BL43" si="131">IF(C43&gt;$AF$36,1,0)</f>
        <v>0</v>
      </c>
      <c r="AK43" s="1">
        <f t="shared" si="131"/>
        <v>0</v>
      </c>
      <c r="AL43" s="1">
        <f t="shared" si="131"/>
        <v>0</v>
      </c>
      <c r="AM43" s="1">
        <f t="shared" si="131"/>
        <v>0</v>
      </c>
      <c r="AN43" s="1">
        <f t="shared" si="131"/>
        <v>0</v>
      </c>
      <c r="AO43" s="1">
        <f t="shared" si="131"/>
        <v>1</v>
      </c>
      <c r="AP43" s="1">
        <f t="shared" si="131"/>
        <v>0</v>
      </c>
      <c r="AQ43" s="1">
        <f t="shared" si="131"/>
        <v>0</v>
      </c>
      <c r="AR43" s="1">
        <f t="shared" si="131"/>
        <v>0</v>
      </c>
      <c r="AS43" s="1">
        <f t="shared" si="131"/>
        <v>0</v>
      </c>
      <c r="AT43" s="1">
        <f t="shared" si="131"/>
        <v>0</v>
      </c>
      <c r="AU43" s="1">
        <f t="shared" si="131"/>
        <v>0</v>
      </c>
      <c r="AV43" s="1">
        <f t="shared" si="131"/>
        <v>0</v>
      </c>
      <c r="AW43" s="1">
        <f t="shared" si="131"/>
        <v>0</v>
      </c>
      <c r="AX43" s="1">
        <f t="shared" si="131"/>
        <v>0</v>
      </c>
      <c r="AY43" s="1">
        <f t="shared" si="131"/>
        <v>0</v>
      </c>
      <c r="AZ43" s="1">
        <f t="shared" si="131"/>
        <v>1</v>
      </c>
      <c r="BA43" s="1">
        <f t="shared" si="131"/>
        <v>0</v>
      </c>
      <c r="BB43" s="1">
        <f t="shared" si="131"/>
        <v>0</v>
      </c>
      <c r="BC43" s="1">
        <f t="shared" si="131"/>
        <v>0</v>
      </c>
      <c r="BD43" s="1">
        <f t="shared" si="131"/>
        <v>0</v>
      </c>
      <c r="BE43" s="1">
        <f t="shared" si="131"/>
        <v>0</v>
      </c>
      <c r="BF43" s="1">
        <f t="shared" si="131"/>
        <v>0</v>
      </c>
      <c r="BG43" s="1">
        <f t="shared" si="131"/>
        <v>0</v>
      </c>
      <c r="BH43" s="1">
        <f t="shared" si="131"/>
        <v>0</v>
      </c>
      <c r="BI43" s="1">
        <f t="shared" si="131"/>
        <v>0</v>
      </c>
      <c r="BJ43" s="1">
        <f t="shared" si="131"/>
        <v>0</v>
      </c>
      <c r="BK43" s="1">
        <f t="shared" si="131"/>
        <v>0</v>
      </c>
      <c r="BL43" s="1">
        <f t="shared" si="131"/>
        <v>0</v>
      </c>
      <c r="BN43" s="3" t="s">
        <v>9</v>
      </c>
      <c r="BO43" s="1">
        <f t="shared" si="96"/>
        <v>0</v>
      </c>
      <c r="BP43" s="1">
        <f t="shared" si="97"/>
        <v>0</v>
      </c>
      <c r="BQ43" s="1">
        <f t="shared" si="98"/>
        <v>0</v>
      </c>
      <c r="BR43" s="1">
        <f t="shared" si="99"/>
        <v>0</v>
      </c>
      <c r="BS43" s="1">
        <f t="shared" si="100"/>
        <v>0</v>
      </c>
      <c r="BT43" s="1">
        <f t="shared" si="101"/>
        <v>0</v>
      </c>
      <c r="BU43" s="1">
        <f t="shared" si="102"/>
        <v>0.3</v>
      </c>
      <c r="BV43" s="1">
        <f t="shared" si="103"/>
        <v>0</v>
      </c>
      <c r="BW43" s="1">
        <f t="shared" si="104"/>
        <v>0</v>
      </c>
      <c r="BX43" s="1">
        <f t="shared" si="105"/>
        <v>0</v>
      </c>
      <c r="BY43" s="1">
        <f t="shared" si="106"/>
        <v>0</v>
      </c>
      <c r="BZ43" s="1">
        <f t="shared" si="107"/>
        <v>0</v>
      </c>
      <c r="CA43" s="1">
        <f t="shared" si="108"/>
        <v>0</v>
      </c>
      <c r="CB43" s="1">
        <f t="shared" si="109"/>
        <v>0</v>
      </c>
      <c r="CC43" s="1">
        <f t="shared" si="110"/>
        <v>0</v>
      </c>
      <c r="CD43" s="1">
        <f t="shared" si="111"/>
        <v>0</v>
      </c>
      <c r="CE43" s="1">
        <f t="shared" si="112"/>
        <v>0</v>
      </c>
      <c r="CF43" s="1">
        <f t="shared" si="113"/>
        <v>0.3</v>
      </c>
      <c r="CG43" s="1">
        <f t="shared" si="114"/>
        <v>0</v>
      </c>
      <c r="CH43" s="1">
        <f t="shared" si="115"/>
        <v>0</v>
      </c>
      <c r="CI43" s="1">
        <f t="shared" si="116"/>
        <v>0</v>
      </c>
      <c r="CJ43" s="1">
        <f t="shared" si="117"/>
        <v>0</v>
      </c>
      <c r="CK43" s="1">
        <f t="shared" si="118"/>
        <v>0</v>
      </c>
      <c r="CL43" s="1">
        <f t="shared" si="119"/>
        <v>0</v>
      </c>
      <c r="CM43" s="1">
        <f t="shared" si="120"/>
        <v>0</v>
      </c>
      <c r="CN43" s="1">
        <f t="shared" si="121"/>
        <v>0</v>
      </c>
      <c r="CO43" s="1">
        <f t="shared" si="122"/>
        <v>0</v>
      </c>
      <c r="CP43" s="1">
        <f t="shared" si="123"/>
        <v>0</v>
      </c>
      <c r="CQ43" s="1">
        <f t="shared" si="124"/>
        <v>0</v>
      </c>
      <c r="CR43" s="1">
        <f t="shared" si="125"/>
        <v>0</v>
      </c>
    </row>
    <row r="44" spans="1:96" x14ac:dyDescent="0.25">
      <c r="A44" s="3" t="s">
        <v>10</v>
      </c>
      <c r="B44" s="1">
        <v>0</v>
      </c>
      <c r="C44" s="1">
        <v>0</v>
      </c>
      <c r="D44" s="1">
        <v>0</v>
      </c>
      <c r="E44" s="8">
        <v>0</v>
      </c>
      <c r="F44" s="1">
        <v>0</v>
      </c>
      <c r="G44" s="1">
        <v>0</v>
      </c>
      <c r="H44" s="1">
        <v>0</v>
      </c>
      <c r="I44" s="1">
        <v>0</v>
      </c>
      <c r="J44" s="7"/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H44" s="3" t="s">
        <v>10</v>
      </c>
      <c r="AI44" s="1">
        <f t="shared" si="94"/>
        <v>0</v>
      </c>
      <c r="AJ44" s="1">
        <f t="shared" ref="AJ44:BL44" si="132">IF(C44&gt;$AF$36,1,0)</f>
        <v>0</v>
      </c>
      <c r="AK44" s="1">
        <f t="shared" si="132"/>
        <v>0</v>
      </c>
      <c r="AL44" s="1">
        <f t="shared" si="132"/>
        <v>0</v>
      </c>
      <c r="AM44" s="1">
        <f t="shared" si="132"/>
        <v>0</v>
      </c>
      <c r="AN44" s="1">
        <f t="shared" si="132"/>
        <v>0</v>
      </c>
      <c r="AO44" s="1">
        <f t="shared" si="132"/>
        <v>0</v>
      </c>
      <c r="AP44" s="1">
        <f t="shared" si="132"/>
        <v>0</v>
      </c>
      <c r="AQ44" s="1">
        <f t="shared" si="132"/>
        <v>0</v>
      </c>
      <c r="AR44" s="1">
        <f t="shared" si="132"/>
        <v>0</v>
      </c>
      <c r="AS44" s="1">
        <f t="shared" si="132"/>
        <v>0</v>
      </c>
      <c r="AT44" s="1">
        <f t="shared" si="132"/>
        <v>0</v>
      </c>
      <c r="AU44" s="1">
        <f t="shared" si="132"/>
        <v>0</v>
      </c>
      <c r="AV44" s="1">
        <f t="shared" si="132"/>
        <v>0</v>
      </c>
      <c r="AW44" s="1">
        <f t="shared" si="132"/>
        <v>0</v>
      </c>
      <c r="AX44" s="1">
        <f t="shared" si="132"/>
        <v>0</v>
      </c>
      <c r="AY44" s="1">
        <f t="shared" si="132"/>
        <v>0</v>
      </c>
      <c r="AZ44" s="1">
        <f t="shared" si="132"/>
        <v>0</v>
      </c>
      <c r="BA44" s="1">
        <f t="shared" si="132"/>
        <v>0</v>
      </c>
      <c r="BB44" s="1">
        <f t="shared" si="132"/>
        <v>0</v>
      </c>
      <c r="BC44" s="1">
        <f t="shared" si="132"/>
        <v>0</v>
      </c>
      <c r="BD44" s="1">
        <f t="shared" si="132"/>
        <v>0</v>
      </c>
      <c r="BE44" s="1">
        <f t="shared" si="132"/>
        <v>0</v>
      </c>
      <c r="BF44" s="1">
        <f t="shared" si="132"/>
        <v>0</v>
      </c>
      <c r="BG44" s="1">
        <f t="shared" si="132"/>
        <v>0</v>
      </c>
      <c r="BH44" s="1">
        <f t="shared" si="132"/>
        <v>0</v>
      </c>
      <c r="BI44" s="1">
        <f t="shared" si="132"/>
        <v>0</v>
      </c>
      <c r="BJ44" s="1">
        <f t="shared" si="132"/>
        <v>0</v>
      </c>
      <c r="BK44" s="1">
        <f t="shared" si="132"/>
        <v>0</v>
      </c>
      <c r="BL44" s="1">
        <f t="shared" si="132"/>
        <v>0</v>
      </c>
      <c r="BN44" s="3" t="s">
        <v>10</v>
      </c>
      <c r="BO44" s="1">
        <f t="shared" si="96"/>
        <v>0</v>
      </c>
      <c r="BP44" s="1">
        <f t="shared" si="97"/>
        <v>0</v>
      </c>
      <c r="BQ44" s="1">
        <f t="shared" si="98"/>
        <v>0</v>
      </c>
      <c r="BR44" s="1">
        <f t="shared" si="99"/>
        <v>0</v>
      </c>
      <c r="BS44" s="1">
        <f t="shared" si="100"/>
        <v>0</v>
      </c>
      <c r="BT44" s="1">
        <f t="shared" si="101"/>
        <v>0</v>
      </c>
      <c r="BU44" s="1">
        <f t="shared" si="102"/>
        <v>0</v>
      </c>
      <c r="BV44" s="1">
        <f t="shared" si="103"/>
        <v>0</v>
      </c>
      <c r="BW44" s="1">
        <f t="shared" si="104"/>
        <v>0</v>
      </c>
      <c r="BX44" s="1">
        <f t="shared" si="105"/>
        <v>0</v>
      </c>
      <c r="BY44" s="1">
        <f t="shared" si="106"/>
        <v>0</v>
      </c>
      <c r="BZ44" s="1">
        <f t="shared" si="107"/>
        <v>0</v>
      </c>
      <c r="CA44" s="1">
        <f t="shared" si="108"/>
        <v>0</v>
      </c>
      <c r="CB44" s="1">
        <f t="shared" si="109"/>
        <v>0</v>
      </c>
      <c r="CC44" s="1">
        <f t="shared" si="110"/>
        <v>0</v>
      </c>
      <c r="CD44" s="1">
        <f t="shared" si="111"/>
        <v>0</v>
      </c>
      <c r="CE44" s="1">
        <f t="shared" si="112"/>
        <v>0</v>
      </c>
      <c r="CF44" s="1">
        <f t="shared" si="113"/>
        <v>0</v>
      </c>
      <c r="CG44" s="1">
        <f t="shared" si="114"/>
        <v>0</v>
      </c>
      <c r="CH44" s="1">
        <f t="shared" si="115"/>
        <v>0</v>
      </c>
      <c r="CI44" s="1">
        <f t="shared" si="116"/>
        <v>0</v>
      </c>
      <c r="CJ44" s="1">
        <f t="shared" si="117"/>
        <v>0</v>
      </c>
      <c r="CK44" s="1">
        <f t="shared" si="118"/>
        <v>0</v>
      </c>
      <c r="CL44" s="1">
        <f t="shared" si="119"/>
        <v>0</v>
      </c>
      <c r="CM44" s="1">
        <f t="shared" si="120"/>
        <v>0</v>
      </c>
      <c r="CN44" s="1">
        <f t="shared" si="121"/>
        <v>0</v>
      </c>
      <c r="CO44" s="1">
        <f t="shared" si="122"/>
        <v>0</v>
      </c>
      <c r="CP44" s="1">
        <f t="shared" si="123"/>
        <v>0</v>
      </c>
      <c r="CQ44" s="1">
        <f t="shared" si="124"/>
        <v>0</v>
      </c>
      <c r="CR44" s="1">
        <f t="shared" si="125"/>
        <v>0</v>
      </c>
    </row>
    <row r="45" spans="1:96" x14ac:dyDescent="0.25">
      <c r="A45" s="3" t="s">
        <v>11</v>
      </c>
      <c r="B45" s="1">
        <v>14</v>
      </c>
      <c r="C45" s="1">
        <v>2</v>
      </c>
      <c r="D45" s="1">
        <v>2</v>
      </c>
      <c r="E45" s="1">
        <v>0</v>
      </c>
      <c r="F45" s="1">
        <v>5</v>
      </c>
      <c r="G45" s="1">
        <v>1</v>
      </c>
      <c r="H45" s="1">
        <v>8</v>
      </c>
      <c r="I45" s="1">
        <v>0</v>
      </c>
      <c r="J45" s="1">
        <v>0</v>
      </c>
      <c r="K45" s="7"/>
      <c r="L45" s="1">
        <v>12</v>
      </c>
      <c r="M45" s="1">
        <v>0</v>
      </c>
      <c r="N45" s="1">
        <v>0</v>
      </c>
      <c r="O45" s="1">
        <v>3</v>
      </c>
      <c r="P45" s="1">
        <v>13</v>
      </c>
      <c r="Q45" s="1">
        <v>1</v>
      </c>
      <c r="R45" s="1">
        <v>10</v>
      </c>
      <c r="S45" s="1">
        <v>0</v>
      </c>
      <c r="T45" s="1">
        <v>4</v>
      </c>
      <c r="U45" s="1">
        <v>9</v>
      </c>
      <c r="V45" s="1">
        <v>0</v>
      </c>
      <c r="W45" s="1">
        <v>0</v>
      </c>
      <c r="X45" s="1">
        <v>0</v>
      </c>
      <c r="Y45" s="1">
        <v>1</v>
      </c>
      <c r="Z45" s="1">
        <v>1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H45" s="3" t="s">
        <v>11</v>
      </c>
      <c r="AI45" s="1">
        <f t="shared" si="94"/>
        <v>1</v>
      </c>
      <c r="AJ45" s="1">
        <f t="shared" ref="AJ45:BL45" si="133">IF(C45&gt;$AF$36,1,0)</f>
        <v>0</v>
      </c>
      <c r="AK45" s="1">
        <f t="shared" si="133"/>
        <v>0</v>
      </c>
      <c r="AL45" s="1">
        <f t="shared" si="133"/>
        <v>0</v>
      </c>
      <c r="AM45" s="1">
        <f t="shared" si="133"/>
        <v>1</v>
      </c>
      <c r="AN45" s="1">
        <f t="shared" si="133"/>
        <v>0</v>
      </c>
      <c r="AO45" s="1">
        <f t="shared" si="133"/>
        <v>1</v>
      </c>
      <c r="AP45" s="1">
        <f t="shared" si="133"/>
        <v>0</v>
      </c>
      <c r="AQ45" s="1">
        <f t="shared" si="133"/>
        <v>0</v>
      </c>
      <c r="AR45" s="1">
        <f t="shared" si="133"/>
        <v>0</v>
      </c>
      <c r="AS45" s="1">
        <f t="shared" si="133"/>
        <v>1</v>
      </c>
      <c r="AT45" s="1">
        <f t="shared" si="133"/>
        <v>0</v>
      </c>
      <c r="AU45" s="1">
        <f t="shared" si="133"/>
        <v>0</v>
      </c>
      <c r="AV45" s="1">
        <f t="shared" si="133"/>
        <v>0</v>
      </c>
      <c r="AW45" s="1">
        <f t="shared" si="133"/>
        <v>1</v>
      </c>
      <c r="AX45" s="1">
        <f t="shared" si="133"/>
        <v>0</v>
      </c>
      <c r="AY45" s="1">
        <f t="shared" si="133"/>
        <v>1</v>
      </c>
      <c r="AZ45" s="1">
        <f t="shared" si="133"/>
        <v>0</v>
      </c>
      <c r="BA45" s="1">
        <f t="shared" si="133"/>
        <v>1</v>
      </c>
      <c r="BB45" s="1">
        <f t="shared" si="133"/>
        <v>1</v>
      </c>
      <c r="BC45" s="1">
        <f t="shared" si="133"/>
        <v>0</v>
      </c>
      <c r="BD45" s="1">
        <f t="shared" si="133"/>
        <v>0</v>
      </c>
      <c r="BE45" s="1">
        <f t="shared" si="133"/>
        <v>0</v>
      </c>
      <c r="BF45" s="1">
        <f t="shared" si="133"/>
        <v>0</v>
      </c>
      <c r="BG45" s="1">
        <f t="shared" si="133"/>
        <v>0</v>
      </c>
      <c r="BH45" s="1">
        <f t="shared" si="133"/>
        <v>0</v>
      </c>
      <c r="BI45" s="1">
        <f t="shared" si="133"/>
        <v>0</v>
      </c>
      <c r="BJ45" s="1">
        <f t="shared" si="133"/>
        <v>0</v>
      </c>
      <c r="BK45" s="1">
        <f t="shared" si="133"/>
        <v>0</v>
      </c>
      <c r="BL45" s="1">
        <f t="shared" si="133"/>
        <v>0</v>
      </c>
      <c r="BN45" s="3" t="s">
        <v>11</v>
      </c>
      <c r="BO45" s="1">
        <f t="shared" si="96"/>
        <v>0.3</v>
      </c>
      <c r="BP45" s="1">
        <f t="shared" si="97"/>
        <v>0</v>
      </c>
      <c r="BQ45" s="1">
        <f t="shared" si="98"/>
        <v>0</v>
      </c>
      <c r="BR45" s="1">
        <f t="shared" si="99"/>
        <v>0</v>
      </c>
      <c r="BS45" s="1">
        <f t="shared" si="100"/>
        <v>0.3</v>
      </c>
      <c r="BT45" s="1">
        <f t="shared" si="101"/>
        <v>0</v>
      </c>
      <c r="BU45" s="1">
        <f t="shared" si="102"/>
        <v>0.3</v>
      </c>
      <c r="BV45" s="1">
        <f t="shared" si="103"/>
        <v>0</v>
      </c>
      <c r="BW45" s="1">
        <f t="shared" si="104"/>
        <v>0</v>
      </c>
      <c r="BX45" s="1">
        <f t="shared" si="105"/>
        <v>0</v>
      </c>
      <c r="BY45" s="1">
        <f t="shared" si="106"/>
        <v>0.3</v>
      </c>
      <c r="BZ45" s="1">
        <f t="shared" si="107"/>
        <v>0</v>
      </c>
      <c r="CA45" s="1">
        <f t="shared" si="108"/>
        <v>0</v>
      </c>
      <c r="CB45" s="1">
        <f t="shared" si="109"/>
        <v>0</v>
      </c>
      <c r="CC45" s="1">
        <f t="shared" si="110"/>
        <v>0.3</v>
      </c>
      <c r="CD45" s="1">
        <f t="shared" si="111"/>
        <v>0</v>
      </c>
      <c r="CE45" s="1">
        <f t="shared" si="112"/>
        <v>0.3</v>
      </c>
      <c r="CF45" s="1">
        <f t="shared" si="113"/>
        <v>0</v>
      </c>
      <c r="CG45" s="1">
        <f t="shared" si="114"/>
        <v>0.3</v>
      </c>
      <c r="CH45" s="1">
        <f t="shared" si="115"/>
        <v>0.3</v>
      </c>
      <c r="CI45" s="1">
        <f t="shared" si="116"/>
        <v>0</v>
      </c>
      <c r="CJ45" s="1">
        <f t="shared" si="117"/>
        <v>0</v>
      </c>
      <c r="CK45" s="1">
        <f t="shared" si="118"/>
        <v>0</v>
      </c>
      <c r="CL45" s="1">
        <f t="shared" si="119"/>
        <v>0</v>
      </c>
      <c r="CM45" s="1">
        <f t="shared" si="120"/>
        <v>0</v>
      </c>
      <c r="CN45" s="1">
        <f t="shared" si="121"/>
        <v>0</v>
      </c>
      <c r="CO45" s="1">
        <f t="shared" si="122"/>
        <v>0</v>
      </c>
      <c r="CP45" s="1">
        <f t="shared" si="123"/>
        <v>0</v>
      </c>
      <c r="CQ45" s="1">
        <f t="shared" si="124"/>
        <v>0</v>
      </c>
      <c r="CR45" s="1">
        <f t="shared" si="125"/>
        <v>0</v>
      </c>
    </row>
    <row r="46" spans="1:96" x14ac:dyDescent="0.25">
      <c r="A46" s="3" t="s">
        <v>12</v>
      </c>
      <c r="B46" s="1">
        <v>16</v>
      </c>
      <c r="C46" s="1">
        <v>2</v>
      </c>
      <c r="D46" s="1">
        <v>6</v>
      </c>
      <c r="E46" s="1">
        <v>6</v>
      </c>
      <c r="F46" s="1">
        <v>7</v>
      </c>
      <c r="G46" s="1">
        <v>4</v>
      </c>
      <c r="H46" s="1">
        <v>8</v>
      </c>
      <c r="I46" s="1">
        <v>0</v>
      </c>
      <c r="J46" s="1">
        <v>0</v>
      </c>
      <c r="K46" s="1">
        <v>12</v>
      </c>
      <c r="L46" s="7"/>
      <c r="M46" s="1">
        <v>4</v>
      </c>
      <c r="N46" s="1">
        <v>0</v>
      </c>
      <c r="O46" s="1">
        <v>2</v>
      </c>
      <c r="P46" s="1">
        <v>19</v>
      </c>
      <c r="Q46" s="1">
        <v>6</v>
      </c>
      <c r="R46" s="1">
        <v>16</v>
      </c>
      <c r="S46" s="1">
        <v>0</v>
      </c>
      <c r="T46" s="1">
        <v>7</v>
      </c>
      <c r="U46" s="1">
        <v>10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2</v>
      </c>
      <c r="AD46" s="1">
        <v>3</v>
      </c>
      <c r="AE46" s="1">
        <v>4</v>
      </c>
      <c r="AH46" s="3" t="s">
        <v>12</v>
      </c>
      <c r="AI46" s="1">
        <f t="shared" si="94"/>
        <v>1</v>
      </c>
      <c r="AJ46" s="1">
        <f t="shared" ref="AJ46:BL46" si="134">IF(C46&gt;$AF$36,1,0)</f>
        <v>0</v>
      </c>
      <c r="AK46" s="1">
        <f t="shared" si="134"/>
        <v>1</v>
      </c>
      <c r="AL46" s="1">
        <f t="shared" si="134"/>
        <v>1</v>
      </c>
      <c r="AM46" s="1">
        <f t="shared" si="134"/>
        <v>1</v>
      </c>
      <c r="AN46" s="1">
        <f t="shared" si="134"/>
        <v>1</v>
      </c>
      <c r="AO46" s="1">
        <f t="shared" si="134"/>
        <v>1</v>
      </c>
      <c r="AP46" s="1">
        <f t="shared" si="134"/>
        <v>0</v>
      </c>
      <c r="AQ46" s="1">
        <f t="shared" si="134"/>
        <v>0</v>
      </c>
      <c r="AR46" s="1">
        <f t="shared" si="134"/>
        <v>1</v>
      </c>
      <c r="AS46" s="1">
        <f t="shared" si="134"/>
        <v>0</v>
      </c>
      <c r="AT46" s="1">
        <f t="shared" si="134"/>
        <v>1</v>
      </c>
      <c r="AU46" s="1">
        <f t="shared" si="134"/>
        <v>0</v>
      </c>
      <c r="AV46" s="1">
        <f t="shared" si="134"/>
        <v>0</v>
      </c>
      <c r="AW46" s="1">
        <f t="shared" si="134"/>
        <v>1</v>
      </c>
      <c r="AX46" s="1">
        <f t="shared" si="134"/>
        <v>1</v>
      </c>
      <c r="AY46" s="1">
        <f t="shared" si="134"/>
        <v>1</v>
      </c>
      <c r="AZ46" s="1">
        <f t="shared" si="134"/>
        <v>0</v>
      </c>
      <c r="BA46" s="1">
        <f t="shared" si="134"/>
        <v>1</v>
      </c>
      <c r="BB46" s="1">
        <f t="shared" si="134"/>
        <v>1</v>
      </c>
      <c r="BC46" s="1">
        <f t="shared" si="134"/>
        <v>0</v>
      </c>
      <c r="BD46" s="1">
        <f t="shared" si="134"/>
        <v>0</v>
      </c>
      <c r="BE46" s="1">
        <f t="shared" si="134"/>
        <v>0</v>
      </c>
      <c r="BF46" s="1">
        <f t="shared" si="134"/>
        <v>0</v>
      </c>
      <c r="BG46" s="1">
        <f t="shared" si="134"/>
        <v>0</v>
      </c>
      <c r="BH46" s="1">
        <f t="shared" si="134"/>
        <v>0</v>
      </c>
      <c r="BI46" s="1">
        <f t="shared" si="134"/>
        <v>0</v>
      </c>
      <c r="BJ46" s="1">
        <f t="shared" si="134"/>
        <v>0</v>
      </c>
      <c r="BK46" s="1">
        <f t="shared" si="134"/>
        <v>0</v>
      </c>
      <c r="BL46" s="1">
        <f t="shared" si="134"/>
        <v>1</v>
      </c>
      <c r="BN46" s="3" t="s">
        <v>12</v>
      </c>
      <c r="BO46" s="1">
        <f t="shared" si="96"/>
        <v>0.3</v>
      </c>
      <c r="BP46" s="1">
        <f t="shared" si="97"/>
        <v>0</v>
      </c>
      <c r="BQ46" s="1">
        <f t="shared" si="98"/>
        <v>0.3</v>
      </c>
      <c r="BR46" s="1">
        <f t="shared" si="99"/>
        <v>0.3</v>
      </c>
      <c r="BS46" s="1">
        <f t="shared" si="100"/>
        <v>0.3</v>
      </c>
      <c r="BT46" s="1">
        <f t="shared" si="101"/>
        <v>0.3</v>
      </c>
      <c r="BU46" s="1">
        <f t="shared" si="102"/>
        <v>0.3</v>
      </c>
      <c r="BV46" s="1">
        <f t="shared" si="103"/>
        <v>0</v>
      </c>
      <c r="BW46" s="1">
        <f t="shared" si="104"/>
        <v>0</v>
      </c>
      <c r="BX46" s="1">
        <f t="shared" si="105"/>
        <v>0.3</v>
      </c>
      <c r="BY46" s="1">
        <f t="shared" si="106"/>
        <v>0</v>
      </c>
      <c r="BZ46" s="1">
        <f t="shared" si="107"/>
        <v>0.3</v>
      </c>
      <c r="CA46" s="1">
        <f t="shared" si="108"/>
        <v>0</v>
      </c>
      <c r="CB46" s="1">
        <f t="shared" si="109"/>
        <v>0</v>
      </c>
      <c r="CC46" s="1">
        <f t="shared" si="110"/>
        <v>0.3</v>
      </c>
      <c r="CD46" s="1">
        <f t="shared" si="111"/>
        <v>0.3</v>
      </c>
      <c r="CE46" s="1">
        <f t="shared" si="112"/>
        <v>0.3</v>
      </c>
      <c r="CF46" s="1">
        <f t="shared" si="113"/>
        <v>0</v>
      </c>
      <c r="CG46" s="1">
        <f t="shared" si="114"/>
        <v>0.3</v>
      </c>
      <c r="CH46" s="1">
        <f t="shared" si="115"/>
        <v>0.3</v>
      </c>
      <c r="CI46" s="1">
        <f t="shared" si="116"/>
        <v>0</v>
      </c>
      <c r="CJ46" s="1">
        <f t="shared" si="117"/>
        <v>0</v>
      </c>
      <c r="CK46" s="1">
        <f t="shared" si="118"/>
        <v>0</v>
      </c>
      <c r="CL46" s="1">
        <f t="shared" si="119"/>
        <v>0</v>
      </c>
      <c r="CM46" s="1">
        <f t="shared" si="120"/>
        <v>0</v>
      </c>
      <c r="CN46" s="1">
        <f t="shared" si="121"/>
        <v>0</v>
      </c>
      <c r="CO46" s="1">
        <f t="shared" si="122"/>
        <v>0</v>
      </c>
      <c r="CP46" s="1">
        <f t="shared" si="123"/>
        <v>0</v>
      </c>
      <c r="CQ46" s="1">
        <f t="shared" si="124"/>
        <v>0</v>
      </c>
      <c r="CR46" s="1">
        <f t="shared" si="125"/>
        <v>0.3</v>
      </c>
    </row>
    <row r="47" spans="1:96" x14ac:dyDescent="0.25">
      <c r="A47" s="3" t="s">
        <v>13</v>
      </c>
      <c r="B47" s="1">
        <v>16</v>
      </c>
      <c r="C47" s="1">
        <v>13</v>
      </c>
      <c r="D47" s="1">
        <v>19</v>
      </c>
      <c r="E47" s="1">
        <v>4</v>
      </c>
      <c r="F47" s="1">
        <v>3</v>
      </c>
      <c r="G47" s="1">
        <v>3</v>
      </c>
      <c r="H47" s="1">
        <v>3</v>
      </c>
      <c r="I47" s="1">
        <v>0</v>
      </c>
      <c r="J47" s="1">
        <v>0</v>
      </c>
      <c r="K47" s="1">
        <v>0</v>
      </c>
      <c r="L47" s="1">
        <v>4</v>
      </c>
      <c r="M47" s="7"/>
      <c r="N47" s="1">
        <v>0</v>
      </c>
      <c r="O47" s="1">
        <v>12</v>
      </c>
      <c r="P47" s="1">
        <v>3</v>
      </c>
      <c r="Q47" s="1">
        <v>0</v>
      </c>
      <c r="R47" s="1">
        <v>2</v>
      </c>
      <c r="S47" s="1">
        <v>0</v>
      </c>
      <c r="T47" s="1">
        <v>2</v>
      </c>
      <c r="U47" s="1">
        <v>3</v>
      </c>
      <c r="V47" s="1">
        <v>0</v>
      </c>
      <c r="W47" s="1">
        <v>0</v>
      </c>
      <c r="X47" s="1">
        <v>2</v>
      </c>
      <c r="Y47" s="1">
        <v>0</v>
      </c>
      <c r="Z47" s="1">
        <v>0</v>
      </c>
      <c r="AA47" s="1">
        <v>0</v>
      </c>
      <c r="AB47" s="1">
        <v>2</v>
      </c>
      <c r="AC47" s="1">
        <v>1</v>
      </c>
      <c r="AD47" s="1">
        <v>6</v>
      </c>
      <c r="AE47" s="1">
        <v>4</v>
      </c>
      <c r="AH47" s="3" t="s">
        <v>13</v>
      </c>
      <c r="AI47" s="1">
        <f t="shared" si="94"/>
        <v>1</v>
      </c>
      <c r="AJ47" s="1">
        <f t="shared" ref="AJ47:BL47" si="135">IF(C47&gt;$AF$36,1,0)</f>
        <v>1</v>
      </c>
      <c r="AK47" s="1">
        <f t="shared" si="135"/>
        <v>1</v>
      </c>
      <c r="AL47" s="1">
        <f t="shared" si="135"/>
        <v>1</v>
      </c>
      <c r="AM47" s="1">
        <f t="shared" si="135"/>
        <v>0</v>
      </c>
      <c r="AN47" s="1">
        <f t="shared" si="135"/>
        <v>0</v>
      </c>
      <c r="AO47" s="1">
        <f t="shared" si="135"/>
        <v>0</v>
      </c>
      <c r="AP47" s="1">
        <f t="shared" si="135"/>
        <v>0</v>
      </c>
      <c r="AQ47" s="1">
        <f t="shared" si="135"/>
        <v>0</v>
      </c>
      <c r="AR47" s="1">
        <f t="shared" si="135"/>
        <v>0</v>
      </c>
      <c r="AS47" s="1">
        <f t="shared" si="135"/>
        <v>1</v>
      </c>
      <c r="AT47" s="1">
        <f t="shared" si="135"/>
        <v>0</v>
      </c>
      <c r="AU47" s="1">
        <f t="shared" si="135"/>
        <v>0</v>
      </c>
      <c r="AV47" s="1">
        <f t="shared" si="135"/>
        <v>1</v>
      </c>
      <c r="AW47" s="1">
        <f t="shared" si="135"/>
        <v>0</v>
      </c>
      <c r="AX47" s="1">
        <f t="shared" si="135"/>
        <v>0</v>
      </c>
      <c r="AY47" s="1">
        <f t="shared" si="135"/>
        <v>0</v>
      </c>
      <c r="AZ47" s="1">
        <f t="shared" si="135"/>
        <v>0</v>
      </c>
      <c r="BA47" s="1">
        <f t="shared" si="135"/>
        <v>0</v>
      </c>
      <c r="BB47" s="1">
        <f t="shared" si="135"/>
        <v>0</v>
      </c>
      <c r="BC47" s="1">
        <f t="shared" si="135"/>
        <v>0</v>
      </c>
      <c r="BD47" s="1">
        <f t="shared" si="135"/>
        <v>0</v>
      </c>
      <c r="BE47" s="1">
        <f t="shared" si="135"/>
        <v>0</v>
      </c>
      <c r="BF47" s="1">
        <f t="shared" si="135"/>
        <v>0</v>
      </c>
      <c r="BG47" s="1">
        <f t="shared" si="135"/>
        <v>0</v>
      </c>
      <c r="BH47" s="1">
        <f t="shared" si="135"/>
        <v>0</v>
      </c>
      <c r="BI47" s="1">
        <f t="shared" si="135"/>
        <v>0</v>
      </c>
      <c r="BJ47" s="1">
        <f t="shared" si="135"/>
        <v>0</v>
      </c>
      <c r="BK47" s="1">
        <f t="shared" si="135"/>
        <v>1</v>
      </c>
      <c r="BL47" s="1">
        <f t="shared" si="135"/>
        <v>1</v>
      </c>
      <c r="BN47" s="3" t="s">
        <v>13</v>
      </c>
      <c r="BO47" s="1">
        <f t="shared" si="96"/>
        <v>0.3</v>
      </c>
      <c r="BP47" s="1">
        <f t="shared" si="97"/>
        <v>0.3</v>
      </c>
      <c r="BQ47" s="1">
        <f t="shared" si="98"/>
        <v>0.3</v>
      </c>
      <c r="BR47" s="1">
        <f t="shared" si="99"/>
        <v>0.3</v>
      </c>
      <c r="BS47" s="1">
        <f t="shared" si="100"/>
        <v>0</v>
      </c>
      <c r="BT47" s="1">
        <f t="shared" si="101"/>
        <v>0</v>
      </c>
      <c r="BU47" s="1">
        <f t="shared" si="102"/>
        <v>0</v>
      </c>
      <c r="BV47" s="1">
        <f t="shared" si="103"/>
        <v>0</v>
      </c>
      <c r="BW47" s="1">
        <f t="shared" si="104"/>
        <v>0</v>
      </c>
      <c r="BX47" s="1">
        <f t="shared" si="105"/>
        <v>0</v>
      </c>
      <c r="BY47" s="1">
        <f t="shared" si="106"/>
        <v>0.3</v>
      </c>
      <c r="BZ47" s="1">
        <f t="shared" si="107"/>
        <v>0</v>
      </c>
      <c r="CA47" s="1">
        <f t="shared" si="108"/>
        <v>0</v>
      </c>
      <c r="CB47" s="1">
        <f t="shared" si="109"/>
        <v>0.3</v>
      </c>
      <c r="CC47" s="1">
        <f t="shared" si="110"/>
        <v>0</v>
      </c>
      <c r="CD47" s="1">
        <f t="shared" si="111"/>
        <v>0</v>
      </c>
      <c r="CE47" s="1">
        <f t="shared" si="112"/>
        <v>0</v>
      </c>
      <c r="CF47" s="1">
        <f t="shared" si="113"/>
        <v>0</v>
      </c>
      <c r="CG47" s="1">
        <f t="shared" si="114"/>
        <v>0</v>
      </c>
      <c r="CH47" s="1">
        <f t="shared" si="115"/>
        <v>0</v>
      </c>
      <c r="CI47" s="1">
        <f t="shared" si="116"/>
        <v>0</v>
      </c>
      <c r="CJ47" s="1">
        <f t="shared" si="117"/>
        <v>0</v>
      </c>
      <c r="CK47" s="1">
        <f t="shared" si="118"/>
        <v>0</v>
      </c>
      <c r="CL47" s="1">
        <f t="shared" si="119"/>
        <v>0</v>
      </c>
      <c r="CM47" s="1">
        <f t="shared" si="120"/>
        <v>0</v>
      </c>
      <c r="CN47" s="1">
        <f t="shared" si="121"/>
        <v>0</v>
      </c>
      <c r="CO47" s="1">
        <f t="shared" si="122"/>
        <v>0</v>
      </c>
      <c r="CP47" s="1">
        <f t="shared" si="123"/>
        <v>0</v>
      </c>
      <c r="CQ47" s="1">
        <f t="shared" si="124"/>
        <v>0.3</v>
      </c>
      <c r="CR47" s="1">
        <f t="shared" si="125"/>
        <v>0.3</v>
      </c>
    </row>
    <row r="48" spans="1:96" x14ac:dyDescent="0.25">
      <c r="A48" s="3" t="s">
        <v>14</v>
      </c>
      <c r="B48" s="1">
        <v>7</v>
      </c>
      <c r="C48" s="1">
        <v>3</v>
      </c>
      <c r="D48" s="1">
        <v>6</v>
      </c>
      <c r="E48" s="1">
        <v>13</v>
      </c>
      <c r="F48" s="1">
        <v>5</v>
      </c>
      <c r="G48" s="1">
        <v>4</v>
      </c>
      <c r="H48" s="1">
        <v>6</v>
      </c>
      <c r="I48" s="1">
        <v>2</v>
      </c>
      <c r="J48" s="1">
        <v>0</v>
      </c>
      <c r="K48" s="1">
        <v>0</v>
      </c>
      <c r="L48" s="1">
        <v>0</v>
      </c>
      <c r="M48" s="1">
        <v>0</v>
      </c>
      <c r="N48" s="7"/>
      <c r="O48" s="1">
        <v>3</v>
      </c>
      <c r="P48" s="1">
        <v>6</v>
      </c>
      <c r="Q48" s="1">
        <v>0</v>
      </c>
      <c r="R48" s="1">
        <v>0</v>
      </c>
      <c r="S48" s="1">
        <v>3</v>
      </c>
      <c r="T48" s="1">
        <v>6</v>
      </c>
      <c r="U48" s="1">
        <v>7</v>
      </c>
      <c r="V48" s="1">
        <v>2</v>
      </c>
      <c r="W48" s="1">
        <v>1</v>
      </c>
      <c r="X48" s="1">
        <v>0</v>
      </c>
      <c r="Y48" s="1">
        <v>1</v>
      </c>
      <c r="Z48" s="1">
        <v>1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H48" s="3" t="s">
        <v>14</v>
      </c>
      <c r="AI48" s="1">
        <f t="shared" si="94"/>
        <v>1</v>
      </c>
      <c r="AJ48" s="1">
        <f t="shared" ref="AJ48:BL48" si="136">IF(C48&gt;$AF$36,1,0)</f>
        <v>0</v>
      </c>
      <c r="AK48" s="1">
        <f t="shared" si="136"/>
        <v>1</v>
      </c>
      <c r="AL48" s="1">
        <f t="shared" si="136"/>
        <v>1</v>
      </c>
      <c r="AM48" s="1">
        <f t="shared" si="136"/>
        <v>1</v>
      </c>
      <c r="AN48" s="1">
        <f t="shared" si="136"/>
        <v>1</v>
      </c>
      <c r="AO48" s="1">
        <f t="shared" si="136"/>
        <v>1</v>
      </c>
      <c r="AP48" s="1">
        <f t="shared" si="136"/>
        <v>0</v>
      </c>
      <c r="AQ48" s="1">
        <f t="shared" si="136"/>
        <v>0</v>
      </c>
      <c r="AR48" s="1">
        <f t="shared" si="136"/>
        <v>0</v>
      </c>
      <c r="AS48" s="1">
        <f t="shared" si="136"/>
        <v>0</v>
      </c>
      <c r="AT48" s="1">
        <f t="shared" si="136"/>
        <v>0</v>
      </c>
      <c r="AU48" s="1">
        <f t="shared" si="136"/>
        <v>0</v>
      </c>
      <c r="AV48" s="1">
        <f t="shared" si="136"/>
        <v>0</v>
      </c>
      <c r="AW48" s="1">
        <f t="shared" si="136"/>
        <v>1</v>
      </c>
      <c r="AX48" s="1">
        <f t="shared" si="136"/>
        <v>0</v>
      </c>
      <c r="AY48" s="1">
        <f t="shared" si="136"/>
        <v>0</v>
      </c>
      <c r="AZ48" s="1">
        <f t="shared" si="136"/>
        <v>0</v>
      </c>
      <c r="BA48" s="1">
        <f t="shared" si="136"/>
        <v>1</v>
      </c>
      <c r="BB48" s="1">
        <f t="shared" si="136"/>
        <v>1</v>
      </c>
      <c r="BC48" s="1">
        <f t="shared" si="136"/>
        <v>0</v>
      </c>
      <c r="BD48" s="1">
        <f t="shared" si="136"/>
        <v>0</v>
      </c>
      <c r="BE48" s="1">
        <f t="shared" si="136"/>
        <v>0</v>
      </c>
      <c r="BF48" s="1">
        <f t="shared" si="136"/>
        <v>0</v>
      </c>
      <c r="BG48" s="1">
        <f t="shared" si="136"/>
        <v>0</v>
      </c>
      <c r="BH48" s="1">
        <f t="shared" si="136"/>
        <v>0</v>
      </c>
      <c r="BI48" s="1">
        <f t="shared" si="136"/>
        <v>0</v>
      </c>
      <c r="BJ48" s="1">
        <f t="shared" si="136"/>
        <v>0</v>
      </c>
      <c r="BK48" s="1">
        <f t="shared" si="136"/>
        <v>0</v>
      </c>
      <c r="BL48" s="1">
        <f t="shared" si="136"/>
        <v>0</v>
      </c>
      <c r="BN48" s="3" t="s">
        <v>14</v>
      </c>
      <c r="BO48" s="1">
        <f t="shared" si="96"/>
        <v>0.3</v>
      </c>
      <c r="BP48" s="1">
        <f t="shared" si="97"/>
        <v>0</v>
      </c>
      <c r="BQ48" s="1">
        <f t="shared" si="98"/>
        <v>0.3</v>
      </c>
      <c r="BR48" s="1">
        <f t="shared" si="99"/>
        <v>0.3</v>
      </c>
      <c r="BS48" s="1">
        <f t="shared" si="100"/>
        <v>0.3</v>
      </c>
      <c r="BT48" s="1">
        <f t="shared" si="101"/>
        <v>0.3</v>
      </c>
      <c r="BU48" s="1">
        <f t="shared" si="102"/>
        <v>0.3</v>
      </c>
      <c r="BV48" s="1">
        <f t="shared" si="103"/>
        <v>0</v>
      </c>
      <c r="BW48" s="1">
        <f t="shared" si="104"/>
        <v>0</v>
      </c>
      <c r="BX48" s="1">
        <f t="shared" si="105"/>
        <v>0</v>
      </c>
      <c r="BY48" s="1">
        <f t="shared" si="106"/>
        <v>0</v>
      </c>
      <c r="BZ48" s="1">
        <f t="shared" si="107"/>
        <v>0</v>
      </c>
      <c r="CA48" s="1">
        <f t="shared" si="108"/>
        <v>0</v>
      </c>
      <c r="CB48" s="1">
        <f t="shared" si="109"/>
        <v>0</v>
      </c>
      <c r="CC48" s="1">
        <f t="shared" si="110"/>
        <v>0.3</v>
      </c>
      <c r="CD48" s="1">
        <f t="shared" si="111"/>
        <v>0</v>
      </c>
      <c r="CE48" s="1">
        <f t="shared" si="112"/>
        <v>0</v>
      </c>
      <c r="CF48" s="1">
        <f t="shared" si="113"/>
        <v>0</v>
      </c>
      <c r="CG48" s="1">
        <f t="shared" si="114"/>
        <v>0.3</v>
      </c>
      <c r="CH48" s="1">
        <f t="shared" si="115"/>
        <v>0.3</v>
      </c>
      <c r="CI48" s="1">
        <f t="shared" si="116"/>
        <v>0</v>
      </c>
      <c r="CJ48" s="1">
        <f t="shared" si="117"/>
        <v>0</v>
      </c>
      <c r="CK48" s="1">
        <f t="shared" si="118"/>
        <v>0</v>
      </c>
      <c r="CL48" s="1">
        <f t="shared" si="119"/>
        <v>0</v>
      </c>
      <c r="CM48" s="1">
        <f t="shared" si="120"/>
        <v>0</v>
      </c>
      <c r="CN48" s="1">
        <f t="shared" si="121"/>
        <v>0</v>
      </c>
      <c r="CO48" s="1">
        <f t="shared" si="122"/>
        <v>0</v>
      </c>
      <c r="CP48" s="1">
        <f t="shared" si="123"/>
        <v>0</v>
      </c>
      <c r="CQ48" s="1">
        <f t="shared" si="124"/>
        <v>0</v>
      </c>
      <c r="CR48" s="1">
        <f t="shared" si="125"/>
        <v>0</v>
      </c>
    </row>
    <row r="49" spans="1:96" x14ac:dyDescent="0.25">
      <c r="A49" s="3" t="s">
        <v>15</v>
      </c>
      <c r="B49" s="1">
        <v>45</v>
      </c>
      <c r="C49" s="1">
        <v>45</v>
      </c>
      <c r="D49" s="1">
        <v>20</v>
      </c>
      <c r="E49" s="1">
        <v>2</v>
      </c>
      <c r="F49" s="1">
        <v>2</v>
      </c>
      <c r="G49" s="1">
        <v>2</v>
      </c>
      <c r="H49" s="1">
        <v>5</v>
      </c>
      <c r="I49" s="1">
        <v>0</v>
      </c>
      <c r="J49" s="1">
        <v>0</v>
      </c>
      <c r="K49" s="1">
        <v>3</v>
      </c>
      <c r="L49" s="1">
        <v>2</v>
      </c>
      <c r="M49" s="1">
        <v>12</v>
      </c>
      <c r="N49" s="1">
        <v>3</v>
      </c>
      <c r="O49" s="7"/>
      <c r="P49" s="1">
        <v>2</v>
      </c>
      <c r="Q49" s="1">
        <v>0</v>
      </c>
      <c r="R49" s="1">
        <v>2</v>
      </c>
      <c r="S49" s="1">
        <v>0</v>
      </c>
      <c r="T49" s="1">
        <v>2</v>
      </c>
      <c r="U49" s="1">
        <v>2</v>
      </c>
      <c r="V49" s="1">
        <v>0</v>
      </c>
      <c r="W49" s="1">
        <v>0</v>
      </c>
      <c r="X49" s="1">
        <v>0</v>
      </c>
      <c r="Y49" s="1">
        <v>24</v>
      </c>
      <c r="Z49" s="1">
        <v>25</v>
      </c>
      <c r="AA49" s="1">
        <v>0</v>
      </c>
      <c r="AB49" s="1">
        <v>12</v>
      </c>
      <c r="AC49" s="1">
        <v>5</v>
      </c>
      <c r="AD49" s="1">
        <v>12</v>
      </c>
      <c r="AE49" s="1">
        <v>28</v>
      </c>
      <c r="AH49" s="3" t="s">
        <v>15</v>
      </c>
      <c r="AI49" s="1">
        <f t="shared" si="94"/>
        <v>1</v>
      </c>
      <c r="AJ49" s="1">
        <f t="shared" ref="AJ49:BL49" si="137">IF(C49&gt;$AF$36,1,0)</f>
        <v>1</v>
      </c>
      <c r="AK49" s="1">
        <f t="shared" si="137"/>
        <v>1</v>
      </c>
      <c r="AL49" s="1">
        <f t="shared" si="137"/>
        <v>0</v>
      </c>
      <c r="AM49" s="1">
        <f t="shared" si="137"/>
        <v>0</v>
      </c>
      <c r="AN49" s="1">
        <f t="shared" si="137"/>
        <v>0</v>
      </c>
      <c r="AO49" s="1">
        <f t="shared" si="137"/>
        <v>1</v>
      </c>
      <c r="AP49" s="1">
        <f t="shared" si="137"/>
        <v>0</v>
      </c>
      <c r="AQ49" s="1">
        <f t="shared" si="137"/>
        <v>0</v>
      </c>
      <c r="AR49" s="1">
        <f t="shared" si="137"/>
        <v>0</v>
      </c>
      <c r="AS49" s="1">
        <f t="shared" si="137"/>
        <v>0</v>
      </c>
      <c r="AT49" s="1">
        <f t="shared" si="137"/>
        <v>1</v>
      </c>
      <c r="AU49" s="1">
        <f t="shared" si="137"/>
        <v>0</v>
      </c>
      <c r="AV49" s="1">
        <f t="shared" si="137"/>
        <v>0</v>
      </c>
      <c r="AW49" s="1">
        <f t="shared" si="137"/>
        <v>0</v>
      </c>
      <c r="AX49" s="1">
        <f t="shared" si="137"/>
        <v>0</v>
      </c>
      <c r="AY49" s="1">
        <f t="shared" si="137"/>
        <v>0</v>
      </c>
      <c r="AZ49" s="1">
        <f t="shared" si="137"/>
        <v>0</v>
      </c>
      <c r="BA49" s="1">
        <f t="shared" si="137"/>
        <v>0</v>
      </c>
      <c r="BB49" s="1">
        <f t="shared" si="137"/>
        <v>0</v>
      </c>
      <c r="BC49" s="1">
        <f t="shared" si="137"/>
        <v>0</v>
      </c>
      <c r="BD49" s="1">
        <f t="shared" si="137"/>
        <v>0</v>
      </c>
      <c r="BE49" s="1">
        <f t="shared" si="137"/>
        <v>0</v>
      </c>
      <c r="BF49" s="1">
        <f t="shared" si="137"/>
        <v>1</v>
      </c>
      <c r="BG49" s="1">
        <f t="shared" si="137"/>
        <v>1</v>
      </c>
      <c r="BH49" s="1">
        <f t="shared" si="137"/>
        <v>0</v>
      </c>
      <c r="BI49" s="1">
        <f t="shared" si="137"/>
        <v>1</v>
      </c>
      <c r="BJ49" s="1">
        <f t="shared" si="137"/>
        <v>1</v>
      </c>
      <c r="BK49" s="1">
        <f t="shared" si="137"/>
        <v>1</v>
      </c>
      <c r="BL49" s="1">
        <f t="shared" si="137"/>
        <v>1</v>
      </c>
      <c r="BN49" s="3" t="s">
        <v>15</v>
      </c>
      <c r="BO49" s="1">
        <f t="shared" si="96"/>
        <v>0.3</v>
      </c>
      <c r="BP49" s="1">
        <f t="shared" si="97"/>
        <v>0.3</v>
      </c>
      <c r="BQ49" s="1">
        <f t="shared" si="98"/>
        <v>0.3</v>
      </c>
      <c r="BR49" s="1">
        <f t="shared" si="99"/>
        <v>0</v>
      </c>
      <c r="BS49" s="1">
        <f t="shared" si="100"/>
        <v>0</v>
      </c>
      <c r="BT49" s="1">
        <f t="shared" si="101"/>
        <v>0</v>
      </c>
      <c r="BU49" s="1">
        <f t="shared" si="102"/>
        <v>0.3</v>
      </c>
      <c r="BV49" s="1">
        <f t="shared" si="103"/>
        <v>0</v>
      </c>
      <c r="BW49" s="1">
        <f t="shared" si="104"/>
        <v>0</v>
      </c>
      <c r="BX49" s="1">
        <f t="shared" si="105"/>
        <v>0</v>
      </c>
      <c r="BY49" s="1">
        <f t="shared" si="106"/>
        <v>0</v>
      </c>
      <c r="BZ49" s="1">
        <f t="shared" si="107"/>
        <v>0.3</v>
      </c>
      <c r="CA49" s="1">
        <f t="shared" si="108"/>
        <v>0</v>
      </c>
      <c r="CB49" s="1">
        <f t="shared" si="109"/>
        <v>0</v>
      </c>
      <c r="CC49" s="1">
        <f t="shared" si="110"/>
        <v>0</v>
      </c>
      <c r="CD49" s="1">
        <f t="shared" si="111"/>
        <v>0</v>
      </c>
      <c r="CE49" s="1">
        <f t="shared" si="112"/>
        <v>0</v>
      </c>
      <c r="CF49" s="1">
        <f t="shared" si="113"/>
        <v>0</v>
      </c>
      <c r="CG49" s="1">
        <f t="shared" si="114"/>
        <v>0</v>
      </c>
      <c r="CH49" s="1">
        <f t="shared" si="115"/>
        <v>0</v>
      </c>
      <c r="CI49" s="1">
        <f t="shared" si="116"/>
        <v>0</v>
      </c>
      <c r="CJ49" s="1">
        <f t="shared" si="117"/>
        <v>0</v>
      </c>
      <c r="CK49" s="1">
        <f t="shared" si="118"/>
        <v>0</v>
      </c>
      <c r="CL49" s="1">
        <f t="shared" si="119"/>
        <v>0.3</v>
      </c>
      <c r="CM49" s="1">
        <f t="shared" si="120"/>
        <v>0.3</v>
      </c>
      <c r="CN49" s="1">
        <f t="shared" si="121"/>
        <v>0</v>
      </c>
      <c r="CO49" s="1">
        <f t="shared" si="122"/>
        <v>0.3</v>
      </c>
      <c r="CP49" s="1">
        <f t="shared" si="123"/>
        <v>0.3</v>
      </c>
      <c r="CQ49" s="1">
        <f t="shared" si="124"/>
        <v>0.3</v>
      </c>
      <c r="CR49" s="1">
        <f t="shared" si="125"/>
        <v>0.3</v>
      </c>
    </row>
    <row r="50" spans="1:96" x14ac:dyDescent="0.25">
      <c r="A50" s="3" t="s">
        <v>16</v>
      </c>
      <c r="B50" s="1">
        <v>19</v>
      </c>
      <c r="C50" s="1">
        <v>2</v>
      </c>
      <c r="D50" s="1">
        <v>7</v>
      </c>
      <c r="E50" s="1">
        <v>4</v>
      </c>
      <c r="F50" s="1">
        <v>6</v>
      </c>
      <c r="G50" s="1">
        <v>2</v>
      </c>
      <c r="H50" s="1">
        <v>5</v>
      </c>
      <c r="I50" s="1">
        <v>0</v>
      </c>
      <c r="J50" s="1">
        <v>0</v>
      </c>
      <c r="K50" s="1">
        <v>13</v>
      </c>
      <c r="L50" s="1">
        <v>19</v>
      </c>
      <c r="M50" s="1">
        <v>3</v>
      </c>
      <c r="N50" s="1">
        <v>6</v>
      </c>
      <c r="O50" s="1">
        <v>2</v>
      </c>
      <c r="P50" s="7"/>
      <c r="Q50" s="1">
        <v>1</v>
      </c>
      <c r="R50" s="1">
        <v>16</v>
      </c>
      <c r="S50" s="1">
        <v>0</v>
      </c>
      <c r="T50" s="1">
        <v>6</v>
      </c>
      <c r="U50" s="1">
        <v>11</v>
      </c>
      <c r="V50" s="1">
        <v>0</v>
      </c>
      <c r="W50" s="1">
        <v>0</v>
      </c>
      <c r="X50" s="1">
        <v>1</v>
      </c>
      <c r="Y50" s="1">
        <v>1</v>
      </c>
      <c r="Z50" s="1">
        <v>1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H50" s="3" t="s">
        <v>16</v>
      </c>
      <c r="AI50" s="1">
        <f t="shared" si="94"/>
        <v>1</v>
      </c>
      <c r="AJ50" s="1">
        <f t="shared" ref="AJ50:BL50" si="138">IF(C50&gt;$AF$36,1,0)</f>
        <v>0</v>
      </c>
      <c r="AK50" s="1">
        <f t="shared" si="138"/>
        <v>1</v>
      </c>
      <c r="AL50" s="1">
        <f t="shared" si="138"/>
        <v>1</v>
      </c>
      <c r="AM50" s="1">
        <f t="shared" si="138"/>
        <v>1</v>
      </c>
      <c r="AN50" s="1">
        <f t="shared" si="138"/>
        <v>0</v>
      </c>
      <c r="AO50" s="1">
        <f t="shared" si="138"/>
        <v>1</v>
      </c>
      <c r="AP50" s="1">
        <f t="shared" si="138"/>
        <v>0</v>
      </c>
      <c r="AQ50" s="1">
        <f t="shared" si="138"/>
        <v>0</v>
      </c>
      <c r="AR50" s="1">
        <f t="shared" si="138"/>
        <v>1</v>
      </c>
      <c r="AS50" s="1">
        <f t="shared" si="138"/>
        <v>1</v>
      </c>
      <c r="AT50" s="1">
        <f t="shared" si="138"/>
        <v>0</v>
      </c>
      <c r="AU50" s="1">
        <f t="shared" si="138"/>
        <v>1</v>
      </c>
      <c r="AV50" s="1">
        <f t="shared" si="138"/>
        <v>0</v>
      </c>
      <c r="AW50" s="1">
        <f t="shared" si="138"/>
        <v>0</v>
      </c>
      <c r="AX50" s="1">
        <f t="shared" si="138"/>
        <v>0</v>
      </c>
      <c r="AY50" s="1">
        <f t="shared" si="138"/>
        <v>1</v>
      </c>
      <c r="AZ50" s="1">
        <f t="shared" si="138"/>
        <v>0</v>
      </c>
      <c r="BA50" s="1">
        <f t="shared" si="138"/>
        <v>1</v>
      </c>
      <c r="BB50" s="1">
        <f t="shared" si="138"/>
        <v>1</v>
      </c>
      <c r="BC50" s="1">
        <f t="shared" si="138"/>
        <v>0</v>
      </c>
      <c r="BD50" s="1">
        <f t="shared" si="138"/>
        <v>0</v>
      </c>
      <c r="BE50" s="1">
        <f t="shared" si="138"/>
        <v>0</v>
      </c>
      <c r="BF50" s="1">
        <f t="shared" si="138"/>
        <v>0</v>
      </c>
      <c r="BG50" s="1">
        <f t="shared" si="138"/>
        <v>0</v>
      </c>
      <c r="BH50" s="1">
        <f t="shared" si="138"/>
        <v>0</v>
      </c>
      <c r="BI50" s="1">
        <f t="shared" si="138"/>
        <v>0</v>
      </c>
      <c r="BJ50" s="1">
        <f t="shared" si="138"/>
        <v>0</v>
      </c>
      <c r="BK50" s="1">
        <f t="shared" si="138"/>
        <v>0</v>
      </c>
      <c r="BL50" s="1">
        <f t="shared" si="138"/>
        <v>0</v>
      </c>
      <c r="BN50" s="3" t="s">
        <v>16</v>
      </c>
      <c r="BO50" s="1">
        <f t="shared" si="96"/>
        <v>0.3</v>
      </c>
      <c r="BP50" s="1">
        <f t="shared" si="97"/>
        <v>0</v>
      </c>
      <c r="BQ50" s="1">
        <f t="shared" si="98"/>
        <v>0.3</v>
      </c>
      <c r="BR50" s="1">
        <f t="shared" si="99"/>
        <v>0.3</v>
      </c>
      <c r="BS50" s="1">
        <f t="shared" si="100"/>
        <v>0.3</v>
      </c>
      <c r="BT50" s="1">
        <f t="shared" si="101"/>
        <v>0</v>
      </c>
      <c r="BU50" s="1">
        <f t="shared" si="102"/>
        <v>0.3</v>
      </c>
      <c r="BV50" s="1">
        <f t="shared" si="103"/>
        <v>0</v>
      </c>
      <c r="BW50" s="1">
        <f t="shared" si="104"/>
        <v>0</v>
      </c>
      <c r="BX50" s="1">
        <f t="shared" si="105"/>
        <v>0.3</v>
      </c>
      <c r="BY50" s="1">
        <f t="shared" si="106"/>
        <v>0.3</v>
      </c>
      <c r="BZ50" s="1">
        <f t="shared" si="107"/>
        <v>0</v>
      </c>
      <c r="CA50" s="1">
        <f t="shared" si="108"/>
        <v>0.3</v>
      </c>
      <c r="CB50" s="1">
        <f t="shared" si="109"/>
        <v>0</v>
      </c>
      <c r="CC50" s="1">
        <f t="shared" si="110"/>
        <v>0</v>
      </c>
      <c r="CD50" s="1">
        <f t="shared" si="111"/>
        <v>0</v>
      </c>
      <c r="CE50" s="1">
        <f t="shared" si="112"/>
        <v>0.3</v>
      </c>
      <c r="CF50" s="1">
        <f t="shared" si="113"/>
        <v>0</v>
      </c>
      <c r="CG50" s="1">
        <f t="shared" si="114"/>
        <v>0.3</v>
      </c>
      <c r="CH50" s="1">
        <f t="shared" si="115"/>
        <v>0.3</v>
      </c>
      <c r="CI50" s="1">
        <f t="shared" si="116"/>
        <v>0</v>
      </c>
      <c r="CJ50" s="1">
        <f t="shared" si="117"/>
        <v>0</v>
      </c>
      <c r="CK50" s="1">
        <f t="shared" si="118"/>
        <v>0</v>
      </c>
      <c r="CL50" s="1">
        <f t="shared" si="119"/>
        <v>0</v>
      </c>
      <c r="CM50" s="1">
        <f t="shared" si="120"/>
        <v>0</v>
      </c>
      <c r="CN50" s="1">
        <f t="shared" si="121"/>
        <v>0</v>
      </c>
      <c r="CO50" s="1">
        <f t="shared" si="122"/>
        <v>0</v>
      </c>
      <c r="CP50" s="1">
        <f t="shared" si="123"/>
        <v>0</v>
      </c>
      <c r="CQ50" s="1">
        <f t="shared" si="124"/>
        <v>0</v>
      </c>
      <c r="CR50" s="1">
        <f t="shared" si="125"/>
        <v>0</v>
      </c>
    </row>
    <row r="51" spans="1:96" x14ac:dyDescent="0.25">
      <c r="A51" s="3" t="s">
        <v>17</v>
      </c>
      <c r="B51" s="1">
        <v>1</v>
      </c>
      <c r="C51" s="1">
        <v>0</v>
      </c>
      <c r="D51" s="1">
        <v>0</v>
      </c>
      <c r="E51" s="1">
        <v>2</v>
      </c>
      <c r="F51" s="1">
        <v>0</v>
      </c>
      <c r="G51" s="1">
        <v>1</v>
      </c>
      <c r="H51" s="1">
        <v>1</v>
      </c>
      <c r="I51" s="1">
        <v>0</v>
      </c>
      <c r="J51" s="1">
        <v>0</v>
      </c>
      <c r="K51" s="1">
        <v>1</v>
      </c>
      <c r="L51" s="1">
        <v>6</v>
      </c>
      <c r="M51" s="1">
        <v>0</v>
      </c>
      <c r="N51" s="1">
        <v>0</v>
      </c>
      <c r="O51" s="1">
        <v>0</v>
      </c>
      <c r="P51" s="1">
        <v>1</v>
      </c>
      <c r="Q51" s="7"/>
      <c r="R51" s="1">
        <v>1</v>
      </c>
      <c r="S51" s="1">
        <v>0</v>
      </c>
      <c r="T51" s="1">
        <v>0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2</v>
      </c>
      <c r="AD51" s="1">
        <v>4</v>
      </c>
      <c r="AE51" s="1">
        <v>4</v>
      </c>
      <c r="AH51" s="3" t="s">
        <v>17</v>
      </c>
      <c r="AI51" s="1">
        <f t="shared" si="94"/>
        <v>0</v>
      </c>
      <c r="AJ51" s="1">
        <f t="shared" ref="AJ51:BL51" si="139">IF(C51&gt;$AF$36,1,0)</f>
        <v>0</v>
      </c>
      <c r="AK51" s="1">
        <f t="shared" si="139"/>
        <v>0</v>
      </c>
      <c r="AL51" s="1">
        <f t="shared" si="139"/>
        <v>0</v>
      </c>
      <c r="AM51" s="1">
        <f t="shared" si="139"/>
        <v>0</v>
      </c>
      <c r="AN51" s="1">
        <f t="shared" si="139"/>
        <v>0</v>
      </c>
      <c r="AO51" s="1">
        <f t="shared" si="139"/>
        <v>0</v>
      </c>
      <c r="AP51" s="1">
        <f t="shared" si="139"/>
        <v>0</v>
      </c>
      <c r="AQ51" s="1">
        <f t="shared" si="139"/>
        <v>0</v>
      </c>
      <c r="AR51" s="1">
        <f t="shared" si="139"/>
        <v>0</v>
      </c>
      <c r="AS51" s="1">
        <f t="shared" si="139"/>
        <v>1</v>
      </c>
      <c r="AT51" s="1">
        <f t="shared" si="139"/>
        <v>0</v>
      </c>
      <c r="AU51" s="1">
        <f t="shared" si="139"/>
        <v>0</v>
      </c>
      <c r="AV51" s="1">
        <f t="shared" si="139"/>
        <v>0</v>
      </c>
      <c r="AW51" s="1">
        <f t="shared" si="139"/>
        <v>0</v>
      </c>
      <c r="AX51" s="1">
        <f t="shared" si="139"/>
        <v>0</v>
      </c>
      <c r="AY51" s="1">
        <f t="shared" si="139"/>
        <v>0</v>
      </c>
      <c r="AZ51" s="1">
        <f t="shared" si="139"/>
        <v>0</v>
      </c>
      <c r="BA51" s="1">
        <f t="shared" si="139"/>
        <v>0</v>
      </c>
      <c r="BB51" s="1">
        <f t="shared" si="139"/>
        <v>0</v>
      </c>
      <c r="BC51" s="1">
        <f t="shared" si="139"/>
        <v>0</v>
      </c>
      <c r="BD51" s="1">
        <f t="shared" si="139"/>
        <v>0</v>
      </c>
      <c r="BE51" s="1">
        <f t="shared" si="139"/>
        <v>0</v>
      </c>
      <c r="BF51" s="1">
        <f t="shared" si="139"/>
        <v>0</v>
      </c>
      <c r="BG51" s="1">
        <f t="shared" si="139"/>
        <v>0</v>
      </c>
      <c r="BH51" s="1">
        <f t="shared" si="139"/>
        <v>0</v>
      </c>
      <c r="BI51" s="1">
        <f t="shared" si="139"/>
        <v>0</v>
      </c>
      <c r="BJ51" s="1">
        <f t="shared" si="139"/>
        <v>0</v>
      </c>
      <c r="BK51" s="1">
        <f t="shared" si="139"/>
        <v>1</v>
      </c>
      <c r="BL51" s="1">
        <f t="shared" si="139"/>
        <v>1</v>
      </c>
      <c r="BN51" s="3" t="s">
        <v>17</v>
      </c>
      <c r="BO51" s="1">
        <f t="shared" si="96"/>
        <v>0</v>
      </c>
      <c r="BP51" s="1">
        <f t="shared" si="97"/>
        <v>0</v>
      </c>
      <c r="BQ51" s="1">
        <f t="shared" si="98"/>
        <v>0</v>
      </c>
      <c r="BR51" s="1">
        <f t="shared" si="99"/>
        <v>0</v>
      </c>
      <c r="BS51" s="1">
        <f t="shared" si="100"/>
        <v>0</v>
      </c>
      <c r="BT51" s="1">
        <f t="shared" si="101"/>
        <v>0</v>
      </c>
      <c r="BU51" s="1">
        <f t="shared" si="102"/>
        <v>0</v>
      </c>
      <c r="BV51" s="1">
        <f t="shared" si="103"/>
        <v>0</v>
      </c>
      <c r="BW51" s="1">
        <f t="shared" si="104"/>
        <v>0</v>
      </c>
      <c r="BX51" s="1">
        <f t="shared" si="105"/>
        <v>0</v>
      </c>
      <c r="BY51" s="1">
        <f t="shared" si="106"/>
        <v>0.3</v>
      </c>
      <c r="BZ51" s="1">
        <f t="shared" si="107"/>
        <v>0</v>
      </c>
      <c r="CA51" s="1">
        <f t="shared" si="108"/>
        <v>0</v>
      </c>
      <c r="CB51" s="1">
        <f t="shared" si="109"/>
        <v>0</v>
      </c>
      <c r="CC51" s="1">
        <f t="shared" si="110"/>
        <v>0</v>
      </c>
      <c r="CD51" s="1">
        <f t="shared" si="111"/>
        <v>0</v>
      </c>
      <c r="CE51" s="1">
        <f t="shared" si="112"/>
        <v>0</v>
      </c>
      <c r="CF51" s="1">
        <f t="shared" si="113"/>
        <v>0</v>
      </c>
      <c r="CG51" s="1">
        <f t="shared" si="114"/>
        <v>0</v>
      </c>
      <c r="CH51" s="1">
        <f t="shared" si="115"/>
        <v>0</v>
      </c>
      <c r="CI51" s="1">
        <f t="shared" si="116"/>
        <v>0</v>
      </c>
      <c r="CJ51" s="1">
        <f t="shared" si="117"/>
        <v>0</v>
      </c>
      <c r="CK51" s="1">
        <f t="shared" si="118"/>
        <v>0</v>
      </c>
      <c r="CL51" s="1">
        <f t="shared" si="119"/>
        <v>0</v>
      </c>
      <c r="CM51" s="1">
        <f t="shared" si="120"/>
        <v>0</v>
      </c>
      <c r="CN51" s="1">
        <f t="shared" si="121"/>
        <v>0</v>
      </c>
      <c r="CO51" s="1">
        <f t="shared" si="122"/>
        <v>0</v>
      </c>
      <c r="CP51" s="1">
        <f t="shared" si="123"/>
        <v>0</v>
      </c>
      <c r="CQ51" s="1">
        <f t="shared" si="124"/>
        <v>0.3</v>
      </c>
      <c r="CR51" s="1">
        <f t="shared" si="125"/>
        <v>0.3</v>
      </c>
    </row>
    <row r="52" spans="1:96" x14ac:dyDescent="0.25">
      <c r="A52" s="3" t="s">
        <v>18</v>
      </c>
      <c r="B52" s="1">
        <v>12</v>
      </c>
      <c r="C52" s="1">
        <v>2</v>
      </c>
      <c r="D52" s="1">
        <v>5</v>
      </c>
      <c r="E52" s="1">
        <v>3</v>
      </c>
      <c r="F52" s="1">
        <v>4</v>
      </c>
      <c r="G52" s="1">
        <v>2</v>
      </c>
      <c r="H52" s="1">
        <v>5</v>
      </c>
      <c r="I52" s="1">
        <v>0</v>
      </c>
      <c r="J52" s="1">
        <v>0</v>
      </c>
      <c r="K52" s="1">
        <v>10</v>
      </c>
      <c r="L52" s="1">
        <v>16</v>
      </c>
      <c r="M52" s="1">
        <v>2</v>
      </c>
      <c r="N52" s="1">
        <v>0</v>
      </c>
      <c r="O52" s="1">
        <v>2</v>
      </c>
      <c r="P52" s="1">
        <v>16</v>
      </c>
      <c r="Q52" s="1">
        <v>1</v>
      </c>
      <c r="R52" s="7"/>
      <c r="S52" s="1">
        <v>0</v>
      </c>
      <c r="T52" s="1">
        <v>5</v>
      </c>
      <c r="U52" s="1">
        <v>6</v>
      </c>
      <c r="V52" s="1">
        <v>0</v>
      </c>
      <c r="W52" s="1">
        <v>0</v>
      </c>
      <c r="X52" s="1">
        <v>1</v>
      </c>
      <c r="Y52" s="1">
        <v>1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H52" s="3" t="s">
        <v>18</v>
      </c>
      <c r="AI52" s="1">
        <f t="shared" si="94"/>
        <v>1</v>
      </c>
      <c r="AJ52" s="1">
        <f t="shared" ref="AJ52:BL52" si="140">IF(C52&gt;$AF$36,1,0)</f>
        <v>0</v>
      </c>
      <c r="AK52" s="1">
        <f t="shared" si="140"/>
        <v>1</v>
      </c>
      <c r="AL52" s="1">
        <f t="shared" si="140"/>
        <v>0</v>
      </c>
      <c r="AM52" s="1">
        <f t="shared" si="140"/>
        <v>1</v>
      </c>
      <c r="AN52" s="1">
        <f t="shared" si="140"/>
        <v>0</v>
      </c>
      <c r="AO52" s="1">
        <f t="shared" si="140"/>
        <v>1</v>
      </c>
      <c r="AP52" s="1">
        <f t="shared" si="140"/>
        <v>0</v>
      </c>
      <c r="AQ52" s="1">
        <f t="shared" si="140"/>
        <v>0</v>
      </c>
      <c r="AR52" s="1">
        <f t="shared" si="140"/>
        <v>1</v>
      </c>
      <c r="AS52" s="1">
        <f t="shared" si="140"/>
        <v>1</v>
      </c>
      <c r="AT52" s="1">
        <f t="shared" si="140"/>
        <v>0</v>
      </c>
      <c r="AU52" s="1">
        <f t="shared" si="140"/>
        <v>0</v>
      </c>
      <c r="AV52" s="1">
        <f t="shared" si="140"/>
        <v>0</v>
      </c>
      <c r="AW52" s="1">
        <f t="shared" si="140"/>
        <v>1</v>
      </c>
      <c r="AX52" s="1">
        <f t="shared" si="140"/>
        <v>0</v>
      </c>
      <c r="AY52" s="1">
        <f t="shared" si="140"/>
        <v>0</v>
      </c>
      <c r="AZ52" s="1">
        <f t="shared" si="140"/>
        <v>0</v>
      </c>
      <c r="BA52" s="1">
        <f t="shared" si="140"/>
        <v>1</v>
      </c>
      <c r="BB52" s="1">
        <f t="shared" si="140"/>
        <v>1</v>
      </c>
      <c r="BC52" s="1">
        <f t="shared" si="140"/>
        <v>0</v>
      </c>
      <c r="BD52" s="1">
        <f t="shared" si="140"/>
        <v>0</v>
      </c>
      <c r="BE52" s="1">
        <f t="shared" si="140"/>
        <v>0</v>
      </c>
      <c r="BF52" s="1">
        <f t="shared" si="140"/>
        <v>0</v>
      </c>
      <c r="BG52" s="1">
        <f t="shared" si="140"/>
        <v>0</v>
      </c>
      <c r="BH52" s="1">
        <f t="shared" si="140"/>
        <v>0</v>
      </c>
      <c r="BI52" s="1">
        <f t="shared" si="140"/>
        <v>0</v>
      </c>
      <c r="BJ52" s="1">
        <f t="shared" si="140"/>
        <v>0</v>
      </c>
      <c r="BK52" s="1">
        <f t="shared" si="140"/>
        <v>0</v>
      </c>
      <c r="BL52" s="1">
        <f t="shared" si="140"/>
        <v>0</v>
      </c>
      <c r="BN52" s="3" t="s">
        <v>18</v>
      </c>
      <c r="BO52" s="1">
        <f t="shared" si="96"/>
        <v>0.3</v>
      </c>
      <c r="BP52" s="1">
        <f t="shared" si="97"/>
        <v>0</v>
      </c>
      <c r="BQ52" s="1">
        <f t="shared" si="98"/>
        <v>0.3</v>
      </c>
      <c r="BR52" s="1">
        <f t="shared" si="99"/>
        <v>0</v>
      </c>
      <c r="BS52" s="1">
        <f t="shared" si="100"/>
        <v>0.3</v>
      </c>
      <c r="BT52" s="1">
        <f t="shared" si="101"/>
        <v>0</v>
      </c>
      <c r="BU52" s="1">
        <f t="shared" si="102"/>
        <v>0.3</v>
      </c>
      <c r="BV52" s="1">
        <f t="shared" si="103"/>
        <v>0</v>
      </c>
      <c r="BW52" s="1">
        <f t="shared" si="104"/>
        <v>0</v>
      </c>
      <c r="BX52" s="1">
        <f t="shared" si="105"/>
        <v>0.3</v>
      </c>
      <c r="BY52" s="1">
        <f t="shared" si="106"/>
        <v>0.3</v>
      </c>
      <c r="BZ52" s="1">
        <f t="shared" si="107"/>
        <v>0</v>
      </c>
      <c r="CA52" s="1">
        <f t="shared" si="108"/>
        <v>0</v>
      </c>
      <c r="CB52" s="1">
        <f t="shared" si="109"/>
        <v>0</v>
      </c>
      <c r="CC52" s="1">
        <f t="shared" si="110"/>
        <v>0.3</v>
      </c>
      <c r="CD52" s="1">
        <f t="shared" si="111"/>
        <v>0</v>
      </c>
      <c r="CE52" s="1">
        <f t="shared" si="112"/>
        <v>0</v>
      </c>
      <c r="CF52" s="1">
        <f t="shared" si="113"/>
        <v>0</v>
      </c>
      <c r="CG52" s="1">
        <f t="shared" si="114"/>
        <v>0.3</v>
      </c>
      <c r="CH52" s="1">
        <f t="shared" si="115"/>
        <v>0.3</v>
      </c>
      <c r="CI52" s="1">
        <f t="shared" si="116"/>
        <v>0</v>
      </c>
      <c r="CJ52" s="1">
        <f t="shared" si="117"/>
        <v>0</v>
      </c>
      <c r="CK52" s="1">
        <f t="shared" si="118"/>
        <v>0</v>
      </c>
      <c r="CL52" s="1">
        <f t="shared" si="119"/>
        <v>0</v>
      </c>
      <c r="CM52" s="1">
        <f t="shared" si="120"/>
        <v>0</v>
      </c>
      <c r="CN52" s="1">
        <f t="shared" si="121"/>
        <v>0</v>
      </c>
      <c r="CO52" s="1">
        <f t="shared" si="122"/>
        <v>0</v>
      </c>
      <c r="CP52" s="1">
        <f t="shared" si="123"/>
        <v>0</v>
      </c>
      <c r="CQ52" s="1">
        <f t="shared" si="124"/>
        <v>0</v>
      </c>
      <c r="CR52" s="1">
        <f t="shared" si="125"/>
        <v>0</v>
      </c>
    </row>
    <row r="53" spans="1:96" x14ac:dyDescent="0.25">
      <c r="A53" s="3" t="s">
        <v>19</v>
      </c>
      <c r="B53" s="1">
        <v>0</v>
      </c>
      <c r="C53" s="1">
        <v>0</v>
      </c>
      <c r="D53" s="1">
        <v>3</v>
      </c>
      <c r="E53" s="1">
        <v>2</v>
      </c>
      <c r="F53" s="1">
        <v>3</v>
      </c>
      <c r="G53" s="1">
        <v>2</v>
      </c>
      <c r="H53" s="1">
        <v>4</v>
      </c>
      <c r="I53" s="1">
        <v>4</v>
      </c>
      <c r="J53" s="1">
        <v>0</v>
      </c>
      <c r="K53" s="1">
        <v>0</v>
      </c>
      <c r="L53" s="1">
        <v>0</v>
      </c>
      <c r="M53" s="1">
        <v>0</v>
      </c>
      <c r="N53" s="1">
        <v>3</v>
      </c>
      <c r="O53" s="1">
        <v>0</v>
      </c>
      <c r="P53" s="1">
        <v>0</v>
      </c>
      <c r="Q53" s="1">
        <v>0</v>
      </c>
      <c r="R53" s="1">
        <v>0</v>
      </c>
      <c r="S53" s="7"/>
      <c r="T53" s="1">
        <v>3</v>
      </c>
      <c r="U53" s="1">
        <v>3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H53" s="3" t="s">
        <v>19</v>
      </c>
      <c r="AI53" s="1">
        <f t="shared" si="94"/>
        <v>0</v>
      </c>
      <c r="AJ53" s="1">
        <f t="shared" ref="AJ53:BL53" si="141">IF(C53&gt;$AF$36,1,0)</f>
        <v>0</v>
      </c>
      <c r="AK53" s="1">
        <f t="shared" si="141"/>
        <v>0</v>
      </c>
      <c r="AL53" s="1">
        <f t="shared" si="141"/>
        <v>0</v>
      </c>
      <c r="AM53" s="1">
        <f t="shared" si="141"/>
        <v>0</v>
      </c>
      <c r="AN53" s="1">
        <f t="shared" si="141"/>
        <v>0</v>
      </c>
      <c r="AO53" s="1">
        <f t="shared" si="141"/>
        <v>1</v>
      </c>
      <c r="AP53" s="1">
        <f t="shared" si="141"/>
        <v>1</v>
      </c>
      <c r="AQ53" s="1">
        <f t="shared" si="141"/>
        <v>0</v>
      </c>
      <c r="AR53" s="1">
        <f t="shared" si="141"/>
        <v>0</v>
      </c>
      <c r="AS53" s="1">
        <f t="shared" si="141"/>
        <v>0</v>
      </c>
      <c r="AT53" s="1">
        <f t="shared" si="141"/>
        <v>0</v>
      </c>
      <c r="AU53" s="1">
        <f t="shared" si="141"/>
        <v>0</v>
      </c>
      <c r="AV53" s="1">
        <f t="shared" si="141"/>
        <v>0</v>
      </c>
      <c r="AW53" s="1">
        <f t="shared" si="141"/>
        <v>0</v>
      </c>
      <c r="AX53" s="1">
        <f t="shared" si="141"/>
        <v>0</v>
      </c>
      <c r="AY53" s="1">
        <f t="shared" si="141"/>
        <v>0</v>
      </c>
      <c r="AZ53" s="1">
        <f t="shared" si="141"/>
        <v>0</v>
      </c>
      <c r="BA53" s="1">
        <f t="shared" si="141"/>
        <v>0</v>
      </c>
      <c r="BB53" s="1">
        <f t="shared" si="141"/>
        <v>0</v>
      </c>
      <c r="BC53" s="1">
        <f t="shared" si="141"/>
        <v>0</v>
      </c>
      <c r="BD53" s="1">
        <f t="shared" si="141"/>
        <v>0</v>
      </c>
      <c r="BE53" s="1">
        <f t="shared" si="141"/>
        <v>0</v>
      </c>
      <c r="BF53" s="1">
        <f t="shared" si="141"/>
        <v>0</v>
      </c>
      <c r="BG53" s="1">
        <f t="shared" si="141"/>
        <v>0</v>
      </c>
      <c r="BH53" s="1">
        <f t="shared" si="141"/>
        <v>0</v>
      </c>
      <c r="BI53" s="1">
        <f t="shared" si="141"/>
        <v>0</v>
      </c>
      <c r="BJ53" s="1">
        <f t="shared" si="141"/>
        <v>0</v>
      </c>
      <c r="BK53" s="1">
        <f t="shared" si="141"/>
        <v>0</v>
      </c>
      <c r="BL53" s="1">
        <f t="shared" si="141"/>
        <v>0</v>
      </c>
      <c r="BN53" s="3" t="s">
        <v>19</v>
      </c>
      <c r="BO53" s="1">
        <f t="shared" si="96"/>
        <v>0</v>
      </c>
      <c r="BP53" s="1">
        <f t="shared" si="97"/>
        <v>0</v>
      </c>
      <c r="BQ53" s="1">
        <f t="shared" si="98"/>
        <v>0</v>
      </c>
      <c r="BR53" s="1">
        <f t="shared" si="99"/>
        <v>0</v>
      </c>
      <c r="BS53" s="1">
        <f t="shared" si="100"/>
        <v>0</v>
      </c>
      <c r="BT53" s="1">
        <f t="shared" si="101"/>
        <v>0</v>
      </c>
      <c r="BU53" s="1">
        <f t="shared" si="102"/>
        <v>0.3</v>
      </c>
      <c r="BV53" s="1">
        <f t="shared" si="103"/>
        <v>0.3</v>
      </c>
      <c r="BW53" s="1">
        <f t="shared" si="104"/>
        <v>0</v>
      </c>
      <c r="BX53" s="1">
        <f t="shared" si="105"/>
        <v>0</v>
      </c>
      <c r="BY53" s="1">
        <f t="shared" si="106"/>
        <v>0</v>
      </c>
      <c r="BZ53" s="1">
        <f t="shared" si="107"/>
        <v>0</v>
      </c>
      <c r="CA53" s="1">
        <f t="shared" si="108"/>
        <v>0</v>
      </c>
      <c r="CB53" s="1">
        <f t="shared" si="109"/>
        <v>0</v>
      </c>
      <c r="CC53" s="1">
        <f t="shared" si="110"/>
        <v>0</v>
      </c>
      <c r="CD53" s="1">
        <f t="shared" si="111"/>
        <v>0</v>
      </c>
      <c r="CE53" s="1">
        <f t="shared" si="112"/>
        <v>0</v>
      </c>
      <c r="CF53" s="1">
        <f t="shared" si="113"/>
        <v>0</v>
      </c>
      <c r="CG53" s="1">
        <f t="shared" si="114"/>
        <v>0</v>
      </c>
      <c r="CH53" s="1">
        <f t="shared" si="115"/>
        <v>0</v>
      </c>
      <c r="CI53" s="1">
        <f t="shared" si="116"/>
        <v>0</v>
      </c>
      <c r="CJ53" s="1">
        <f t="shared" si="117"/>
        <v>0</v>
      </c>
      <c r="CK53" s="1">
        <f t="shared" si="118"/>
        <v>0</v>
      </c>
      <c r="CL53" s="1">
        <f t="shared" si="119"/>
        <v>0</v>
      </c>
      <c r="CM53" s="1">
        <f t="shared" si="120"/>
        <v>0</v>
      </c>
      <c r="CN53" s="1">
        <f t="shared" si="121"/>
        <v>0</v>
      </c>
      <c r="CO53" s="1">
        <f t="shared" si="122"/>
        <v>0</v>
      </c>
      <c r="CP53" s="1">
        <f t="shared" si="123"/>
        <v>0</v>
      </c>
      <c r="CQ53" s="1">
        <f t="shared" si="124"/>
        <v>0</v>
      </c>
      <c r="CR53" s="1">
        <f t="shared" si="125"/>
        <v>0</v>
      </c>
    </row>
    <row r="54" spans="1:96" x14ac:dyDescent="0.25">
      <c r="A54" s="3" t="s">
        <v>20</v>
      </c>
      <c r="B54" s="1">
        <v>19</v>
      </c>
      <c r="C54" s="1">
        <v>1</v>
      </c>
      <c r="D54" s="1">
        <v>7</v>
      </c>
      <c r="E54" s="1">
        <v>5</v>
      </c>
      <c r="F54" s="1">
        <v>16</v>
      </c>
      <c r="G54" s="1">
        <v>8</v>
      </c>
      <c r="H54" s="1">
        <v>16</v>
      </c>
      <c r="I54" s="1">
        <v>3</v>
      </c>
      <c r="J54" s="1">
        <v>0</v>
      </c>
      <c r="K54" s="1">
        <v>4</v>
      </c>
      <c r="L54" s="1">
        <v>7</v>
      </c>
      <c r="M54" s="1">
        <v>2</v>
      </c>
      <c r="N54" s="1">
        <v>6</v>
      </c>
      <c r="O54" s="1">
        <v>2</v>
      </c>
      <c r="P54" s="1">
        <v>6</v>
      </c>
      <c r="Q54" s="1">
        <v>0</v>
      </c>
      <c r="R54" s="1">
        <v>5</v>
      </c>
      <c r="S54" s="1">
        <v>3</v>
      </c>
      <c r="T54" s="7"/>
      <c r="U54" s="1">
        <v>31</v>
      </c>
      <c r="V54" s="1">
        <v>0</v>
      </c>
      <c r="W54" s="1">
        <v>0</v>
      </c>
      <c r="X54" s="1">
        <v>0</v>
      </c>
      <c r="Y54" s="1">
        <v>2</v>
      </c>
      <c r="Z54" s="1">
        <v>1</v>
      </c>
      <c r="AA54" s="1">
        <v>0</v>
      </c>
      <c r="AB54" s="1">
        <v>0</v>
      </c>
      <c r="AC54" s="1">
        <v>0</v>
      </c>
      <c r="AD54" s="1">
        <v>0</v>
      </c>
      <c r="AE54" s="1">
        <v>1</v>
      </c>
      <c r="AH54" s="3" t="s">
        <v>20</v>
      </c>
      <c r="AI54" s="1">
        <f t="shared" si="94"/>
        <v>1</v>
      </c>
      <c r="AJ54" s="1">
        <f t="shared" ref="AJ54:BL54" si="142">IF(C54&gt;$AF$36,1,0)</f>
        <v>0</v>
      </c>
      <c r="AK54" s="1">
        <f t="shared" si="142"/>
        <v>1</v>
      </c>
      <c r="AL54" s="1">
        <f t="shared" si="142"/>
        <v>1</v>
      </c>
      <c r="AM54" s="1">
        <f t="shared" si="142"/>
        <v>1</v>
      </c>
      <c r="AN54" s="1">
        <f t="shared" si="142"/>
        <v>1</v>
      </c>
      <c r="AO54" s="1">
        <f t="shared" si="142"/>
        <v>1</v>
      </c>
      <c r="AP54" s="1">
        <f t="shared" si="142"/>
        <v>0</v>
      </c>
      <c r="AQ54" s="1">
        <f t="shared" si="142"/>
        <v>0</v>
      </c>
      <c r="AR54" s="1">
        <f t="shared" si="142"/>
        <v>1</v>
      </c>
      <c r="AS54" s="1">
        <f t="shared" si="142"/>
        <v>1</v>
      </c>
      <c r="AT54" s="1">
        <f t="shared" si="142"/>
        <v>0</v>
      </c>
      <c r="AU54" s="1">
        <f t="shared" si="142"/>
        <v>1</v>
      </c>
      <c r="AV54" s="1">
        <f t="shared" si="142"/>
        <v>0</v>
      </c>
      <c r="AW54" s="1">
        <f t="shared" si="142"/>
        <v>1</v>
      </c>
      <c r="AX54" s="1">
        <f t="shared" si="142"/>
        <v>0</v>
      </c>
      <c r="AY54" s="1">
        <f t="shared" si="142"/>
        <v>1</v>
      </c>
      <c r="AZ54" s="1">
        <f t="shared" si="142"/>
        <v>0</v>
      </c>
      <c r="BA54" s="1">
        <f t="shared" si="142"/>
        <v>0</v>
      </c>
      <c r="BB54" s="1">
        <f t="shared" si="142"/>
        <v>1</v>
      </c>
      <c r="BC54" s="1">
        <f t="shared" si="142"/>
        <v>0</v>
      </c>
      <c r="BD54" s="1">
        <f t="shared" si="142"/>
        <v>0</v>
      </c>
      <c r="BE54" s="1">
        <f t="shared" si="142"/>
        <v>0</v>
      </c>
      <c r="BF54" s="1">
        <f t="shared" si="142"/>
        <v>0</v>
      </c>
      <c r="BG54" s="1">
        <f t="shared" si="142"/>
        <v>0</v>
      </c>
      <c r="BH54" s="1">
        <f t="shared" si="142"/>
        <v>0</v>
      </c>
      <c r="BI54" s="1">
        <f t="shared" si="142"/>
        <v>0</v>
      </c>
      <c r="BJ54" s="1">
        <f t="shared" si="142"/>
        <v>0</v>
      </c>
      <c r="BK54" s="1">
        <f t="shared" si="142"/>
        <v>0</v>
      </c>
      <c r="BL54" s="1">
        <f t="shared" si="142"/>
        <v>0</v>
      </c>
      <c r="BN54" s="3" t="s">
        <v>20</v>
      </c>
      <c r="BO54" s="1">
        <f t="shared" si="96"/>
        <v>0.3</v>
      </c>
      <c r="BP54" s="1">
        <f t="shared" si="97"/>
        <v>0</v>
      </c>
      <c r="BQ54" s="1">
        <f t="shared" si="98"/>
        <v>0.3</v>
      </c>
      <c r="BR54" s="1">
        <f t="shared" si="99"/>
        <v>0.3</v>
      </c>
      <c r="BS54" s="1">
        <f t="shared" si="100"/>
        <v>0.3</v>
      </c>
      <c r="BT54" s="1">
        <f t="shared" si="101"/>
        <v>0.3</v>
      </c>
      <c r="BU54" s="1">
        <f t="shared" si="102"/>
        <v>0.3</v>
      </c>
      <c r="BV54" s="1">
        <f t="shared" si="103"/>
        <v>0</v>
      </c>
      <c r="BW54" s="1">
        <f t="shared" si="104"/>
        <v>0</v>
      </c>
      <c r="BX54" s="1">
        <f t="shared" si="105"/>
        <v>0.3</v>
      </c>
      <c r="BY54" s="1">
        <f t="shared" si="106"/>
        <v>0.3</v>
      </c>
      <c r="BZ54" s="1">
        <f t="shared" si="107"/>
        <v>0</v>
      </c>
      <c r="CA54" s="1">
        <f t="shared" si="108"/>
        <v>0.3</v>
      </c>
      <c r="CB54" s="1">
        <f t="shared" si="109"/>
        <v>0</v>
      </c>
      <c r="CC54" s="1">
        <f t="shared" si="110"/>
        <v>0.3</v>
      </c>
      <c r="CD54" s="1">
        <f t="shared" si="111"/>
        <v>0</v>
      </c>
      <c r="CE54" s="1">
        <f t="shared" si="112"/>
        <v>0.3</v>
      </c>
      <c r="CF54" s="1">
        <f t="shared" si="113"/>
        <v>0</v>
      </c>
      <c r="CG54" s="1">
        <f t="shared" si="114"/>
        <v>0</v>
      </c>
      <c r="CH54" s="1">
        <f t="shared" si="115"/>
        <v>0.3</v>
      </c>
      <c r="CI54" s="1">
        <f t="shared" si="116"/>
        <v>0</v>
      </c>
      <c r="CJ54" s="1">
        <f t="shared" si="117"/>
        <v>0</v>
      </c>
      <c r="CK54" s="1">
        <f t="shared" si="118"/>
        <v>0</v>
      </c>
      <c r="CL54" s="1">
        <f t="shared" si="119"/>
        <v>0</v>
      </c>
      <c r="CM54" s="1">
        <f t="shared" si="120"/>
        <v>0</v>
      </c>
      <c r="CN54" s="1">
        <f t="shared" si="121"/>
        <v>0</v>
      </c>
      <c r="CO54" s="1">
        <f t="shared" si="122"/>
        <v>0</v>
      </c>
      <c r="CP54" s="1">
        <f t="shared" si="123"/>
        <v>0</v>
      </c>
      <c r="CQ54" s="1">
        <f t="shared" si="124"/>
        <v>0</v>
      </c>
      <c r="CR54" s="1">
        <f t="shared" si="125"/>
        <v>0</v>
      </c>
    </row>
    <row r="55" spans="1:96" x14ac:dyDescent="0.25">
      <c r="A55" s="3" t="s">
        <v>21</v>
      </c>
      <c r="B55" s="1">
        <v>27</v>
      </c>
      <c r="C55" s="1">
        <v>1</v>
      </c>
      <c r="D55" s="1">
        <v>8</v>
      </c>
      <c r="E55" s="1">
        <v>6</v>
      </c>
      <c r="F55" s="1">
        <v>20</v>
      </c>
      <c r="G55" s="1">
        <v>11</v>
      </c>
      <c r="H55" s="1">
        <v>24</v>
      </c>
      <c r="I55" s="1">
        <v>3</v>
      </c>
      <c r="J55" s="1">
        <v>0</v>
      </c>
      <c r="K55" s="1">
        <v>9</v>
      </c>
      <c r="L55" s="1">
        <v>10</v>
      </c>
      <c r="M55" s="1">
        <v>3</v>
      </c>
      <c r="N55" s="1">
        <v>7</v>
      </c>
      <c r="O55" s="1">
        <v>2</v>
      </c>
      <c r="P55" s="1">
        <v>11</v>
      </c>
      <c r="Q55" s="1">
        <v>1</v>
      </c>
      <c r="R55" s="1">
        <v>6</v>
      </c>
      <c r="S55" s="1">
        <v>3</v>
      </c>
      <c r="T55" s="1">
        <v>31</v>
      </c>
      <c r="U55" s="7"/>
      <c r="V55" s="1">
        <v>1</v>
      </c>
      <c r="W55" s="1">
        <v>0</v>
      </c>
      <c r="X55" s="1">
        <v>0</v>
      </c>
      <c r="Y55" s="1">
        <v>2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H55" s="3" t="s">
        <v>21</v>
      </c>
      <c r="AI55" s="1">
        <f t="shared" si="94"/>
        <v>1</v>
      </c>
      <c r="AJ55" s="1">
        <f t="shared" ref="AJ55:BL55" si="143">IF(C55&gt;$AF$36,1,0)</f>
        <v>0</v>
      </c>
      <c r="AK55" s="1">
        <f t="shared" si="143"/>
        <v>1</v>
      </c>
      <c r="AL55" s="1">
        <f t="shared" si="143"/>
        <v>1</v>
      </c>
      <c r="AM55" s="1">
        <f t="shared" si="143"/>
        <v>1</v>
      </c>
      <c r="AN55" s="1">
        <f t="shared" si="143"/>
        <v>1</v>
      </c>
      <c r="AO55" s="1">
        <f t="shared" si="143"/>
        <v>1</v>
      </c>
      <c r="AP55" s="1">
        <f t="shared" si="143"/>
        <v>0</v>
      </c>
      <c r="AQ55" s="1">
        <f t="shared" si="143"/>
        <v>0</v>
      </c>
      <c r="AR55" s="1">
        <f t="shared" si="143"/>
        <v>1</v>
      </c>
      <c r="AS55" s="1">
        <f t="shared" si="143"/>
        <v>1</v>
      </c>
      <c r="AT55" s="1">
        <f t="shared" si="143"/>
        <v>0</v>
      </c>
      <c r="AU55" s="1">
        <f t="shared" si="143"/>
        <v>1</v>
      </c>
      <c r="AV55" s="1">
        <f t="shared" si="143"/>
        <v>0</v>
      </c>
      <c r="AW55" s="1">
        <f t="shared" si="143"/>
        <v>1</v>
      </c>
      <c r="AX55" s="1">
        <f t="shared" si="143"/>
        <v>0</v>
      </c>
      <c r="AY55" s="1">
        <f t="shared" si="143"/>
        <v>1</v>
      </c>
      <c r="AZ55" s="1">
        <f t="shared" si="143"/>
        <v>0</v>
      </c>
      <c r="BA55" s="1">
        <f t="shared" si="143"/>
        <v>1</v>
      </c>
      <c r="BB55" s="1">
        <f t="shared" si="143"/>
        <v>0</v>
      </c>
      <c r="BC55" s="1">
        <f t="shared" si="143"/>
        <v>0</v>
      </c>
      <c r="BD55" s="1">
        <f t="shared" si="143"/>
        <v>0</v>
      </c>
      <c r="BE55" s="1">
        <f t="shared" si="143"/>
        <v>0</v>
      </c>
      <c r="BF55" s="1">
        <f t="shared" si="143"/>
        <v>0</v>
      </c>
      <c r="BG55" s="1">
        <f t="shared" si="143"/>
        <v>0</v>
      </c>
      <c r="BH55" s="1">
        <f t="shared" si="143"/>
        <v>0</v>
      </c>
      <c r="BI55" s="1">
        <f t="shared" si="143"/>
        <v>0</v>
      </c>
      <c r="BJ55" s="1">
        <f t="shared" si="143"/>
        <v>0</v>
      </c>
      <c r="BK55" s="1">
        <f t="shared" si="143"/>
        <v>0</v>
      </c>
      <c r="BL55" s="1">
        <f t="shared" si="143"/>
        <v>0</v>
      </c>
      <c r="BN55" s="3" t="s">
        <v>21</v>
      </c>
      <c r="BO55" s="1">
        <f t="shared" si="96"/>
        <v>0.3</v>
      </c>
      <c r="BP55" s="1">
        <f t="shared" si="97"/>
        <v>0</v>
      </c>
      <c r="BQ55" s="1">
        <f t="shared" si="98"/>
        <v>0.3</v>
      </c>
      <c r="BR55" s="1">
        <f t="shared" si="99"/>
        <v>0.3</v>
      </c>
      <c r="BS55" s="1">
        <f t="shared" si="100"/>
        <v>0.3</v>
      </c>
      <c r="BT55" s="1">
        <f t="shared" si="101"/>
        <v>0.3</v>
      </c>
      <c r="BU55" s="1">
        <f t="shared" si="102"/>
        <v>0.3</v>
      </c>
      <c r="BV55" s="1">
        <f t="shared" si="103"/>
        <v>0</v>
      </c>
      <c r="BW55" s="1">
        <f t="shared" si="104"/>
        <v>0</v>
      </c>
      <c r="BX55" s="1">
        <f t="shared" si="105"/>
        <v>0.3</v>
      </c>
      <c r="BY55" s="1">
        <f t="shared" si="106"/>
        <v>0.3</v>
      </c>
      <c r="BZ55" s="1">
        <f t="shared" si="107"/>
        <v>0</v>
      </c>
      <c r="CA55" s="1">
        <f t="shared" si="108"/>
        <v>0.3</v>
      </c>
      <c r="CB55" s="1">
        <f t="shared" si="109"/>
        <v>0</v>
      </c>
      <c r="CC55" s="1">
        <f t="shared" si="110"/>
        <v>0.3</v>
      </c>
      <c r="CD55" s="1">
        <f t="shared" si="111"/>
        <v>0</v>
      </c>
      <c r="CE55" s="1">
        <f t="shared" si="112"/>
        <v>0.3</v>
      </c>
      <c r="CF55" s="1">
        <f t="shared" si="113"/>
        <v>0</v>
      </c>
      <c r="CG55" s="1">
        <f t="shared" si="114"/>
        <v>0.3</v>
      </c>
      <c r="CH55" s="1">
        <f t="shared" si="115"/>
        <v>0</v>
      </c>
      <c r="CI55" s="1">
        <f t="shared" si="116"/>
        <v>0</v>
      </c>
      <c r="CJ55" s="1">
        <f t="shared" si="117"/>
        <v>0</v>
      </c>
      <c r="CK55" s="1">
        <f t="shared" si="118"/>
        <v>0</v>
      </c>
      <c r="CL55" s="1">
        <f t="shared" si="119"/>
        <v>0</v>
      </c>
      <c r="CM55" s="1">
        <f t="shared" si="120"/>
        <v>0</v>
      </c>
      <c r="CN55" s="1">
        <f t="shared" si="121"/>
        <v>0</v>
      </c>
      <c r="CO55" s="1">
        <f t="shared" si="122"/>
        <v>0</v>
      </c>
      <c r="CP55" s="1">
        <f t="shared" si="123"/>
        <v>0</v>
      </c>
      <c r="CQ55" s="1">
        <f t="shared" si="124"/>
        <v>0</v>
      </c>
      <c r="CR55" s="1">
        <f t="shared" si="125"/>
        <v>0</v>
      </c>
    </row>
    <row r="56" spans="1:96" x14ac:dyDescent="0.25">
      <c r="A56" s="3" t="s">
        <v>22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2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7"/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H56" s="3" t="s">
        <v>22</v>
      </c>
      <c r="AI56" s="1">
        <f t="shared" si="94"/>
        <v>0</v>
      </c>
      <c r="AJ56" s="1">
        <f t="shared" ref="AJ56:BL56" si="144">IF(C56&gt;$AF$36,1,0)</f>
        <v>0</v>
      </c>
      <c r="AK56" s="1">
        <f t="shared" si="144"/>
        <v>0</v>
      </c>
      <c r="AL56" s="1">
        <f t="shared" si="144"/>
        <v>0</v>
      </c>
      <c r="AM56" s="1">
        <f t="shared" si="144"/>
        <v>0</v>
      </c>
      <c r="AN56" s="1">
        <f t="shared" si="144"/>
        <v>0</v>
      </c>
      <c r="AO56" s="1">
        <f t="shared" si="144"/>
        <v>0</v>
      </c>
      <c r="AP56" s="1">
        <f t="shared" si="144"/>
        <v>0</v>
      </c>
      <c r="AQ56" s="1">
        <f t="shared" si="144"/>
        <v>0</v>
      </c>
      <c r="AR56" s="1">
        <f t="shared" si="144"/>
        <v>0</v>
      </c>
      <c r="AS56" s="1">
        <f t="shared" si="144"/>
        <v>0</v>
      </c>
      <c r="AT56" s="1">
        <f t="shared" si="144"/>
        <v>0</v>
      </c>
      <c r="AU56" s="1">
        <f t="shared" si="144"/>
        <v>0</v>
      </c>
      <c r="AV56" s="1">
        <f t="shared" si="144"/>
        <v>0</v>
      </c>
      <c r="AW56" s="1">
        <f t="shared" si="144"/>
        <v>0</v>
      </c>
      <c r="AX56" s="1">
        <f t="shared" si="144"/>
        <v>0</v>
      </c>
      <c r="AY56" s="1">
        <f t="shared" si="144"/>
        <v>0</v>
      </c>
      <c r="AZ56" s="1">
        <f t="shared" si="144"/>
        <v>0</v>
      </c>
      <c r="BA56" s="1">
        <f t="shared" si="144"/>
        <v>0</v>
      </c>
      <c r="BB56" s="1">
        <f t="shared" si="144"/>
        <v>0</v>
      </c>
      <c r="BC56" s="1">
        <f t="shared" si="144"/>
        <v>0</v>
      </c>
      <c r="BD56" s="1">
        <f t="shared" si="144"/>
        <v>0</v>
      </c>
      <c r="BE56" s="1">
        <f t="shared" si="144"/>
        <v>0</v>
      </c>
      <c r="BF56" s="1">
        <f t="shared" si="144"/>
        <v>0</v>
      </c>
      <c r="BG56" s="1">
        <f t="shared" si="144"/>
        <v>0</v>
      </c>
      <c r="BH56" s="1">
        <f t="shared" si="144"/>
        <v>0</v>
      </c>
      <c r="BI56" s="1">
        <f t="shared" si="144"/>
        <v>0</v>
      </c>
      <c r="BJ56" s="1">
        <f t="shared" si="144"/>
        <v>0</v>
      </c>
      <c r="BK56" s="1">
        <f t="shared" si="144"/>
        <v>0</v>
      </c>
      <c r="BL56" s="1">
        <f t="shared" si="144"/>
        <v>0</v>
      </c>
      <c r="BN56" s="3" t="s">
        <v>22</v>
      </c>
      <c r="BO56" s="1">
        <f t="shared" si="96"/>
        <v>0</v>
      </c>
      <c r="BP56" s="1">
        <f t="shared" si="97"/>
        <v>0</v>
      </c>
      <c r="BQ56" s="1">
        <f t="shared" si="98"/>
        <v>0</v>
      </c>
      <c r="BR56" s="1">
        <f t="shared" si="99"/>
        <v>0</v>
      </c>
      <c r="BS56" s="1">
        <f t="shared" si="100"/>
        <v>0</v>
      </c>
      <c r="BT56" s="1">
        <f t="shared" si="101"/>
        <v>0</v>
      </c>
      <c r="BU56" s="1">
        <f t="shared" si="102"/>
        <v>0</v>
      </c>
      <c r="BV56" s="1">
        <f t="shared" si="103"/>
        <v>0</v>
      </c>
      <c r="BW56" s="1">
        <f t="shared" si="104"/>
        <v>0</v>
      </c>
      <c r="BX56" s="1">
        <f t="shared" si="105"/>
        <v>0</v>
      </c>
      <c r="BY56" s="1">
        <f t="shared" si="106"/>
        <v>0</v>
      </c>
      <c r="BZ56" s="1">
        <f t="shared" si="107"/>
        <v>0</v>
      </c>
      <c r="CA56" s="1">
        <f t="shared" si="108"/>
        <v>0</v>
      </c>
      <c r="CB56" s="1">
        <f t="shared" si="109"/>
        <v>0</v>
      </c>
      <c r="CC56" s="1">
        <f t="shared" si="110"/>
        <v>0</v>
      </c>
      <c r="CD56" s="1">
        <f t="shared" si="111"/>
        <v>0</v>
      </c>
      <c r="CE56" s="1">
        <f t="shared" si="112"/>
        <v>0</v>
      </c>
      <c r="CF56" s="1">
        <f t="shared" si="113"/>
        <v>0</v>
      </c>
      <c r="CG56" s="1">
        <f t="shared" si="114"/>
        <v>0</v>
      </c>
      <c r="CH56" s="1">
        <f t="shared" si="115"/>
        <v>0</v>
      </c>
      <c r="CI56" s="1">
        <f t="shared" si="116"/>
        <v>0</v>
      </c>
      <c r="CJ56" s="1">
        <f t="shared" si="117"/>
        <v>0</v>
      </c>
      <c r="CK56" s="1">
        <f t="shared" si="118"/>
        <v>0</v>
      </c>
      <c r="CL56" s="1">
        <f t="shared" si="119"/>
        <v>0</v>
      </c>
      <c r="CM56" s="1">
        <f t="shared" si="120"/>
        <v>0</v>
      </c>
      <c r="CN56" s="1">
        <f t="shared" si="121"/>
        <v>0</v>
      </c>
      <c r="CO56" s="1">
        <f t="shared" si="122"/>
        <v>0</v>
      </c>
      <c r="CP56" s="1">
        <f t="shared" si="123"/>
        <v>0</v>
      </c>
      <c r="CQ56" s="1">
        <f t="shared" si="124"/>
        <v>0</v>
      </c>
      <c r="CR56" s="1">
        <f t="shared" si="125"/>
        <v>0</v>
      </c>
    </row>
    <row r="57" spans="1:96" x14ac:dyDescent="0.25">
      <c r="A57" s="3" t="s">
        <v>23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7"/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H57" s="3" t="s">
        <v>23</v>
      </c>
      <c r="AI57" s="1">
        <f t="shared" si="94"/>
        <v>0</v>
      </c>
      <c r="AJ57" s="1">
        <f t="shared" ref="AJ57:BL57" si="145">IF(C57&gt;$AF$36,1,0)</f>
        <v>0</v>
      </c>
      <c r="AK57" s="1">
        <f t="shared" si="145"/>
        <v>0</v>
      </c>
      <c r="AL57" s="1">
        <f t="shared" si="145"/>
        <v>0</v>
      </c>
      <c r="AM57" s="1">
        <f t="shared" si="145"/>
        <v>0</v>
      </c>
      <c r="AN57" s="1">
        <f t="shared" si="145"/>
        <v>0</v>
      </c>
      <c r="AO57" s="1">
        <f t="shared" si="145"/>
        <v>0</v>
      </c>
      <c r="AP57" s="1">
        <f t="shared" si="145"/>
        <v>0</v>
      </c>
      <c r="AQ57" s="1">
        <f t="shared" si="145"/>
        <v>0</v>
      </c>
      <c r="AR57" s="1">
        <f t="shared" si="145"/>
        <v>0</v>
      </c>
      <c r="AS57" s="1">
        <f t="shared" si="145"/>
        <v>0</v>
      </c>
      <c r="AT57" s="1">
        <f t="shared" si="145"/>
        <v>0</v>
      </c>
      <c r="AU57" s="1">
        <f t="shared" si="145"/>
        <v>0</v>
      </c>
      <c r="AV57" s="1">
        <f t="shared" si="145"/>
        <v>0</v>
      </c>
      <c r="AW57" s="1">
        <f t="shared" si="145"/>
        <v>0</v>
      </c>
      <c r="AX57" s="1">
        <f t="shared" si="145"/>
        <v>0</v>
      </c>
      <c r="AY57" s="1">
        <f t="shared" si="145"/>
        <v>0</v>
      </c>
      <c r="AZ57" s="1">
        <f t="shared" si="145"/>
        <v>0</v>
      </c>
      <c r="BA57" s="1">
        <f t="shared" si="145"/>
        <v>0</v>
      </c>
      <c r="BB57" s="1">
        <f t="shared" si="145"/>
        <v>0</v>
      </c>
      <c r="BC57" s="1">
        <f t="shared" si="145"/>
        <v>0</v>
      </c>
      <c r="BD57" s="1">
        <f t="shared" si="145"/>
        <v>0</v>
      </c>
      <c r="BE57" s="1">
        <f t="shared" si="145"/>
        <v>0</v>
      </c>
      <c r="BF57" s="1">
        <f t="shared" si="145"/>
        <v>0</v>
      </c>
      <c r="BG57" s="1">
        <f t="shared" si="145"/>
        <v>0</v>
      </c>
      <c r="BH57" s="1">
        <f t="shared" si="145"/>
        <v>0</v>
      </c>
      <c r="BI57" s="1">
        <f t="shared" si="145"/>
        <v>0</v>
      </c>
      <c r="BJ57" s="1">
        <f t="shared" si="145"/>
        <v>0</v>
      </c>
      <c r="BK57" s="1">
        <f t="shared" si="145"/>
        <v>0</v>
      </c>
      <c r="BL57" s="1">
        <f t="shared" si="145"/>
        <v>0</v>
      </c>
      <c r="BN57" s="3" t="s">
        <v>23</v>
      </c>
      <c r="BO57" s="1">
        <f t="shared" si="96"/>
        <v>0</v>
      </c>
      <c r="BP57" s="1">
        <f t="shared" si="97"/>
        <v>0</v>
      </c>
      <c r="BQ57" s="1">
        <f t="shared" si="98"/>
        <v>0</v>
      </c>
      <c r="BR57" s="1">
        <f t="shared" si="99"/>
        <v>0</v>
      </c>
      <c r="BS57" s="1">
        <f t="shared" si="100"/>
        <v>0</v>
      </c>
      <c r="BT57" s="1">
        <f t="shared" si="101"/>
        <v>0</v>
      </c>
      <c r="BU57" s="1">
        <f t="shared" si="102"/>
        <v>0</v>
      </c>
      <c r="BV57" s="1">
        <f t="shared" si="103"/>
        <v>0</v>
      </c>
      <c r="BW57" s="1">
        <f t="shared" si="104"/>
        <v>0</v>
      </c>
      <c r="BX57" s="1">
        <f t="shared" si="105"/>
        <v>0</v>
      </c>
      <c r="BY57" s="1">
        <f t="shared" si="106"/>
        <v>0</v>
      </c>
      <c r="BZ57" s="1">
        <f t="shared" si="107"/>
        <v>0</v>
      </c>
      <c r="CA57" s="1">
        <f t="shared" si="108"/>
        <v>0</v>
      </c>
      <c r="CB57" s="1">
        <f t="shared" si="109"/>
        <v>0</v>
      </c>
      <c r="CC57" s="1">
        <f t="shared" si="110"/>
        <v>0</v>
      </c>
      <c r="CD57" s="1">
        <f t="shared" si="111"/>
        <v>0</v>
      </c>
      <c r="CE57" s="1">
        <f t="shared" si="112"/>
        <v>0</v>
      </c>
      <c r="CF57" s="1">
        <f t="shared" si="113"/>
        <v>0</v>
      </c>
      <c r="CG57" s="1">
        <f t="shared" si="114"/>
        <v>0</v>
      </c>
      <c r="CH57" s="1">
        <f t="shared" si="115"/>
        <v>0</v>
      </c>
      <c r="CI57" s="1">
        <f t="shared" si="116"/>
        <v>0</v>
      </c>
      <c r="CJ57" s="1">
        <f t="shared" si="117"/>
        <v>0</v>
      </c>
      <c r="CK57" s="1">
        <f t="shared" si="118"/>
        <v>0</v>
      </c>
      <c r="CL57" s="1">
        <f t="shared" si="119"/>
        <v>0</v>
      </c>
      <c r="CM57" s="1">
        <f t="shared" si="120"/>
        <v>0</v>
      </c>
      <c r="CN57" s="1">
        <f t="shared" si="121"/>
        <v>0</v>
      </c>
      <c r="CO57" s="1">
        <f t="shared" si="122"/>
        <v>0</v>
      </c>
      <c r="CP57" s="1">
        <f t="shared" si="123"/>
        <v>0</v>
      </c>
      <c r="CQ57" s="1">
        <f t="shared" si="124"/>
        <v>0</v>
      </c>
      <c r="CR57" s="1">
        <f t="shared" si="125"/>
        <v>0</v>
      </c>
    </row>
    <row r="58" spans="1:96" x14ac:dyDescent="0.25">
      <c r="A58" s="3" t="s">
        <v>24</v>
      </c>
      <c r="B58" s="1">
        <v>1</v>
      </c>
      <c r="C58" s="1">
        <v>0</v>
      </c>
      <c r="D58" s="1">
        <v>2</v>
      </c>
      <c r="E58" s="1">
        <v>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</v>
      </c>
      <c r="N58" s="1">
        <v>0</v>
      </c>
      <c r="O58" s="1">
        <v>0</v>
      </c>
      <c r="P58" s="1">
        <v>1</v>
      </c>
      <c r="Q58" s="1">
        <v>0</v>
      </c>
      <c r="R58" s="1">
        <v>1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7"/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H58" s="3" t="s">
        <v>24</v>
      </c>
      <c r="AI58" s="1">
        <f t="shared" si="94"/>
        <v>0</v>
      </c>
      <c r="AJ58" s="1">
        <f t="shared" ref="AJ58:BL58" si="146">IF(C58&gt;$AF$36,1,0)</f>
        <v>0</v>
      </c>
      <c r="AK58" s="1">
        <f t="shared" si="146"/>
        <v>0</v>
      </c>
      <c r="AL58" s="1">
        <f t="shared" si="146"/>
        <v>0</v>
      </c>
      <c r="AM58" s="1">
        <f t="shared" si="146"/>
        <v>0</v>
      </c>
      <c r="AN58" s="1">
        <f t="shared" si="146"/>
        <v>0</v>
      </c>
      <c r="AO58" s="1">
        <f t="shared" si="146"/>
        <v>0</v>
      </c>
      <c r="AP58" s="1">
        <f t="shared" si="146"/>
        <v>0</v>
      </c>
      <c r="AQ58" s="1">
        <f t="shared" si="146"/>
        <v>0</v>
      </c>
      <c r="AR58" s="1">
        <f t="shared" si="146"/>
        <v>0</v>
      </c>
      <c r="AS58" s="1">
        <f t="shared" si="146"/>
        <v>0</v>
      </c>
      <c r="AT58" s="1">
        <f t="shared" si="146"/>
        <v>0</v>
      </c>
      <c r="AU58" s="1">
        <f t="shared" si="146"/>
        <v>0</v>
      </c>
      <c r="AV58" s="1">
        <f t="shared" si="146"/>
        <v>0</v>
      </c>
      <c r="AW58" s="1">
        <f t="shared" si="146"/>
        <v>0</v>
      </c>
      <c r="AX58" s="1">
        <f t="shared" si="146"/>
        <v>0</v>
      </c>
      <c r="AY58" s="1">
        <f t="shared" si="146"/>
        <v>0</v>
      </c>
      <c r="AZ58" s="1">
        <f t="shared" si="146"/>
        <v>0</v>
      </c>
      <c r="BA58" s="1">
        <f t="shared" si="146"/>
        <v>0</v>
      </c>
      <c r="BB58" s="1">
        <f t="shared" si="146"/>
        <v>0</v>
      </c>
      <c r="BC58" s="1">
        <f t="shared" si="146"/>
        <v>0</v>
      </c>
      <c r="BD58" s="1">
        <f t="shared" si="146"/>
        <v>0</v>
      </c>
      <c r="BE58" s="1">
        <f t="shared" si="146"/>
        <v>0</v>
      </c>
      <c r="BF58" s="1">
        <f t="shared" si="146"/>
        <v>0</v>
      </c>
      <c r="BG58" s="1">
        <f t="shared" si="146"/>
        <v>0</v>
      </c>
      <c r="BH58" s="1">
        <f t="shared" si="146"/>
        <v>0</v>
      </c>
      <c r="BI58" s="1">
        <f t="shared" si="146"/>
        <v>0</v>
      </c>
      <c r="BJ58" s="1">
        <f t="shared" si="146"/>
        <v>0</v>
      </c>
      <c r="BK58" s="1">
        <f t="shared" si="146"/>
        <v>0</v>
      </c>
      <c r="BL58" s="1">
        <f t="shared" si="146"/>
        <v>0</v>
      </c>
      <c r="BN58" s="3" t="s">
        <v>24</v>
      </c>
      <c r="BO58" s="1">
        <f t="shared" si="96"/>
        <v>0</v>
      </c>
      <c r="BP58" s="1">
        <f t="shared" si="97"/>
        <v>0</v>
      </c>
      <c r="BQ58" s="1">
        <f t="shared" si="98"/>
        <v>0</v>
      </c>
      <c r="BR58" s="1">
        <f t="shared" si="99"/>
        <v>0</v>
      </c>
      <c r="BS58" s="1">
        <f t="shared" si="100"/>
        <v>0</v>
      </c>
      <c r="BT58" s="1">
        <f t="shared" si="101"/>
        <v>0</v>
      </c>
      <c r="BU58" s="1">
        <f t="shared" si="102"/>
        <v>0</v>
      </c>
      <c r="BV58" s="1">
        <f t="shared" si="103"/>
        <v>0</v>
      </c>
      <c r="BW58" s="1">
        <f t="shared" si="104"/>
        <v>0</v>
      </c>
      <c r="BX58" s="1">
        <f t="shared" si="105"/>
        <v>0</v>
      </c>
      <c r="BY58" s="1">
        <f t="shared" si="106"/>
        <v>0</v>
      </c>
      <c r="BZ58" s="1">
        <f t="shared" si="107"/>
        <v>0</v>
      </c>
      <c r="CA58" s="1">
        <f t="shared" si="108"/>
        <v>0</v>
      </c>
      <c r="CB58" s="1">
        <f t="shared" si="109"/>
        <v>0</v>
      </c>
      <c r="CC58" s="1">
        <f t="shared" si="110"/>
        <v>0</v>
      </c>
      <c r="CD58" s="1">
        <f t="shared" si="111"/>
        <v>0</v>
      </c>
      <c r="CE58" s="1">
        <f t="shared" si="112"/>
        <v>0</v>
      </c>
      <c r="CF58" s="1">
        <f t="shared" si="113"/>
        <v>0</v>
      </c>
      <c r="CG58" s="1">
        <f t="shared" si="114"/>
        <v>0</v>
      </c>
      <c r="CH58" s="1">
        <f t="shared" si="115"/>
        <v>0</v>
      </c>
      <c r="CI58" s="1">
        <f t="shared" si="116"/>
        <v>0</v>
      </c>
      <c r="CJ58" s="1">
        <f t="shared" si="117"/>
        <v>0</v>
      </c>
      <c r="CK58" s="1">
        <f t="shared" si="118"/>
        <v>0</v>
      </c>
      <c r="CL58" s="1">
        <f t="shared" si="119"/>
        <v>0</v>
      </c>
      <c r="CM58" s="1">
        <f t="shared" si="120"/>
        <v>0</v>
      </c>
      <c r="CN58" s="1">
        <f t="shared" si="121"/>
        <v>0</v>
      </c>
      <c r="CO58" s="1">
        <f t="shared" si="122"/>
        <v>0</v>
      </c>
      <c r="CP58" s="1">
        <f t="shared" si="123"/>
        <v>0</v>
      </c>
      <c r="CQ58" s="1">
        <f t="shared" si="124"/>
        <v>0</v>
      </c>
      <c r="CR58" s="1">
        <f t="shared" si="125"/>
        <v>0</v>
      </c>
    </row>
    <row r="59" spans="1:96" x14ac:dyDescent="0.25">
      <c r="A59" s="3" t="s">
        <v>25</v>
      </c>
      <c r="B59" s="1">
        <v>7</v>
      </c>
      <c r="C59" s="1">
        <v>6</v>
      </c>
      <c r="D59" s="1">
        <v>3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1</v>
      </c>
      <c r="O59" s="1">
        <v>24</v>
      </c>
      <c r="P59" s="1">
        <v>1</v>
      </c>
      <c r="Q59" s="1">
        <v>0</v>
      </c>
      <c r="R59" s="1">
        <v>1</v>
      </c>
      <c r="S59" s="1">
        <v>0</v>
      </c>
      <c r="T59" s="1">
        <v>2</v>
      </c>
      <c r="U59" s="1">
        <v>2</v>
      </c>
      <c r="V59" s="1">
        <v>0</v>
      </c>
      <c r="W59" s="1">
        <v>0</v>
      </c>
      <c r="X59" s="1">
        <v>0</v>
      </c>
      <c r="Y59" s="7"/>
      <c r="Z59" s="1">
        <v>32</v>
      </c>
      <c r="AA59" s="1">
        <v>0</v>
      </c>
      <c r="AB59" s="1">
        <v>8</v>
      </c>
      <c r="AC59" s="1">
        <v>0</v>
      </c>
      <c r="AD59" s="1">
        <v>1</v>
      </c>
      <c r="AE59" s="1">
        <v>20</v>
      </c>
      <c r="AH59" s="3" t="s">
        <v>25</v>
      </c>
      <c r="AI59" s="1">
        <f t="shared" si="94"/>
        <v>1</v>
      </c>
      <c r="AJ59" s="1">
        <f t="shared" ref="AJ59:BL59" si="147">IF(C59&gt;$AF$36,1,0)</f>
        <v>1</v>
      </c>
      <c r="AK59" s="1">
        <f t="shared" si="147"/>
        <v>0</v>
      </c>
      <c r="AL59" s="1">
        <f t="shared" si="147"/>
        <v>0</v>
      </c>
      <c r="AM59" s="1">
        <f t="shared" si="147"/>
        <v>0</v>
      </c>
      <c r="AN59" s="1">
        <f t="shared" si="147"/>
        <v>0</v>
      </c>
      <c r="AO59" s="1">
        <f t="shared" si="147"/>
        <v>0</v>
      </c>
      <c r="AP59" s="1">
        <f t="shared" si="147"/>
        <v>0</v>
      </c>
      <c r="AQ59" s="1">
        <f t="shared" si="147"/>
        <v>0</v>
      </c>
      <c r="AR59" s="1">
        <f t="shared" si="147"/>
        <v>0</v>
      </c>
      <c r="AS59" s="1">
        <f t="shared" si="147"/>
        <v>0</v>
      </c>
      <c r="AT59" s="1">
        <f t="shared" si="147"/>
        <v>0</v>
      </c>
      <c r="AU59" s="1">
        <f t="shared" si="147"/>
        <v>0</v>
      </c>
      <c r="AV59" s="1">
        <f t="shared" si="147"/>
        <v>1</v>
      </c>
      <c r="AW59" s="1">
        <f t="shared" si="147"/>
        <v>0</v>
      </c>
      <c r="AX59" s="1">
        <f t="shared" si="147"/>
        <v>0</v>
      </c>
      <c r="AY59" s="1">
        <f t="shared" si="147"/>
        <v>0</v>
      </c>
      <c r="AZ59" s="1">
        <f t="shared" si="147"/>
        <v>0</v>
      </c>
      <c r="BA59" s="1">
        <f t="shared" si="147"/>
        <v>0</v>
      </c>
      <c r="BB59" s="1">
        <f t="shared" si="147"/>
        <v>0</v>
      </c>
      <c r="BC59" s="1">
        <f t="shared" si="147"/>
        <v>0</v>
      </c>
      <c r="BD59" s="1">
        <f t="shared" si="147"/>
        <v>0</v>
      </c>
      <c r="BE59" s="1">
        <f t="shared" si="147"/>
        <v>0</v>
      </c>
      <c r="BF59" s="1">
        <f t="shared" si="147"/>
        <v>0</v>
      </c>
      <c r="BG59" s="1">
        <f t="shared" si="147"/>
        <v>1</v>
      </c>
      <c r="BH59" s="1">
        <f t="shared" si="147"/>
        <v>0</v>
      </c>
      <c r="BI59" s="1">
        <f t="shared" si="147"/>
        <v>1</v>
      </c>
      <c r="BJ59" s="1">
        <f t="shared" si="147"/>
        <v>0</v>
      </c>
      <c r="BK59" s="1">
        <f t="shared" si="147"/>
        <v>0</v>
      </c>
      <c r="BL59" s="1">
        <f t="shared" si="147"/>
        <v>1</v>
      </c>
      <c r="BN59" s="3" t="s">
        <v>25</v>
      </c>
      <c r="BO59" s="1">
        <f t="shared" si="96"/>
        <v>0.3</v>
      </c>
      <c r="BP59" s="1">
        <f t="shared" si="97"/>
        <v>0.3</v>
      </c>
      <c r="BQ59" s="1">
        <f t="shared" si="98"/>
        <v>0</v>
      </c>
      <c r="BR59" s="1">
        <f t="shared" si="99"/>
        <v>0</v>
      </c>
      <c r="BS59" s="1">
        <f t="shared" si="100"/>
        <v>0</v>
      </c>
      <c r="BT59" s="1">
        <f t="shared" si="101"/>
        <v>0</v>
      </c>
      <c r="BU59" s="1">
        <f t="shared" si="102"/>
        <v>0</v>
      </c>
      <c r="BV59" s="1">
        <f t="shared" si="103"/>
        <v>0</v>
      </c>
      <c r="BW59" s="1">
        <f t="shared" si="104"/>
        <v>0</v>
      </c>
      <c r="BX59" s="1">
        <f t="shared" si="105"/>
        <v>0</v>
      </c>
      <c r="BY59" s="1">
        <f t="shared" si="106"/>
        <v>0</v>
      </c>
      <c r="BZ59" s="1">
        <f t="shared" si="107"/>
        <v>0</v>
      </c>
      <c r="CA59" s="1">
        <f t="shared" si="108"/>
        <v>0</v>
      </c>
      <c r="CB59" s="1">
        <f t="shared" si="109"/>
        <v>0.3</v>
      </c>
      <c r="CC59" s="1">
        <f t="shared" si="110"/>
        <v>0</v>
      </c>
      <c r="CD59" s="1">
        <f t="shared" si="111"/>
        <v>0</v>
      </c>
      <c r="CE59" s="1">
        <f t="shared" si="112"/>
        <v>0</v>
      </c>
      <c r="CF59" s="1">
        <f t="shared" si="113"/>
        <v>0</v>
      </c>
      <c r="CG59" s="1">
        <f t="shared" si="114"/>
        <v>0</v>
      </c>
      <c r="CH59" s="1">
        <f t="shared" si="115"/>
        <v>0</v>
      </c>
      <c r="CI59" s="1">
        <f t="shared" si="116"/>
        <v>0</v>
      </c>
      <c r="CJ59" s="1">
        <f t="shared" si="117"/>
        <v>0</v>
      </c>
      <c r="CK59" s="1">
        <f t="shared" si="118"/>
        <v>0</v>
      </c>
      <c r="CL59" s="1">
        <f t="shared" si="119"/>
        <v>0</v>
      </c>
      <c r="CM59" s="1">
        <f t="shared" si="120"/>
        <v>0.3</v>
      </c>
      <c r="CN59" s="1">
        <f t="shared" si="121"/>
        <v>0</v>
      </c>
      <c r="CO59" s="1">
        <f t="shared" si="122"/>
        <v>0.3</v>
      </c>
      <c r="CP59" s="1">
        <f t="shared" si="123"/>
        <v>0</v>
      </c>
      <c r="CQ59" s="1">
        <f t="shared" si="124"/>
        <v>0</v>
      </c>
      <c r="CR59" s="1">
        <f t="shared" si="125"/>
        <v>0.3</v>
      </c>
    </row>
    <row r="60" spans="1:96" x14ac:dyDescent="0.25">
      <c r="A60" s="3" t="s">
        <v>26</v>
      </c>
      <c r="B60" s="1">
        <v>7</v>
      </c>
      <c r="C60" s="1">
        <v>6</v>
      </c>
      <c r="D60" s="1">
        <v>3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1</v>
      </c>
      <c r="O60" s="1">
        <v>25</v>
      </c>
      <c r="P60" s="1">
        <v>1</v>
      </c>
      <c r="Q60" s="1">
        <v>0</v>
      </c>
      <c r="R60" s="1">
        <v>1</v>
      </c>
      <c r="S60" s="1">
        <v>0</v>
      </c>
      <c r="T60" s="1">
        <v>1</v>
      </c>
      <c r="U60" s="1">
        <v>1</v>
      </c>
      <c r="V60" s="1">
        <v>0</v>
      </c>
      <c r="W60" s="1">
        <v>0</v>
      </c>
      <c r="X60" s="1">
        <v>0</v>
      </c>
      <c r="Y60" s="1">
        <v>32</v>
      </c>
      <c r="Z60" s="7"/>
      <c r="AA60" s="1">
        <v>0</v>
      </c>
      <c r="AB60" s="1">
        <v>8</v>
      </c>
      <c r="AC60" s="1">
        <v>0</v>
      </c>
      <c r="AD60" s="1">
        <v>1</v>
      </c>
      <c r="AE60" s="1">
        <v>24</v>
      </c>
      <c r="AH60" s="3" t="s">
        <v>26</v>
      </c>
      <c r="AI60" s="1">
        <f t="shared" si="94"/>
        <v>1</v>
      </c>
      <c r="AJ60" s="1">
        <f t="shared" ref="AJ60:BL60" si="148">IF(C60&gt;$AF$36,1,0)</f>
        <v>1</v>
      </c>
      <c r="AK60" s="1">
        <f t="shared" si="148"/>
        <v>0</v>
      </c>
      <c r="AL60" s="1">
        <f t="shared" si="148"/>
        <v>0</v>
      </c>
      <c r="AM60" s="1">
        <f t="shared" si="148"/>
        <v>0</v>
      </c>
      <c r="AN60" s="1">
        <f t="shared" si="148"/>
        <v>0</v>
      </c>
      <c r="AO60" s="1">
        <f t="shared" si="148"/>
        <v>0</v>
      </c>
      <c r="AP60" s="1">
        <f t="shared" si="148"/>
        <v>0</v>
      </c>
      <c r="AQ60" s="1">
        <f t="shared" si="148"/>
        <v>0</v>
      </c>
      <c r="AR60" s="1">
        <f t="shared" si="148"/>
        <v>0</v>
      </c>
      <c r="AS60" s="1">
        <f t="shared" si="148"/>
        <v>0</v>
      </c>
      <c r="AT60" s="1">
        <f t="shared" si="148"/>
        <v>0</v>
      </c>
      <c r="AU60" s="1">
        <f t="shared" si="148"/>
        <v>0</v>
      </c>
      <c r="AV60" s="1">
        <f t="shared" si="148"/>
        <v>1</v>
      </c>
      <c r="AW60" s="1">
        <f t="shared" si="148"/>
        <v>0</v>
      </c>
      <c r="AX60" s="1">
        <f t="shared" si="148"/>
        <v>0</v>
      </c>
      <c r="AY60" s="1">
        <f t="shared" si="148"/>
        <v>0</v>
      </c>
      <c r="AZ60" s="1">
        <f t="shared" si="148"/>
        <v>0</v>
      </c>
      <c r="BA60" s="1">
        <f t="shared" si="148"/>
        <v>0</v>
      </c>
      <c r="BB60" s="1">
        <f t="shared" si="148"/>
        <v>0</v>
      </c>
      <c r="BC60" s="1">
        <f t="shared" si="148"/>
        <v>0</v>
      </c>
      <c r="BD60" s="1">
        <f t="shared" si="148"/>
        <v>0</v>
      </c>
      <c r="BE60" s="1">
        <f t="shared" si="148"/>
        <v>0</v>
      </c>
      <c r="BF60" s="1">
        <f t="shared" si="148"/>
        <v>1</v>
      </c>
      <c r="BG60" s="1">
        <f t="shared" si="148"/>
        <v>0</v>
      </c>
      <c r="BH60" s="1">
        <f t="shared" si="148"/>
        <v>0</v>
      </c>
      <c r="BI60" s="1">
        <f t="shared" si="148"/>
        <v>1</v>
      </c>
      <c r="BJ60" s="1">
        <f t="shared" si="148"/>
        <v>0</v>
      </c>
      <c r="BK60" s="1">
        <f t="shared" si="148"/>
        <v>0</v>
      </c>
      <c r="BL60" s="1">
        <f t="shared" si="148"/>
        <v>1</v>
      </c>
      <c r="BN60" s="3" t="s">
        <v>26</v>
      </c>
      <c r="BO60" s="1">
        <f t="shared" si="96"/>
        <v>0.3</v>
      </c>
      <c r="BP60" s="1">
        <f t="shared" si="97"/>
        <v>0.3</v>
      </c>
      <c r="BQ60" s="1">
        <f t="shared" si="98"/>
        <v>0</v>
      </c>
      <c r="BR60" s="1">
        <f t="shared" si="99"/>
        <v>0</v>
      </c>
      <c r="BS60" s="1">
        <f t="shared" si="100"/>
        <v>0</v>
      </c>
      <c r="BT60" s="1">
        <f t="shared" si="101"/>
        <v>0</v>
      </c>
      <c r="BU60" s="1">
        <f t="shared" si="102"/>
        <v>0</v>
      </c>
      <c r="BV60" s="1">
        <f t="shared" si="103"/>
        <v>0</v>
      </c>
      <c r="BW60" s="1">
        <f t="shared" si="104"/>
        <v>0</v>
      </c>
      <c r="BX60" s="1">
        <f t="shared" si="105"/>
        <v>0</v>
      </c>
      <c r="BY60" s="1">
        <f t="shared" si="106"/>
        <v>0</v>
      </c>
      <c r="BZ60" s="1">
        <f t="shared" si="107"/>
        <v>0</v>
      </c>
      <c r="CA60" s="1">
        <f t="shared" si="108"/>
        <v>0</v>
      </c>
      <c r="CB60" s="1">
        <f t="shared" si="109"/>
        <v>0.3</v>
      </c>
      <c r="CC60" s="1">
        <f t="shared" si="110"/>
        <v>0</v>
      </c>
      <c r="CD60" s="1">
        <f t="shared" si="111"/>
        <v>0</v>
      </c>
      <c r="CE60" s="1">
        <f t="shared" si="112"/>
        <v>0</v>
      </c>
      <c r="CF60" s="1">
        <f t="shared" si="113"/>
        <v>0</v>
      </c>
      <c r="CG60" s="1">
        <f t="shared" si="114"/>
        <v>0</v>
      </c>
      <c r="CH60" s="1">
        <f t="shared" si="115"/>
        <v>0</v>
      </c>
      <c r="CI60" s="1">
        <f t="shared" si="116"/>
        <v>0</v>
      </c>
      <c r="CJ60" s="1">
        <f t="shared" si="117"/>
        <v>0</v>
      </c>
      <c r="CK60" s="1">
        <f t="shared" si="118"/>
        <v>0</v>
      </c>
      <c r="CL60" s="1">
        <f t="shared" si="119"/>
        <v>0.3</v>
      </c>
      <c r="CM60" s="1">
        <f t="shared" si="120"/>
        <v>0</v>
      </c>
      <c r="CN60" s="1">
        <f t="shared" si="121"/>
        <v>0</v>
      </c>
      <c r="CO60" s="1">
        <f t="shared" si="122"/>
        <v>0.3</v>
      </c>
      <c r="CP60" s="1">
        <f t="shared" si="123"/>
        <v>0</v>
      </c>
      <c r="CQ60" s="1">
        <f t="shared" si="124"/>
        <v>0</v>
      </c>
      <c r="CR60" s="1">
        <f t="shared" si="125"/>
        <v>0.3</v>
      </c>
    </row>
    <row r="61" spans="1:96" x14ac:dyDescent="0.25">
      <c r="A61" s="3" t="s">
        <v>27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7"/>
      <c r="AB61" s="1">
        <v>0</v>
      </c>
      <c r="AC61" s="1">
        <v>3</v>
      </c>
      <c r="AD61" s="1">
        <v>3</v>
      </c>
      <c r="AE61" s="1">
        <v>6</v>
      </c>
      <c r="AH61" s="3" t="s">
        <v>27</v>
      </c>
      <c r="AI61" s="1">
        <f t="shared" si="94"/>
        <v>0</v>
      </c>
      <c r="AJ61" s="1">
        <f t="shared" ref="AJ61:BL61" si="149">IF(C61&gt;$AF$36,1,0)</f>
        <v>0</v>
      </c>
      <c r="AK61" s="1">
        <f t="shared" si="149"/>
        <v>0</v>
      </c>
      <c r="AL61" s="1">
        <f t="shared" si="149"/>
        <v>0</v>
      </c>
      <c r="AM61" s="1">
        <f t="shared" si="149"/>
        <v>0</v>
      </c>
      <c r="AN61" s="1">
        <f t="shared" si="149"/>
        <v>0</v>
      </c>
      <c r="AO61" s="1">
        <f t="shared" si="149"/>
        <v>0</v>
      </c>
      <c r="AP61" s="1">
        <f t="shared" si="149"/>
        <v>0</v>
      </c>
      <c r="AQ61" s="1">
        <f t="shared" si="149"/>
        <v>0</v>
      </c>
      <c r="AR61" s="1">
        <f t="shared" si="149"/>
        <v>0</v>
      </c>
      <c r="AS61" s="1">
        <f t="shared" si="149"/>
        <v>0</v>
      </c>
      <c r="AT61" s="1">
        <f t="shared" si="149"/>
        <v>0</v>
      </c>
      <c r="AU61" s="1">
        <f t="shared" si="149"/>
        <v>0</v>
      </c>
      <c r="AV61" s="1">
        <f t="shared" si="149"/>
        <v>0</v>
      </c>
      <c r="AW61" s="1">
        <f t="shared" si="149"/>
        <v>0</v>
      </c>
      <c r="AX61" s="1">
        <f t="shared" si="149"/>
        <v>0</v>
      </c>
      <c r="AY61" s="1">
        <f t="shared" si="149"/>
        <v>0</v>
      </c>
      <c r="AZ61" s="1">
        <f t="shared" si="149"/>
        <v>0</v>
      </c>
      <c r="BA61" s="1">
        <f t="shared" si="149"/>
        <v>0</v>
      </c>
      <c r="BB61" s="1">
        <f t="shared" si="149"/>
        <v>0</v>
      </c>
      <c r="BC61" s="1">
        <f t="shared" si="149"/>
        <v>0</v>
      </c>
      <c r="BD61" s="1">
        <f t="shared" si="149"/>
        <v>0</v>
      </c>
      <c r="BE61" s="1">
        <f t="shared" si="149"/>
        <v>0</v>
      </c>
      <c r="BF61" s="1">
        <f t="shared" si="149"/>
        <v>0</v>
      </c>
      <c r="BG61" s="1">
        <f t="shared" si="149"/>
        <v>0</v>
      </c>
      <c r="BH61" s="1">
        <f t="shared" si="149"/>
        <v>0</v>
      </c>
      <c r="BI61" s="1">
        <f t="shared" si="149"/>
        <v>0</v>
      </c>
      <c r="BJ61" s="1">
        <f t="shared" si="149"/>
        <v>0</v>
      </c>
      <c r="BK61" s="1">
        <f t="shared" si="149"/>
        <v>0</v>
      </c>
      <c r="BL61" s="1">
        <f t="shared" si="149"/>
        <v>1</v>
      </c>
      <c r="BN61" s="3" t="s">
        <v>27</v>
      </c>
      <c r="BO61" s="1">
        <f t="shared" si="96"/>
        <v>0</v>
      </c>
      <c r="BP61" s="1">
        <f t="shared" si="97"/>
        <v>0</v>
      </c>
      <c r="BQ61" s="1">
        <f t="shared" si="98"/>
        <v>0</v>
      </c>
      <c r="BR61" s="1">
        <f t="shared" si="99"/>
        <v>0</v>
      </c>
      <c r="BS61" s="1">
        <f t="shared" si="100"/>
        <v>0</v>
      </c>
      <c r="BT61" s="1">
        <f t="shared" si="101"/>
        <v>0</v>
      </c>
      <c r="BU61" s="1">
        <f t="shared" si="102"/>
        <v>0</v>
      </c>
      <c r="BV61" s="1">
        <f t="shared" si="103"/>
        <v>0</v>
      </c>
      <c r="BW61" s="1">
        <f t="shared" si="104"/>
        <v>0</v>
      </c>
      <c r="BX61" s="1">
        <f t="shared" si="105"/>
        <v>0</v>
      </c>
      <c r="BY61" s="1">
        <f t="shared" si="106"/>
        <v>0</v>
      </c>
      <c r="BZ61" s="1">
        <f t="shared" si="107"/>
        <v>0</v>
      </c>
      <c r="CA61" s="1">
        <f t="shared" si="108"/>
        <v>0</v>
      </c>
      <c r="CB61" s="1">
        <f t="shared" si="109"/>
        <v>0</v>
      </c>
      <c r="CC61" s="1">
        <f t="shared" si="110"/>
        <v>0</v>
      </c>
      <c r="CD61" s="1">
        <f t="shared" si="111"/>
        <v>0</v>
      </c>
      <c r="CE61" s="1">
        <f t="shared" si="112"/>
        <v>0</v>
      </c>
      <c r="CF61" s="1">
        <f t="shared" si="113"/>
        <v>0</v>
      </c>
      <c r="CG61" s="1">
        <f t="shared" si="114"/>
        <v>0</v>
      </c>
      <c r="CH61" s="1">
        <f t="shared" si="115"/>
        <v>0</v>
      </c>
      <c r="CI61" s="1">
        <f t="shared" si="116"/>
        <v>0</v>
      </c>
      <c r="CJ61" s="1">
        <f t="shared" si="117"/>
        <v>0</v>
      </c>
      <c r="CK61" s="1">
        <f t="shared" si="118"/>
        <v>0</v>
      </c>
      <c r="CL61" s="1">
        <f t="shared" si="119"/>
        <v>0</v>
      </c>
      <c r="CM61" s="1">
        <f t="shared" si="120"/>
        <v>0</v>
      </c>
      <c r="CN61" s="1">
        <f t="shared" si="121"/>
        <v>0</v>
      </c>
      <c r="CO61" s="1">
        <f t="shared" si="122"/>
        <v>0</v>
      </c>
      <c r="CP61" s="1">
        <f t="shared" si="123"/>
        <v>0</v>
      </c>
      <c r="CQ61" s="1">
        <f t="shared" si="124"/>
        <v>0</v>
      </c>
      <c r="CR61" s="1">
        <f t="shared" si="125"/>
        <v>0.3</v>
      </c>
    </row>
    <row r="62" spans="1:96" x14ac:dyDescent="0.25">
      <c r="A62" s="3" t="s">
        <v>28</v>
      </c>
      <c r="B62" s="1">
        <v>5</v>
      </c>
      <c r="C62" s="1">
        <v>3</v>
      </c>
      <c r="D62" s="1">
        <v>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2</v>
      </c>
      <c r="N62" s="1">
        <v>0</v>
      </c>
      <c r="O62" s="1">
        <v>12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8</v>
      </c>
      <c r="Z62" s="1">
        <v>8</v>
      </c>
      <c r="AA62" s="1">
        <v>0</v>
      </c>
      <c r="AB62" s="7"/>
      <c r="AC62" s="1">
        <v>0</v>
      </c>
      <c r="AD62" s="1">
        <v>1</v>
      </c>
      <c r="AE62" s="1">
        <v>13</v>
      </c>
      <c r="AH62" s="3" t="s">
        <v>28</v>
      </c>
      <c r="AI62" s="1">
        <f t="shared" si="94"/>
        <v>1</v>
      </c>
      <c r="AJ62" s="1">
        <f t="shared" ref="AJ62:BL62" si="150">IF(C62&gt;$AF$36,1,0)</f>
        <v>0</v>
      </c>
      <c r="AK62" s="1">
        <f t="shared" si="150"/>
        <v>1</v>
      </c>
      <c r="AL62" s="1">
        <f t="shared" si="150"/>
        <v>0</v>
      </c>
      <c r="AM62" s="1">
        <f t="shared" si="150"/>
        <v>0</v>
      </c>
      <c r="AN62" s="1">
        <f t="shared" si="150"/>
        <v>0</v>
      </c>
      <c r="AO62" s="1">
        <f t="shared" si="150"/>
        <v>0</v>
      </c>
      <c r="AP62" s="1">
        <f t="shared" si="150"/>
        <v>0</v>
      </c>
      <c r="AQ62" s="1">
        <f t="shared" si="150"/>
        <v>0</v>
      </c>
      <c r="AR62" s="1">
        <f t="shared" si="150"/>
        <v>0</v>
      </c>
      <c r="AS62" s="1">
        <f t="shared" si="150"/>
        <v>0</v>
      </c>
      <c r="AT62" s="1">
        <f t="shared" si="150"/>
        <v>0</v>
      </c>
      <c r="AU62" s="1">
        <f t="shared" si="150"/>
        <v>0</v>
      </c>
      <c r="AV62" s="1">
        <f t="shared" si="150"/>
        <v>1</v>
      </c>
      <c r="AW62" s="1">
        <f t="shared" si="150"/>
        <v>0</v>
      </c>
      <c r="AX62" s="1">
        <f t="shared" si="150"/>
        <v>0</v>
      </c>
      <c r="AY62" s="1">
        <f t="shared" si="150"/>
        <v>0</v>
      </c>
      <c r="AZ62" s="1">
        <f t="shared" si="150"/>
        <v>0</v>
      </c>
      <c r="BA62" s="1">
        <f t="shared" si="150"/>
        <v>0</v>
      </c>
      <c r="BB62" s="1">
        <f t="shared" si="150"/>
        <v>0</v>
      </c>
      <c r="BC62" s="1">
        <f t="shared" si="150"/>
        <v>0</v>
      </c>
      <c r="BD62" s="1">
        <f t="shared" si="150"/>
        <v>0</v>
      </c>
      <c r="BE62" s="1">
        <f t="shared" si="150"/>
        <v>0</v>
      </c>
      <c r="BF62" s="1">
        <f t="shared" si="150"/>
        <v>1</v>
      </c>
      <c r="BG62" s="1">
        <f t="shared" si="150"/>
        <v>1</v>
      </c>
      <c r="BH62" s="1">
        <f t="shared" si="150"/>
        <v>0</v>
      </c>
      <c r="BI62" s="1">
        <f t="shared" si="150"/>
        <v>0</v>
      </c>
      <c r="BJ62" s="1">
        <f t="shared" si="150"/>
        <v>0</v>
      </c>
      <c r="BK62" s="1">
        <f t="shared" si="150"/>
        <v>0</v>
      </c>
      <c r="BL62" s="1">
        <f t="shared" si="150"/>
        <v>1</v>
      </c>
      <c r="BN62" s="3" t="s">
        <v>28</v>
      </c>
      <c r="BO62" s="1">
        <f t="shared" si="96"/>
        <v>0.3</v>
      </c>
      <c r="BP62" s="1">
        <f t="shared" si="97"/>
        <v>0</v>
      </c>
      <c r="BQ62" s="1">
        <f t="shared" si="98"/>
        <v>0.3</v>
      </c>
      <c r="BR62" s="1">
        <f t="shared" si="99"/>
        <v>0</v>
      </c>
      <c r="BS62" s="1">
        <f t="shared" si="100"/>
        <v>0</v>
      </c>
      <c r="BT62" s="1">
        <f t="shared" si="101"/>
        <v>0</v>
      </c>
      <c r="BU62" s="1">
        <f t="shared" si="102"/>
        <v>0</v>
      </c>
      <c r="BV62" s="1">
        <f t="shared" si="103"/>
        <v>0</v>
      </c>
      <c r="BW62" s="1">
        <f t="shared" si="104"/>
        <v>0</v>
      </c>
      <c r="BX62" s="1">
        <f t="shared" si="105"/>
        <v>0</v>
      </c>
      <c r="BY62" s="1">
        <f t="shared" si="106"/>
        <v>0</v>
      </c>
      <c r="BZ62" s="1">
        <f t="shared" si="107"/>
        <v>0</v>
      </c>
      <c r="CA62" s="1">
        <f t="shared" si="108"/>
        <v>0</v>
      </c>
      <c r="CB62" s="1">
        <f t="shared" si="109"/>
        <v>0.3</v>
      </c>
      <c r="CC62" s="1">
        <f t="shared" si="110"/>
        <v>0</v>
      </c>
      <c r="CD62" s="1">
        <f t="shared" si="111"/>
        <v>0</v>
      </c>
      <c r="CE62" s="1">
        <f t="shared" si="112"/>
        <v>0</v>
      </c>
      <c r="CF62" s="1">
        <f t="shared" si="113"/>
        <v>0</v>
      </c>
      <c r="CG62" s="1">
        <f t="shared" si="114"/>
        <v>0</v>
      </c>
      <c r="CH62" s="1">
        <f t="shared" si="115"/>
        <v>0</v>
      </c>
      <c r="CI62" s="1">
        <f t="shared" si="116"/>
        <v>0</v>
      </c>
      <c r="CJ62" s="1">
        <f t="shared" si="117"/>
        <v>0</v>
      </c>
      <c r="CK62" s="1">
        <f t="shared" si="118"/>
        <v>0</v>
      </c>
      <c r="CL62" s="1">
        <f t="shared" si="119"/>
        <v>0.3</v>
      </c>
      <c r="CM62" s="1">
        <f t="shared" si="120"/>
        <v>0.3</v>
      </c>
      <c r="CN62" s="1">
        <f t="shared" si="121"/>
        <v>0</v>
      </c>
      <c r="CO62" s="1">
        <f t="shared" si="122"/>
        <v>0</v>
      </c>
      <c r="CP62" s="1">
        <f t="shared" si="123"/>
        <v>0</v>
      </c>
      <c r="CQ62" s="1">
        <f t="shared" si="124"/>
        <v>0</v>
      </c>
      <c r="CR62" s="1">
        <f t="shared" si="125"/>
        <v>0.3</v>
      </c>
    </row>
    <row r="63" spans="1:96" x14ac:dyDescent="0.25">
      <c r="A63" s="3" t="s">
        <v>29</v>
      </c>
      <c r="B63" s="1">
        <v>5</v>
      </c>
      <c r="C63" s="1">
        <v>2</v>
      </c>
      <c r="D63" s="1">
        <v>2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2</v>
      </c>
      <c r="M63" s="1">
        <v>1</v>
      </c>
      <c r="N63" s="1">
        <v>0</v>
      </c>
      <c r="O63" s="1">
        <v>5</v>
      </c>
      <c r="P63" s="1">
        <v>0</v>
      </c>
      <c r="Q63" s="1">
        <v>2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0</v>
      </c>
      <c r="AC63" s="7"/>
      <c r="AD63" s="1">
        <v>21</v>
      </c>
      <c r="AE63" s="1">
        <v>3</v>
      </c>
      <c r="AH63" s="3" t="s">
        <v>29</v>
      </c>
      <c r="AI63" s="1">
        <f t="shared" si="94"/>
        <v>1</v>
      </c>
      <c r="AJ63" s="1">
        <f t="shared" ref="AJ63:BL63" si="151">IF(C63&gt;$AF$36,1,0)</f>
        <v>0</v>
      </c>
      <c r="AK63" s="1">
        <f t="shared" si="151"/>
        <v>0</v>
      </c>
      <c r="AL63" s="1">
        <f t="shared" si="151"/>
        <v>0</v>
      </c>
      <c r="AM63" s="1">
        <f t="shared" si="151"/>
        <v>0</v>
      </c>
      <c r="AN63" s="1">
        <f t="shared" si="151"/>
        <v>0</v>
      </c>
      <c r="AO63" s="1">
        <f t="shared" si="151"/>
        <v>0</v>
      </c>
      <c r="AP63" s="1">
        <f t="shared" si="151"/>
        <v>0</v>
      </c>
      <c r="AQ63" s="1">
        <f t="shared" si="151"/>
        <v>0</v>
      </c>
      <c r="AR63" s="1">
        <f t="shared" si="151"/>
        <v>0</v>
      </c>
      <c r="AS63" s="1">
        <f t="shared" si="151"/>
        <v>0</v>
      </c>
      <c r="AT63" s="1">
        <f t="shared" si="151"/>
        <v>0</v>
      </c>
      <c r="AU63" s="1">
        <f t="shared" si="151"/>
        <v>0</v>
      </c>
      <c r="AV63" s="1">
        <f t="shared" si="151"/>
        <v>1</v>
      </c>
      <c r="AW63" s="1">
        <f t="shared" si="151"/>
        <v>0</v>
      </c>
      <c r="AX63" s="1">
        <f t="shared" si="151"/>
        <v>0</v>
      </c>
      <c r="AY63" s="1">
        <f t="shared" si="151"/>
        <v>0</v>
      </c>
      <c r="AZ63" s="1">
        <f t="shared" si="151"/>
        <v>0</v>
      </c>
      <c r="BA63" s="1">
        <f t="shared" si="151"/>
        <v>0</v>
      </c>
      <c r="BB63" s="1">
        <f t="shared" si="151"/>
        <v>0</v>
      </c>
      <c r="BC63" s="1">
        <f t="shared" si="151"/>
        <v>0</v>
      </c>
      <c r="BD63" s="1">
        <f t="shared" si="151"/>
        <v>0</v>
      </c>
      <c r="BE63" s="1">
        <f t="shared" si="151"/>
        <v>0</v>
      </c>
      <c r="BF63" s="1">
        <f t="shared" si="151"/>
        <v>0</v>
      </c>
      <c r="BG63" s="1">
        <f t="shared" si="151"/>
        <v>0</v>
      </c>
      <c r="BH63" s="1">
        <f t="shared" si="151"/>
        <v>0</v>
      </c>
      <c r="BI63" s="1">
        <f t="shared" si="151"/>
        <v>0</v>
      </c>
      <c r="BJ63" s="1">
        <f t="shared" si="151"/>
        <v>0</v>
      </c>
      <c r="BK63" s="1">
        <f t="shared" si="151"/>
        <v>1</v>
      </c>
      <c r="BL63" s="1">
        <f t="shared" si="151"/>
        <v>0</v>
      </c>
      <c r="BN63" s="3" t="s">
        <v>29</v>
      </c>
      <c r="BO63" s="1">
        <f t="shared" si="96"/>
        <v>0.3</v>
      </c>
      <c r="BP63" s="1">
        <f t="shared" si="97"/>
        <v>0</v>
      </c>
      <c r="BQ63" s="1">
        <f t="shared" si="98"/>
        <v>0</v>
      </c>
      <c r="BR63" s="1">
        <f t="shared" si="99"/>
        <v>0</v>
      </c>
      <c r="BS63" s="1">
        <f t="shared" si="100"/>
        <v>0</v>
      </c>
      <c r="BT63" s="1">
        <f t="shared" si="101"/>
        <v>0</v>
      </c>
      <c r="BU63" s="1">
        <f t="shared" si="102"/>
        <v>0</v>
      </c>
      <c r="BV63" s="1">
        <f t="shared" si="103"/>
        <v>0</v>
      </c>
      <c r="BW63" s="1">
        <f t="shared" si="104"/>
        <v>0</v>
      </c>
      <c r="BX63" s="1">
        <f t="shared" si="105"/>
        <v>0</v>
      </c>
      <c r="BY63" s="1">
        <f t="shared" si="106"/>
        <v>0</v>
      </c>
      <c r="BZ63" s="1">
        <f t="shared" si="107"/>
        <v>0</v>
      </c>
      <c r="CA63" s="1">
        <f t="shared" si="108"/>
        <v>0</v>
      </c>
      <c r="CB63" s="1">
        <f t="shared" si="109"/>
        <v>0.3</v>
      </c>
      <c r="CC63" s="1">
        <f t="shared" si="110"/>
        <v>0</v>
      </c>
      <c r="CD63" s="1">
        <f t="shared" si="111"/>
        <v>0</v>
      </c>
      <c r="CE63" s="1">
        <f t="shared" si="112"/>
        <v>0</v>
      </c>
      <c r="CF63" s="1">
        <f t="shared" si="113"/>
        <v>0</v>
      </c>
      <c r="CG63" s="1">
        <f t="shared" si="114"/>
        <v>0</v>
      </c>
      <c r="CH63" s="1">
        <f t="shared" si="115"/>
        <v>0</v>
      </c>
      <c r="CI63" s="1">
        <f t="shared" si="116"/>
        <v>0</v>
      </c>
      <c r="CJ63" s="1">
        <f t="shared" si="117"/>
        <v>0</v>
      </c>
      <c r="CK63" s="1">
        <f t="shared" si="118"/>
        <v>0</v>
      </c>
      <c r="CL63" s="1">
        <f t="shared" si="119"/>
        <v>0</v>
      </c>
      <c r="CM63" s="1">
        <f t="shared" si="120"/>
        <v>0</v>
      </c>
      <c r="CN63" s="1">
        <f t="shared" si="121"/>
        <v>0</v>
      </c>
      <c r="CO63" s="1">
        <f t="shared" si="122"/>
        <v>0</v>
      </c>
      <c r="CP63" s="1">
        <f t="shared" si="123"/>
        <v>0</v>
      </c>
      <c r="CQ63" s="1">
        <f t="shared" si="124"/>
        <v>0.3</v>
      </c>
      <c r="CR63" s="1">
        <f t="shared" si="125"/>
        <v>0</v>
      </c>
    </row>
    <row r="64" spans="1:96" x14ac:dyDescent="0.25">
      <c r="A64" s="3" t="s">
        <v>30</v>
      </c>
      <c r="B64" s="1">
        <v>17</v>
      </c>
      <c r="C64" s="1">
        <v>12</v>
      </c>
      <c r="D64" s="1">
        <v>9</v>
      </c>
      <c r="E64" s="1">
        <v>3</v>
      </c>
      <c r="F64" s="1">
        <v>1</v>
      </c>
      <c r="G64" s="1">
        <v>1</v>
      </c>
      <c r="H64" s="1">
        <v>2</v>
      </c>
      <c r="I64" s="1">
        <v>0</v>
      </c>
      <c r="J64" s="1">
        <v>0</v>
      </c>
      <c r="K64" s="1">
        <v>0</v>
      </c>
      <c r="L64" s="1">
        <v>3</v>
      </c>
      <c r="M64" s="1">
        <v>6</v>
      </c>
      <c r="N64" s="1">
        <v>1</v>
      </c>
      <c r="O64" s="1">
        <v>12</v>
      </c>
      <c r="P64" s="1">
        <v>1</v>
      </c>
      <c r="Q64" s="1">
        <v>4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1</v>
      </c>
      <c r="Z64" s="1">
        <v>1</v>
      </c>
      <c r="AA64" s="1">
        <v>3</v>
      </c>
      <c r="AB64" s="1">
        <v>1</v>
      </c>
      <c r="AC64" s="1">
        <v>21</v>
      </c>
      <c r="AD64" s="7"/>
      <c r="AE64" s="1">
        <v>7</v>
      </c>
      <c r="AH64" s="3" t="s">
        <v>30</v>
      </c>
      <c r="AI64" s="1">
        <f t="shared" si="94"/>
        <v>1</v>
      </c>
      <c r="AJ64" s="1">
        <f t="shared" ref="AJ64:BL64" si="152">IF(C64&gt;$AF$36,1,0)</f>
        <v>1</v>
      </c>
      <c r="AK64" s="1">
        <f t="shared" si="152"/>
        <v>1</v>
      </c>
      <c r="AL64" s="1">
        <f t="shared" si="152"/>
        <v>0</v>
      </c>
      <c r="AM64" s="1">
        <f t="shared" si="152"/>
        <v>0</v>
      </c>
      <c r="AN64" s="1">
        <f t="shared" si="152"/>
        <v>0</v>
      </c>
      <c r="AO64" s="1">
        <f t="shared" si="152"/>
        <v>0</v>
      </c>
      <c r="AP64" s="1">
        <f t="shared" si="152"/>
        <v>0</v>
      </c>
      <c r="AQ64" s="1">
        <f t="shared" si="152"/>
        <v>0</v>
      </c>
      <c r="AR64" s="1">
        <f t="shared" si="152"/>
        <v>0</v>
      </c>
      <c r="AS64" s="1">
        <f t="shared" si="152"/>
        <v>0</v>
      </c>
      <c r="AT64" s="1">
        <f t="shared" si="152"/>
        <v>1</v>
      </c>
      <c r="AU64" s="1">
        <f t="shared" si="152"/>
        <v>0</v>
      </c>
      <c r="AV64" s="1">
        <f t="shared" si="152"/>
        <v>1</v>
      </c>
      <c r="AW64" s="1">
        <f t="shared" si="152"/>
        <v>0</v>
      </c>
      <c r="AX64" s="1">
        <f t="shared" si="152"/>
        <v>1</v>
      </c>
      <c r="AY64" s="1">
        <f t="shared" si="152"/>
        <v>0</v>
      </c>
      <c r="AZ64" s="1">
        <f t="shared" si="152"/>
        <v>0</v>
      </c>
      <c r="BA64" s="1">
        <f t="shared" si="152"/>
        <v>0</v>
      </c>
      <c r="BB64" s="1">
        <f t="shared" si="152"/>
        <v>0</v>
      </c>
      <c r="BC64" s="1">
        <f t="shared" si="152"/>
        <v>0</v>
      </c>
      <c r="BD64" s="1">
        <f t="shared" si="152"/>
        <v>0</v>
      </c>
      <c r="BE64" s="1">
        <f t="shared" si="152"/>
        <v>0</v>
      </c>
      <c r="BF64" s="1">
        <f t="shared" si="152"/>
        <v>0</v>
      </c>
      <c r="BG64" s="1">
        <f t="shared" si="152"/>
        <v>0</v>
      </c>
      <c r="BH64" s="1">
        <f t="shared" si="152"/>
        <v>0</v>
      </c>
      <c r="BI64" s="1">
        <f t="shared" si="152"/>
        <v>0</v>
      </c>
      <c r="BJ64" s="1">
        <f t="shared" si="152"/>
        <v>1</v>
      </c>
      <c r="BK64" s="1">
        <f t="shared" si="152"/>
        <v>0</v>
      </c>
      <c r="BL64" s="1">
        <f t="shared" si="152"/>
        <v>1</v>
      </c>
      <c r="BN64" s="3" t="s">
        <v>30</v>
      </c>
      <c r="BO64" s="1">
        <f t="shared" si="96"/>
        <v>0.3</v>
      </c>
      <c r="BP64" s="1">
        <f t="shared" si="97"/>
        <v>0.3</v>
      </c>
      <c r="BQ64" s="1">
        <f t="shared" si="98"/>
        <v>0.3</v>
      </c>
      <c r="BR64" s="1">
        <f t="shared" si="99"/>
        <v>0</v>
      </c>
      <c r="BS64" s="1">
        <f t="shared" si="100"/>
        <v>0</v>
      </c>
      <c r="BT64" s="1">
        <f t="shared" si="101"/>
        <v>0</v>
      </c>
      <c r="BU64" s="1">
        <f t="shared" si="102"/>
        <v>0</v>
      </c>
      <c r="BV64" s="1">
        <f t="shared" si="103"/>
        <v>0</v>
      </c>
      <c r="BW64" s="1">
        <f t="shared" si="104"/>
        <v>0</v>
      </c>
      <c r="BX64" s="1">
        <f t="shared" si="105"/>
        <v>0</v>
      </c>
      <c r="BY64" s="1">
        <f t="shared" si="106"/>
        <v>0</v>
      </c>
      <c r="BZ64" s="1">
        <f t="shared" si="107"/>
        <v>0.3</v>
      </c>
      <c r="CA64" s="1">
        <f t="shared" si="108"/>
        <v>0</v>
      </c>
      <c r="CB64" s="1">
        <f t="shared" si="109"/>
        <v>0.3</v>
      </c>
      <c r="CC64" s="1">
        <f t="shared" si="110"/>
        <v>0</v>
      </c>
      <c r="CD64" s="1">
        <f t="shared" si="111"/>
        <v>0.3</v>
      </c>
      <c r="CE64" s="1">
        <f t="shared" si="112"/>
        <v>0</v>
      </c>
      <c r="CF64" s="1">
        <f t="shared" si="113"/>
        <v>0</v>
      </c>
      <c r="CG64" s="1">
        <f t="shared" si="114"/>
        <v>0</v>
      </c>
      <c r="CH64" s="1">
        <f t="shared" si="115"/>
        <v>0</v>
      </c>
      <c r="CI64" s="1">
        <f t="shared" si="116"/>
        <v>0</v>
      </c>
      <c r="CJ64" s="1">
        <f t="shared" si="117"/>
        <v>0</v>
      </c>
      <c r="CK64" s="1">
        <f t="shared" si="118"/>
        <v>0</v>
      </c>
      <c r="CL64" s="1">
        <f t="shared" si="119"/>
        <v>0</v>
      </c>
      <c r="CM64" s="1">
        <f t="shared" si="120"/>
        <v>0</v>
      </c>
      <c r="CN64" s="1">
        <f t="shared" si="121"/>
        <v>0</v>
      </c>
      <c r="CO64" s="1">
        <f t="shared" si="122"/>
        <v>0</v>
      </c>
      <c r="CP64" s="1">
        <f t="shared" si="123"/>
        <v>0.3</v>
      </c>
      <c r="CQ64" s="1">
        <f t="shared" si="124"/>
        <v>0</v>
      </c>
      <c r="CR64" s="1">
        <f t="shared" si="125"/>
        <v>0.3</v>
      </c>
    </row>
    <row r="65" spans="1:96" x14ac:dyDescent="0.25">
      <c r="A65" s="3" t="s">
        <v>31</v>
      </c>
      <c r="B65" s="1">
        <v>10</v>
      </c>
      <c r="C65" s="1">
        <v>11</v>
      </c>
      <c r="D65" s="1">
        <v>6</v>
      </c>
      <c r="E65" s="1">
        <v>2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4</v>
      </c>
      <c r="M65" s="1">
        <v>4</v>
      </c>
      <c r="N65" s="1">
        <v>0</v>
      </c>
      <c r="O65" s="1">
        <v>28</v>
      </c>
      <c r="P65" s="1">
        <v>0</v>
      </c>
      <c r="Q65" s="1">
        <v>4</v>
      </c>
      <c r="R65" s="1">
        <v>0</v>
      </c>
      <c r="S65" s="1">
        <v>0</v>
      </c>
      <c r="T65" s="1">
        <v>1</v>
      </c>
      <c r="U65" s="1">
        <v>1</v>
      </c>
      <c r="V65" s="1">
        <v>0</v>
      </c>
      <c r="W65" s="1">
        <v>0</v>
      </c>
      <c r="X65" s="1">
        <v>0</v>
      </c>
      <c r="Y65" s="1">
        <v>20</v>
      </c>
      <c r="Z65" s="1">
        <v>24</v>
      </c>
      <c r="AA65" s="1">
        <v>6</v>
      </c>
      <c r="AB65" s="1">
        <v>13</v>
      </c>
      <c r="AC65" s="1">
        <v>3</v>
      </c>
      <c r="AD65" s="1">
        <v>7</v>
      </c>
      <c r="AE65" s="7"/>
      <c r="AH65" s="3" t="s">
        <v>31</v>
      </c>
      <c r="AI65" s="1">
        <f t="shared" si="94"/>
        <v>1</v>
      </c>
      <c r="AJ65" s="1">
        <f t="shared" ref="AJ65:BL65" si="153">IF(C65&gt;$AF$36,1,0)</f>
        <v>1</v>
      </c>
      <c r="AK65" s="1">
        <f t="shared" si="153"/>
        <v>1</v>
      </c>
      <c r="AL65" s="1">
        <f t="shared" si="153"/>
        <v>0</v>
      </c>
      <c r="AM65" s="1">
        <f t="shared" si="153"/>
        <v>0</v>
      </c>
      <c r="AN65" s="1">
        <f t="shared" si="153"/>
        <v>0</v>
      </c>
      <c r="AO65" s="1">
        <f t="shared" si="153"/>
        <v>0</v>
      </c>
      <c r="AP65" s="1">
        <f t="shared" si="153"/>
        <v>0</v>
      </c>
      <c r="AQ65" s="1">
        <f t="shared" si="153"/>
        <v>0</v>
      </c>
      <c r="AR65" s="1">
        <f t="shared" si="153"/>
        <v>0</v>
      </c>
      <c r="AS65" s="1">
        <f t="shared" si="153"/>
        <v>1</v>
      </c>
      <c r="AT65" s="1">
        <f t="shared" si="153"/>
        <v>1</v>
      </c>
      <c r="AU65" s="1">
        <f t="shared" si="153"/>
        <v>0</v>
      </c>
      <c r="AV65" s="1">
        <f t="shared" si="153"/>
        <v>1</v>
      </c>
      <c r="AW65" s="1">
        <f t="shared" si="153"/>
        <v>0</v>
      </c>
      <c r="AX65" s="1">
        <f t="shared" si="153"/>
        <v>1</v>
      </c>
      <c r="AY65" s="1">
        <f t="shared" si="153"/>
        <v>0</v>
      </c>
      <c r="AZ65" s="1">
        <f t="shared" si="153"/>
        <v>0</v>
      </c>
      <c r="BA65" s="1">
        <f t="shared" si="153"/>
        <v>0</v>
      </c>
      <c r="BB65" s="1">
        <f t="shared" si="153"/>
        <v>0</v>
      </c>
      <c r="BC65" s="1">
        <f t="shared" si="153"/>
        <v>0</v>
      </c>
      <c r="BD65" s="1">
        <f t="shared" si="153"/>
        <v>0</v>
      </c>
      <c r="BE65" s="1">
        <f t="shared" si="153"/>
        <v>0</v>
      </c>
      <c r="BF65" s="1">
        <f t="shared" si="153"/>
        <v>1</v>
      </c>
      <c r="BG65" s="1">
        <f t="shared" si="153"/>
        <v>1</v>
      </c>
      <c r="BH65" s="1">
        <f t="shared" si="153"/>
        <v>1</v>
      </c>
      <c r="BI65" s="1">
        <f t="shared" si="153"/>
        <v>1</v>
      </c>
      <c r="BJ65" s="1">
        <f t="shared" si="153"/>
        <v>0</v>
      </c>
      <c r="BK65" s="1">
        <f t="shared" si="153"/>
        <v>1</v>
      </c>
      <c r="BL65" s="1">
        <f t="shared" si="153"/>
        <v>0</v>
      </c>
      <c r="BN65" s="3" t="s">
        <v>31</v>
      </c>
      <c r="BO65" s="1">
        <f t="shared" si="96"/>
        <v>0.3</v>
      </c>
      <c r="BP65" s="1">
        <f t="shared" si="97"/>
        <v>0.3</v>
      </c>
      <c r="BQ65" s="1">
        <f t="shared" si="98"/>
        <v>0.3</v>
      </c>
      <c r="BR65" s="1">
        <f t="shared" si="99"/>
        <v>0</v>
      </c>
      <c r="BS65" s="1">
        <f t="shared" si="100"/>
        <v>0</v>
      </c>
      <c r="BT65" s="1">
        <f t="shared" si="101"/>
        <v>0</v>
      </c>
      <c r="BU65" s="1">
        <f t="shared" si="102"/>
        <v>0</v>
      </c>
      <c r="BV65" s="1">
        <f t="shared" si="103"/>
        <v>0</v>
      </c>
      <c r="BW65" s="1">
        <f t="shared" si="104"/>
        <v>0</v>
      </c>
      <c r="BX65" s="1">
        <f t="shared" si="105"/>
        <v>0</v>
      </c>
      <c r="BY65" s="1">
        <f t="shared" si="106"/>
        <v>0.3</v>
      </c>
      <c r="BZ65" s="1">
        <f t="shared" si="107"/>
        <v>0.3</v>
      </c>
      <c r="CA65" s="1">
        <f t="shared" si="108"/>
        <v>0</v>
      </c>
      <c r="CB65" s="1">
        <f t="shared" si="109"/>
        <v>0.3</v>
      </c>
      <c r="CC65" s="1">
        <f t="shared" si="110"/>
        <v>0</v>
      </c>
      <c r="CD65" s="1">
        <f t="shared" si="111"/>
        <v>0.3</v>
      </c>
      <c r="CE65" s="1">
        <f t="shared" si="112"/>
        <v>0</v>
      </c>
      <c r="CF65" s="1">
        <f t="shared" si="113"/>
        <v>0</v>
      </c>
      <c r="CG65" s="1">
        <f t="shared" si="114"/>
        <v>0</v>
      </c>
      <c r="CH65" s="1">
        <f t="shared" si="115"/>
        <v>0</v>
      </c>
      <c r="CI65" s="1">
        <f t="shared" si="116"/>
        <v>0</v>
      </c>
      <c r="CJ65" s="1">
        <f t="shared" si="117"/>
        <v>0</v>
      </c>
      <c r="CK65" s="1">
        <f t="shared" si="118"/>
        <v>0</v>
      </c>
      <c r="CL65" s="1">
        <f t="shared" si="119"/>
        <v>0.3</v>
      </c>
      <c r="CM65" s="1">
        <f t="shared" si="120"/>
        <v>0.3</v>
      </c>
      <c r="CN65" s="1">
        <f t="shared" si="121"/>
        <v>0.3</v>
      </c>
      <c r="CO65" s="1">
        <f t="shared" si="122"/>
        <v>0.3</v>
      </c>
      <c r="CP65" s="1">
        <f t="shared" si="123"/>
        <v>0</v>
      </c>
      <c r="CQ65" s="1">
        <f t="shared" si="124"/>
        <v>0.3</v>
      </c>
      <c r="CR65" s="1">
        <f t="shared" si="125"/>
        <v>0</v>
      </c>
    </row>
    <row r="68" spans="1:96" x14ac:dyDescent="0.25">
      <c r="A68" s="1" t="s">
        <v>41</v>
      </c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  <c r="H68" s="3" t="s">
        <v>8</v>
      </c>
      <c r="I68" s="3" t="s">
        <v>9</v>
      </c>
      <c r="J68" s="3" t="s">
        <v>10</v>
      </c>
      <c r="K68" s="3" t="s">
        <v>11</v>
      </c>
      <c r="L68" s="3" t="s">
        <v>12</v>
      </c>
      <c r="M68" s="3" t="s">
        <v>13</v>
      </c>
      <c r="N68" s="3" t="s">
        <v>14</v>
      </c>
      <c r="O68" s="3" t="s">
        <v>15</v>
      </c>
      <c r="P68" s="3" t="s">
        <v>16</v>
      </c>
      <c r="Q68" s="3" t="s">
        <v>17</v>
      </c>
      <c r="R68" s="3" t="s">
        <v>18</v>
      </c>
      <c r="S68" s="3" t="s">
        <v>19</v>
      </c>
      <c r="T68" s="3" t="s">
        <v>20</v>
      </c>
      <c r="U68" s="3" t="s">
        <v>21</v>
      </c>
      <c r="V68" s="3" t="s">
        <v>22</v>
      </c>
      <c r="W68" s="3" t="s">
        <v>23</v>
      </c>
      <c r="X68" s="3" t="s">
        <v>24</v>
      </c>
      <c r="Y68" s="3" t="s">
        <v>25</v>
      </c>
      <c r="Z68" s="3" t="s">
        <v>26</v>
      </c>
      <c r="AA68" s="3" t="s">
        <v>27</v>
      </c>
      <c r="AB68" s="3" t="s">
        <v>28</v>
      </c>
      <c r="AC68" s="3" t="s">
        <v>29</v>
      </c>
      <c r="AD68" s="3" t="s">
        <v>30</v>
      </c>
      <c r="AE68" s="3" t="s">
        <v>31</v>
      </c>
      <c r="AH68" s="1" t="s">
        <v>41</v>
      </c>
      <c r="AI68" s="3" t="s">
        <v>2</v>
      </c>
      <c r="AJ68" s="3" t="s">
        <v>3</v>
      </c>
      <c r="AK68" s="3" t="s">
        <v>4</v>
      </c>
      <c r="AL68" s="3" t="s">
        <v>5</v>
      </c>
      <c r="AM68" s="3" t="s">
        <v>6</v>
      </c>
      <c r="AN68" s="3" t="s">
        <v>7</v>
      </c>
      <c r="AO68" s="3" t="s">
        <v>8</v>
      </c>
      <c r="AP68" s="3" t="s">
        <v>9</v>
      </c>
      <c r="AQ68" s="3" t="s">
        <v>10</v>
      </c>
      <c r="AR68" s="3" t="s">
        <v>11</v>
      </c>
      <c r="AS68" s="3" t="s">
        <v>12</v>
      </c>
      <c r="AT68" s="3" t="s">
        <v>13</v>
      </c>
      <c r="AU68" s="3" t="s">
        <v>14</v>
      </c>
      <c r="AV68" s="3" t="s">
        <v>15</v>
      </c>
      <c r="AW68" s="3" t="s">
        <v>16</v>
      </c>
      <c r="AX68" s="3" t="s">
        <v>17</v>
      </c>
      <c r="AY68" s="3" t="s">
        <v>18</v>
      </c>
      <c r="AZ68" s="3" t="s">
        <v>19</v>
      </c>
      <c r="BA68" s="3" t="s">
        <v>20</v>
      </c>
      <c r="BB68" s="3" t="s">
        <v>21</v>
      </c>
      <c r="BC68" s="3" t="s">
        <v>22</v>
      </c>
      <c r="BD68" s="3" t="s">
        <v>23</v>
      </c>
      <c r="BE68" s="3" t="s">
        <v>24</v>
      </c>
      <c r="BF68" s="3" t="s">
        <v>25</v>
      </c>
      <c r="BG68" s="3" t="s">
        <v>26</v>
      </c>
      <c r="BH68" s="3" t="s">
        <v>27</v>
      </c>
      <c r="BI68" s="3" t="s">
        <v>28</v>
      </c>
      <c r="BJ68" s="3" t="s">
        <v>29</v>
      </c>
      <c r="BK68" s="3" t="s">
        <v>30</v>
      </c>
      <c r="BL68" s="3" t="s">
        <v>31</v>
      </c>
    </row>
    <row r="69" spans="1:96" x14ac:dyDescent="0.25">
      <c r="A69" s="3" t="s">
        <v>2</v>
      </c>
      <c r="B69" s="7">
        <v>0</v>
      </c>
      <c r="C69" s="1">
        <v>1</v>
      </c>
      <c r="D69" s="1">
        <v>1</v>
      </c>
      <c r="E69" s="1">
        <v>1</v>
      </c>
      <c r="F69" s="1">
        <v>0</v>
      </c>
      <c r="G69" s="1">
        <v>0</v>
      </c>
      <c r="H69" s="1">
        <v>1</v>
      </c>
      <c r="I69" s="1">
        <v>1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H69" s="3" t="s">
        <v>2</v>
      </c>
      <c r="AI69" s="1">
        <f>0.4*B69</f>
        <v>0</v>
      </c>
      <c r="AJ69" s="1">
        <f t="shared" ref="AJ69:BL69" si="154">0.4*C69</f>
        <v>0.4</v>
      </c>
      <c r="AK69" s="1">
        <f t="shared" si="154"/>
        <v>0.4</v>
      </c>
      <c r="AL69" s="1">
        <f t="shared" si="154"/>
        <v>0.4</v>
      </c>
      <c r="AM69" s="1">
        <f t="shared" si="154"/>
        <v>0</v>
      </c>
      <c r="AN69" s="1">
        <f t="shared" si="154"/>
        <v>0</v>
      </c>
      <c r="AO69" s="1">
        <f t="shared" si="154"/>
        <v>0.4</v>
      </c>
      <c r="AP69" s="1">
        <f t="shared" si="154"/>
        <v>0.4</v>
      </c>
      <c r="AQ69" s="1">
        <f t="shared" si="154"/>
        <v>0</v>
      </c>
      <c r="AR69" s="1">
        <f t="shared" si="154"/>
        <v>0.4</v>
      </c>
      <c r="AS69" s="1">
        <f t="shared" si="154"/>
        <v>0</v>
      </c>
      <c r="AT69" s="1">
        <f t="shared" si="154"/>
        <v>0</v>
      </c>
      <c r="AU69" s="1">
        <f t="shared" si="154"/>
        <v>0</v>
      </c>
      <c r="AV69" s="1">
        <f t="shared" si="154"/>
        <v>0</v>
      </c>
      <c r="AW69" s="1">
        <f t="shared" si="154"/>
        <v>0</v>
      </c>
      <c r="AX69" s="1">
        <f t="shared" si="154"/>
        <v>0</v>
      </c>
      <c r="AY69" s="1">
        <f t="shared" si="154"/>
        <v>0</v>
      </c>
      <c r="AZ69" s="1">
        <f t="shared" si="154"/>
        <v>0</v>
      </c>
      <c r="BA69" s="1">
        <f t="shared" si="154"/>
        <v>0</v>
      </c>
      <c r="BB69" s="1">
        <f t="shared" si="154"/>
        <v>0</v>
      </c>
      <c r="BC69" s="1">
        <f t="shared" si="154"/>
        <v>0</v>
      </c>
      <c r="BD69" s="1">
        <f t="shared" si="154"/>
        <v>0</v>
      </c>
      <c r="BE69" s="1">
        <f t="shared" si="154"/>
        <v>0</v>
      </c>
      <c r="BF69" s="1">
        <f t="shared" si="154"/>
        <v>0</v>
      </c>
      <c r="BG69" s="1">
        <f t="shared" si="154"/>
        <v>0</v>
      </c>
      <c r="BH69" s="1">
        <f t="shared" si="154"/>
        <v>0</v>
      </c>
      <c r="BI69" s="1">
        <f t="shared" si="154"/>
        <v>0</v>
      </c>
      <c r="BJ69" s="1">
        <f t="shared" si="154"/>
        <v>0</v>
      </c>
      <c r="BK69" s="1">
        <f t="shared" si="154"/>
        <v>0</v>
      </c>
      <c r="BL69" s="1">
        <f t="shared" si="154"/>
        <v>0</v>
      </c>
    </row>
    <row r="70" spans="1:96" x14ac:dyDescent="0.25">
      <c r="A70" s="3" t="s">
        <v>3</v>
      </c>
      <c r="B70" s="1">
        <v>1</v>
      </c>
      <c r="C70" s="7">
        <v>0</v>
      </c>
      <c r="D70" s="1">
        <v>1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H70" s="3" t="s">
        <v>3</v>
      </c>
      <c r="AI70" s="1">
        <f t="shared" ref="AI70:AI98" si="155">0.4*B70</f>
        <v>0.4</v>
      </c>
      <c r="AJ70" s="1">
        <f t="shared" ref="AJ70:AJ98" si="156">0.4*C70</f>
        <v>0</v>
      </c>
      <c r="AK70" s="1">
        <f t="shared" ref="AK70:AK98" si="157">0.4*D70</f>
        <v>0.4</v>
      </c>
      <c r="AL70" s="1">
        <f t="shared" ref="AL70:AL98" si="158">0.4*E70</f>
        <v>0</v>
      </c>
      <c r="AM70" s="1">
        <f t="shared" ref="AM70:AM98" si="159">0.4*F70</f>
        <v>0</v>
      </c>
      <c r="AN70" s="1">
        <f t="shared" ref="AN70:AN98" si="160">0.4*G70</f>
        <v>0</v>
      </c>
      <c r="AO70" s="1">
        <f t="shared" ref="AO70:AO98" si="161">0.4*H70</f>
        <v>0.4</v>
      </c>
      <c r="AP70" s="1">
        <f t="shared" ref="AP70:AP98" si="162">0.4*I70</f>
        <v>0</v>
      </c>
      <c r="AQ70" s="1">
        <f t="shared" ref="AQ70:AQ98" si="163">0.4*J70</f>
        <v>0</v>
      </c>
      <c r="AR70" s="1">
        <f t="shared" ref="AR70:AR98" si="164">0.4*K70</f>
        <v>0.4</v>
      </c>
      <c r="AS70" s="1">
        <f t="shared" ref="AS70:AS98" si="165">0.4*L70</f>
        <v>0</v>
      </c>
      <c r="AT70" s="1">
        <f t="shared" ref="AT70:AT98" si="166">0.4*M70</f>
        <v>0</v>
      </c>
      <c r="AU70" s="1">
        <f t="shared" ref="AU70:AU98" si="167">0.4*N70</f>
        <v>0</v>
      </c>
      <c r="AV70" s="1">
        <f t="shared" ref="AV70:AV98" si="168">0.4*O70</f>
        <v>0.4</v>
      </c>
      <c r="AW70" s="1">
        <f t="shared" ref="AW70:AW98" si="169">0.4*P70</f>
        <v>0</v>
      </c>
      <c r="AX70" s="1">
        <f t="shared" ref="AX70:AX98" si="170">0.4*Q70</f>
        <v>0.4</v>
      </c>
      <c r="AY70" s="1">
        <f t="shared" ref="AY70:AY98" si="171">0.4*R70</f>
        <v>0</v>
      </c>
      <c r="AZ70" s="1">
        <f t="shared" ref="AZ70:AZ98" si="172">0.4*S70</f>
        <v>0</v>
      </c>
      <c r="BA70" s="1">
        <f t="shared" ref="BA70:BA98" si="173">0.4*T70</f>
        <v>0</v>
      </c>
      <c r="BB70" s="1">
        <f t="shared" ref="BB70:BB98" si="174">0.4*U70</f>
        <v>0</v>
      </c>
      <c r="BC70" s="1">
        <f t="shared" ref="BC70:BC98" si="175">0.4*V70</f>
        <v>0</v>
      </c>
      <c r="BD70" s="1">
        <f t="shared" ref="BD70:BD98" si="176">0.4*W70</f>
        <v>0</v>
      </c>
      <c r="BE70" s="1">
        <f t="shared" ref="BE70:BE98" si="177">0.4*X70</f>
        <v>0</v>
      </c>
      <c r="BF70" s="1">
        <f t="shared" ref="BF70:BF98" si="178">0.4*Y70</f>
        <v>0</v>
      </c>
      <c r="BG70" s="1">
        <f t="shared" ref="BG70:BG98" si="179">0.4*Z70</f>
        <v>0.4</v>
      </c>
      <c r="BH70" s="1">
        <f t="shared" ref="BH70:BH98" si="180">0.4*AA70</f>
        <v>0</v>
      </c>
      <c r="BI70" s="1">
        <f t="shared" ref="BI70:BI98" si="181">0.4*AB70</f>
        <v>0</v>
      </c>
      <c r="BJ70" s="1">
        <f t="shared" ref="BJ70:BJ98" si="182">0.4*AC70</f>
        <v>0</v>
      </c>
      <c r="BK70" s="1">
        <f t="shared" ref="BK70:BK98" si="183">0.4*AD70</f>
        <v>0</v>
      </c>
      <c r="BL70" s="1">
        <f t="shared" ref="BL70:BL98" si="184">0.4*AE70</f>
        <v>0</v>
      </c>
    </row>
    <row r="71" spans="1:96" x14ac:dyDescent="0.25">
      <c r="A71" s="3" t="s">
        <v>4</v>
      </c>
      <c r="B71" s="1">
        <v>1</v>
      </c>
      <c r="C71" s="1">
        <v>1</v>
      </c>
      <c r="D71" s="7">
        <v>0</v>
      </c>
      <c r="E71" s="1">
        <v>1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1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H71" s="3" t="s">
        <v>4</v>
      </c>
      <c r="AI71" s="1">
        <f t="shared" si="155"/>
        <v>0.4</v>
      </c>
      <c r="AJ71" s="1">
        <f t="shared" si="156"/>
        <v>0.4</v>
      </c>
      <c r="AK71" s="1">
        <f t="shared" si="157"/>
        <v>0</v>
      </c>
      <c r="AL71" s="1">
        <f t="shared" si="158"/>
        <v>0.4</v>
      </c>
      <c r="AM71" s="1">
        <f t="shared" si="159"/>
        <v>0</v>
      </c>
      <c r="AN71" s="1">
        <f t="shared" si="160"/>
        <v>0</v>
      </c>
      <c r="AO71" s="1">
        <f t="shared" si="161"/>
        <v>0</v>
      </c>
      <c r="AP71" s="1">
        <f t="shared" si="162"/>
        <v>0.4</v>
      </c>
      <c r="AQ71" s="1">
        <f t="shared" si="163"/>
        <v>0</v>
      </c>
      <c r="AR71" s="1">
        <f t="shared" si="164"/>
        <v>0</v>
      </c>
      <c r="AS71" s="1">
        <f t="shared" si="165"/>
        <v>0</v>
      </c>
      <c r="AT71" s="1">
        <f t="shared" si="166"/>
        <v>0.4</v>
      </c>
      <c r="AU71" s="1">
        <f t="shared" si="167"/>
        <v>0.4</v>
      </c>
      <c r="AV71" s="1">
        <f t="shared" si="168"/>
        <v>0</v>
      </c>
      <c r="AW71" s="1">
        <f t="shared" si="169"/>
        <v>0</v>
      </c>
      <c r="AX71" s="1">
        <f t="shared" si="170"/>
        <v>0</v>
      </c>
      <c r="AY71" s="1">
        <f t="shared" si="171"/>
        <v>0</v>
      </c>
      <c r="AZ71" s="1">
        <f t="shared" si="172"/>
        <v>0.4</v>
      </c>
      <c r="BA71" s="1">
        <f t="shared" si="173"/>
        <v>0</v>
      </c>
      <c r="BB71" s="1">
        <f t="shared" si="174"/>
        <v>0</v>
      </c>
      <c r="BC71" s="1">
        <f t="shared" si="175"/>
        <v>0</v>
      </c>
      <c r="BD71" s="1">
        <f t="shared" si="176"/>
        <v>0</v>
      </c>
      <c r="BE71" s="1">
        <f t="shared" si="177"/>
        <v>0.4</v>
      </c>
      <c r="BF71" s="1">
        <f t="shared" si="178"/>
        <v>0</v>
      </c>
      <c r="BG71" s="1">
        <f t="shared" si="179"/>
        <v>0</v>
      </c>
      <c r="BH71" s="1">
        <f t="shared" si="180"/>
        <v>0</v>
      </c>
      <c r="BI71" s="1">
        <f t="shared" si="181"/>
        <v>0</v>
      </c>
      <c r="BJ71" s="1">
        <f t="shared" si="182"/>
        <v>0</v>
      </c>
      <c r="BK71" s="1">
        <f t="shared" si="183"/>
        <v>0</v>
      </c>
      <c r="BL71" s="1">
        <f t="shared" si="184"/>
        <v>0</v>
      </c>
    </row>
    <row r="72" spans="1:96" x14ac:dyDescent="0.25">
      <c r="A72" s="3" t="s">
        <v>5</v>
      </c>
      <c r="B72" s="1">
        <v>1</v>
      </c>
      <c r="C72" s="1">
        <v>0</v>
      </c>
      <c r="D72" s="1">
        <v>1</v>
      </c>
      <c r="E72" s="7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1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H72" s="3" t="s">
        <v>5</v>
      </c>
      <c r="AI72" s="1">
        <f t="shared" si="155"/>
        <v>0.4</v>
      </c>
      <c r="AJ72" s="1">
        <f t="shared" si="156"/>
        <v>0</v>
      </c>
      <c r="AK72" s="1">
        <f t="shared" si="157"/>
        <v>0.4</v>
      </c>
      <c r="AL72" s="1">
        <f t="shared" si="158"/>
        <v>0</v>
      </c>
      <c r="AM72" s="1">
        <f t="shared" si="159"/>
        <v>0</v>
      </c>
      <c r="AN72" s="1">
        <f t="shared" si="160"/>
        <v>0</v>
      </c>
      <c r="AO72" s="1">
        <f t="shared" si="161"/>
        <v>0</v>
      </c>
      <c r="AP72" s="1">
        <f t="shared" si="162"/>
        <v>0</v>
      </c>
      <c r="AQ72" s="1">
        <f t="shared" si="163"/>
        <v>0</v>
      </c>
      <c r="AR72" s="1">
        <f t="shared" si="164"/>
        <v>0.4</v>
      </c>
      <c r="AS72" s="1">
        <f t="shared" si="165"/>
        <v>0.4</v>
      </c>
      <c r="AT72" s="1">
        <f t="shared" si="166"/>
        <v>0</v>
      </c>
      <c r="AU72" s="1">
        <f t="shared" si="167"/>
        <v>0.4</v>
      </c>
      <c r="AV72" s="1">
        <f t="shared" si="168"/>
        <v>0</v>
      </c>
      <c r="AW72" s="1">
        <f t="shared" si="169"/>
        <v>0</v>
      </c>
      <c r="AX72" s="1">
        <f t="shared" si="170"/>
        <v>0</v>
      </c>
      <c r="AY72" s="1">
        <f t="shared" si="171"/>
        <v>0.4</v>
      </c>
      <c r="AZ72" s="1">
        <f t="shared" si="172"/>
        <v>0</v>
      </c>
      <c r="BA72" s="1">
        <f t="shared" si="173"/>
        <v>0</v>
      </c>
      <c r="BB72" s="1">
        <f t="shared" si="174"/>
        <v>0</v>
      </c>
      <c r="BC72" s="1">
        <f t="shared" si="175"/>
        <v>0</v>
      </c>
      <c r="BD72" s="1">
        <f t="shared" si="176"/>
        <v>0</v>
      </c>
      <c r="BE72" s="1">
        <f t="shared" si="177"/>
        <v>0</v>
      </c>
      <c r="BF72" s="1">
        <f t="shared" si="178"/>
        <v>0</v>
      </c>
      <c r="BG72" s="1">
        <f t="shared" si="179"/>
        <v>0</v>
      </c>
      <c r="BH72" s="1">
        <f t="shared" si="180"/>
        <v>0</v>
      </c>
      <c r="BI72" s="1">
        <f t="shared" si="181"/>
        <v>0</v>
      </c>
      <c r="BJ72" s="1">
        <f t="shared" si="182"/>
        <v>0</v>
      </c>
      <c r="BK72" s="1">
        <f t="shared" si="183"/>
        <v>0</v>
      </c>
      <c r="BL72" s="1">
        <f t="shared" si="184"/>
        <v>0</v>
      </c>
    </row>
    <row r="73" spans="1:96" x14ac:dyDescent="0.25">
      <c r="A73" s="3" t="s">
        <v>6</v>
      </c>
      <c r="B73" s="1">
        <v>0</v>
      </c>
      <c r="C73" s="1">
        <v>0</v>
      </c>
      <c r="D73" s="1">
        <v>0</v>
      </c>
      <c r="E73" s="1">
        <v>0</v>
      </c>
      <c r="F73" s="7">
        <v>0</v>
      </c>
      <c r="G73" s="1">
        <v>1</v>
      </c>
      <c r="H73" s="1">
        <v>1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H73" s="3" t="s">
        <v>6</v>
      </c>
      <c r="AI73" s="1">
        <f t="shared" si="155"/>
        <v>0</v>
      </c>
      <c r="AJ73" s="1">
        <f t="shared" si="156"/>
        <v>0</v>
      </c>
      <c r="AK73" s="1">
        <f t="shared" si="157"/>
        <v>0</v>
      </c>
      <c r="AL73" s="1">
        <f t="shared" si="158"/>
        <v>0</v>
      </c>
      <c r="AM73" s="1">
        <f t="shared" si="159"/>
        <v>0</v>
      </c>
      <c r="AN73" s="1">
        <f t="shared" si="160"/>
        <v>0.4</v>
      </c>
      <c r="AO73" s="1">
        <f t="shared" si="161"/>
        <v>0.4</v>
      </c>
      <c r="AP73" s="1">
        <f t="shared" si="162"/>
        <v>0</v>
      </c>
      <c r="AQ73" s="1">
        <f t="shared" si="163"/>
        <v>0.4</v>
      </c>
      <c r="AR73" s="1">
        <f t="shared" si="164"/>
        <v>0</v>
      </c>
      <c r="AS73" s="1">
        <f t="shared" si="165"/>
        <v>0</v>
      </c>
      <c r="AT73" s="1">
        <f t="shared" si="166"/>
        <v>0</v>
      </c>
      <c r="AU73" s="1">
        <f t="shared" si="167"/>
        <v>0</v>
      </c>
      <c r="AV73" s="1">
        <f t="shared" si="168"/>
        <v>0</v>
      </c>
      <c r="AW73" s="1">
        <f t="shared" si="169"/>
        <v>0</v>
      </c>
      <c r="AX73" s="1">
        <f t="shared" si="170"/>
        <v>0</v>
      </c>
      <c r="AY73" s="1">
        <f t="shared" si="171"/>
        <v>0</v>
      </c>
      <c r="AZ73" s="1">
        <f t="shared" si="172"/>
        <v>0</v>
      </c>
      <c r="BA73" s="1">
        <f t="shared" si="173"/>
        <v>0</v>
      </c>
      <c r="BB73" s="1">
        <f t="shared" si="174"/>
        <v>0.4</v>
      </c>
      <c r="BC73" s="1">
        <f t="shared" si="175"/>
        <v>0.4</v>
      </c>
      <c r="BD73" s="1">
        <f t="shared" si="176"/>
        <v>0</v>
      </c>
      <c r="BE73" s="1">
        <f t="shared" si="177"/>
        <v>0</v>
      </c>
      <c r="BF73" s="1">
        <f t="shared" si="178"/>
        <v>0</v>
      </c>
      <c r="BG73" s="1">
        <f t="shared" si="179"/>
        <v>0</v>
      </c>
      <c r="BH73" s="1">
        <f t="shared" si="180"/>
        <v>0</v>
      </c>
      <c r="BI73" s="1">
        <f t="shared" si="181"/>
        <v>0</v>
      </c>
      <c r="BJ73" s="1">
        <f t="shared" si="182"/>
        <v>0</v>
      </c>
      <c r="BK73" s="1">
        <f t="shared" si="183"/>
        <v>0</v>
      </c>
      <c r="BL73" s="1">
        <f t="shared" si="184"/>
        <v>0</v>
      </c>
    </row>
    <row r="74" spans="1:96" x14ac:dyDescent="0.25">
      <c r="A74" s="3" t="s">
        <v>7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7">
        <v>0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H74" s="3" t="s">
        <v>7</v>
      </c>
      <c r="AI74" s="1">
        <f t="shared" si="155"/>
        <v>0</v>
      </c>
      <c r="AJ74" s="1">
        <f t="shared" si="156"/>
        <v>0</v>
      </c>
      <c r="AK74" s="1">
        <f t="shared" si="157"/>
        <v>0</v>
      </c>
      <c r="AL74" s="1">
        <f t="shared" si="158"/>
        <v>0</v>
      </c>
      <c r="AM74" s="1">
        <f t="shared" si="159"/>
        <v>0.4</v>
      </c>
      <c r="AN74" s="1">
        <f t="shared" si="160"/>
        <v>0</v>
      </c>
      <c r="AO74" s="1">
        <f t="shared" si="161"/>
        <v>0.4</v>
      </c>
      <c r="AP74" s="1">
        <f t="shared" si="162"/>
        <v>0</v>
      </c>
      <c r="AQ74" s="1">
        <f t="shared" si="163"/>
        <v>0</v>
      </c>
      <c r="AR74" s="1">
        <f t="shared" si="164"/>
        <v>0</v>
      </c>
      <c r="AS74" s="1">
        <f t="shared" si="165"/>
        <v>0</v>
      </c>
      <c r="AT74" s="1">
        <f t="shared" si="166"/>
        <v>0</v>
      </c>
      <c r="AU74" s="1">
        <f t="shared" si="167"/>
        <v>0</v>
      </c>
      <c r="AV74" s="1">
        <f t="shared" si="168"/>
        <v>0</v>
      </c>
      <c r="AW74" s="1">
        <f t="shared" si="169"/>
        <v>0</v>
      </c>
      <c r="AX74" s="1">
        <f t="shared" si="170"/>
        <v>0</v>
      </c>
      <c r="AY74" s="1">
        <f t="shared" si="171"/>
        <v>0</v>
      </c>
      <c r="AZ74" s="1">
        <f t="shared" si="172"/>
        <v>0</v>
      </c>
      <c r="BA74" s="1">
        <f t="shared" si="173"/>
        <v>0</v>
      </c>
      <c r="BB74" s="1">
        <f t="shared" si="174"/>
        <v>0</v>
      </c>
      <c r="BC74" s="1">
        <f t="shared" si="175"/>
        <v>0</v>
      </c>
      <c r="BD74" s="1">
        <f t="shared" si="176"/>
        <v>0</v>
      </c>
      <c r="BE74" s="1">
        <f t="shared" si="177"/>
        <v>0</v>
      </c>
      <c r="BF74" s="1">
        <f t="shared" si="178"/>
        <v>0</v>
      </c>
      <c r="BG74" s="1">
        <f t="shared" si="179"/>
        <v>0</v>
      </c>
      <c r="BH74" s="1">
        <f t="shared" si="180"/>
        <v>0</v>
      </c>
      <c r="BI74" s="1">
        <f t="shared" si="181"/>
        <v>0</v>
      </c>
      <c r="BJ74" s="1">
        <f t="shared" si="182"/>
        <v>0</v>
      </c>
      <c r="BK74" s="1">
        <f t="shared" si="183"/>
        <v>0</v>
      </c>
      <c r="BL74" s="1">
        <f t="shared" si="184"/>
        <v>0</v>
      </c>
    </row>
    <row r="75" spans="1:96" x14ac:dyDescent="0.25">
      <c r="A75" s="3" t="s">
        <v>8</v>
      </c>
      <c r="B75" s="1">
        <v>1</v>
      </c>
      <c r="C75" s="1">
        <v>1</v>
      </c>
      <c r="D75" s="1">
        <v>0</v>
      </c>
      <c r="E75" s="1">
        <v>0</v>
      </c>
      <c r="F75" s="1">
        <v>1</v>
      </c>
      <c r="G75" s="1">
        <v>1</v>
      </c>
      <c r="H75" s="7">
        <v>0</v>
      </c>
      <c r="I75" s="1">
        <v>1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  <c r="W75" s="1">
        <v>1</v>
      </c>
      <c r="X75" s="1">
        <v>0</v>
      </c>
      <c r="Y75" s="1">
        <v>0</v>
      </c>
      <c r="Z75" s="1">
        <v>1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H75" s="3" t="s">
        <v>8</v>
      </c>
      <c r="AI75" s="1">
        <f t="shared" si="155"/>
        <v>0.4</v>
      </c>
      <c r="AJ75" s="1">
        <f t="shared" si="156"/>
        <v>0.4</v>
      </c>
      <c r="AK75" s="1">
        <f t="shared" si="157"/>
        <v>0</v>
      </c>
      <c r="AL75" s="1">
        <f t="shared" si="158"/>
        <v>0</v>
      </c>
      <c r="AM75" s="1">
        <f t="shared" si="159"/>
        <v>0.4</v>
      </c>
      <c r="AN75" s="1">
        <f t="shared" si="160"/>
        <v>0.4</v>
      </c>
      <c r="AO75" s="1">
        <f t="shared" si="161"/>
        <v>0</v>
      </c>
      <c r="AP75" s="1">
        <f t="shared" si="162"/>
        <v>0.4</v>
      </c>
      <c r="AQ75" s="1">
        <f t="shared" si="163"/>
        <v>0.4</v>
      </c>
      <c r="AR75" s="1">
        <f t="shared" si="164"/>
        <v>0</v>
      </c>
      <c r="AS75" s="1">
        <f t="shared" si="165"/>
        <v>0</v>
      </c>
      <c r="AT75" s="1">
        <f t="shared" si="166"/>
        <v>0</v>
      </c>
      <c r="AU75" s="1">
        <f t="shared" si="167"/>
        <v>0</v>
      </c>
      <c r="AV75" s="1">
        <f t="shared" si="168"/>
        <v>0</v>
      </c>
      <c r="AW75" s="1">
        <f t="shared" si="169"/>
        <v>0</v>
      </c>
      <c r="AX75" s="1">
        <f t="shared" si="170"/>
        <v>0</v>
      </c>
      <c r="AY75" s="1">
        <f t="shared" si="171"/>
        <v>0</v>
      </c>
      <c r="AZ75" s="1">
        <f t="shared" si="172"/>
        <v>0</v>
      </c>
      <c r="BA75" s="1">
        <f t="shared" si="173"/>
        <v>0</v>
      </c>
      <c r="BB75" s="1">
        <f t="shared" si="174"/>
        <v>0</v>
      </c>
      <c r="BC75" s="1">
        <f t="shared" si="175"/>
        <v>0.4</v>
      </c>
      <c r="BD75" s="1">
        <f t="shared" si="176"/>
        <v>0.4</v>
      </c>
      <c r="BE75" s="1">
        <f t="shared" si="177"/>
        <v>0</v>
      </c>
      <c r="BF75" s="1">
        <f t="shared" si="178"/>
        <v>0</v>
      </c>
      <c r="BG75" s="1">
        <f t="shared" si="179"/>
        <v>0.4</v>
      </c>
      <c r="BH75" s="1">
        <f t="shared" si="180"/>
        <v>0</v>
      </c>
      <c r="BI75" s="1">
        <f t="shared" si="181"/>
        <v>0</v>
      </c>
      <c r="BJ75" s="1">
        <f t="shared" si="182"/>
        <v>0</v>
      </c>
      <c r="BK75" s="1">
        <f t="shared" si="183"/>
        <v>0</v>
      </c>
      <c r="BL75" s="1">
        <f t="shared" si="184"/>
        <v>0</v>
      </c>
    </row>
    <row r="76" spans="1:96" x14ac:dyDescent="0.25">
      <c r="A76" s="3" t="s">
        <v>9</v>
      </c>
      <c r="B76" s="1">
        <v>1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1</v>
      </c>
      <c r="I76" s="7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>
        <v>0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H76" s="3" t="s">
        <v>9</v>
      </c>
      <c r="AI76" s="1">
        <f t="shared" si="155"/>
        <v>0.4</v>
      </c>
      <c r="AJ76" s="1">
        <f t="shared" si="156"/>
        <v>0</v>
      </c>
      <c r="AK76" s="1">
        <f t="shared" si="157"/>
        <v>0.4</v>
      </c>
      <c r="AL76" s="1">
        <f t="shared" si="158"/>
        <v>0</v>
      </c>
      <c r="AM76" s="1">
        <f t="shared" si="159"/>
        <v>0</v>
      </c>
      <c r="AN76" s="1">
        <f t="shared" si="160"/>
        <v>0</v>
      </c>
      <c r="AO76" s="1">
        <f t="shared" si="161"/>
        <v>0.4</v>
      </c>
      <c r="AP76" s="1">
        <f t="shared" si="162"/>
        <v>0</v>
      </c>
      <c r="AQ76" s="1">
        <f t="shared" si="163"/>
        <v>0</v>
      </c>
      <c r="AR76" s="1">
        <f t="shared" si="164"/>
        <v>0</v>
      </c>
      <c r="AS76" s="1">
        <f t="shared" si="165"/>
        <v>0</v>
      </c>
      <c r="AT76" s="1">
        <f t="shared" si="166"/>
        <v>0</v>
      </c>
      <c r="AU76" s="1">
        <f t="shared" si="167"/>
        <v>0</v>
      </c>
      <c r="AV76" s="1">
        <f t="shared" si="168"/>
        <v>0</v>
      </c>
      <c r="AW76" s="1">
        <f t="shared" si="169"/>
        <v>0</v>
      </c>
      <c r="AX76" s="1">
        <f t="shared" si="170"/>
        <v>0</v>
      </c>
      <c r="AY76" s="1">
        <f t="shared" si="171"/>
        <v>0</v>
      </c>
      <c r="AZ76" s="1">
        <f t="shared" si="172"/>
        <v>0.4</v>
      </c>
      <c r="BA76" s="1">
        <f t="shared" si="173"/>
        <v>0</v>
      </c>
      <c r="BB76" s="1">
        <f t="shared" si="174"/>
        <v>0</v>
      </c>
      <c r="BC76" s="1">
        <f t="shared" si="175"/>
        <v>0</v>
      </c>
      <c r="BD76" s="1">
        <f t="shared" si="176"/>
        <v>0.4</v>
      </c>
      <c r="BE76" s="1">
        <f t="shared" si="177"/>
        <v>0</v>
      </c>
      <c r="BF76" s="1">
        <f t="shared" si="178"/>
        <v>0</v>
      </c>
      <c r="BG76" s="1">
        <f t="shared" si="179"/>
        <v>0</v>
      </c>
      <c r="BH76" s="1">
        <f t="shared" si="180"/>
        <v>0</v>
      </c>
      <c r="BI76" s="1">
        <f t="shared" si="181"/>
        <v>0</v>
      </c>
      <c r="BJ76" s="1">
        <f t="shared" si="182"/>
        <v>0</v>
      </c>
      <c r="BK76" s="1">
        <f t="shared" si="183"/>
        <v>0</v>
      </c>
      <c r="BL76" s="1">
        <f t="shared" si="184"/>
        <v>0</v>
      </c>
    </row>
    <row r="77" spans="1:96" x14ac:dyDescent="0.25">
      <c r="A77" s="3" t="s">
        <v>10</v>
      </c>
      <c r="B77" s="1">
        <v>0</v>
      </c>
      <c r="C77" s="1">
        <v>0</v>
      </c>
      <c r="D77" s="1">
        <v>0</v>
      </c>
      <c r="E77" s="8">
        <v>0</v>
      </c>
      <c r="F77" s="1">
        <v>1</v>
      </c>
      <c r="G77" s="1">
        <v>0</v>
      </c>
      <c r="H77" s="1">
        <v>1</v>
      </c>
      <c r="I77" s="1">
        <v>0</v>
      </c>
      <c r="J77" s="7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0</v>
      </c>
      <c r="W77" s="1">
        <v>0</v>
      </c>
      <c r="X77" s="1">
        <v>0</v>
      </c>
      <c r="Y77" s="1">
        <v>1</v>
      </c>
      <c r="Z77" s="1">
        <v>1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H77" s="3" t="s">
        <v>10</v>
      </c>
      <c r="AI77" s="1">
        <f t="shared" si="155"/>
        <v>0</v>
      </c>
      <c r="AJ77" s="1">
        <f t="shared" si="156"/>
        <v>0</v>
      </c>
      <c r="AK77" s="1">
        <f t="shared" si="157"/>
        <v>0</v>
      </c>
      <c r="AL77" s="1">
        <f t="shared" si="158"/>
        <v>0</v>
      </c>
      <c r="AM77" s="1">
        <f t="shared" si="159"/>
        <v>0.4</v>
      </c>
      <c r="AN77" s="1">
        <f t="shared" si="160"/>
        <v>0</v>
      </c>
      <c r="AO77" s="1">
        <f t="shared" si="161"/>
        <v>0.4</v>
      </c>
      <c r="AP77" s="1">
        <f t="shared" si="162"/>
        <v>0</v>
      </c>
      <c r="AQ77" s="1">
        <f t="shared" si="163"/>
        <v>0</v>
      </c>
      <c r="AR77" s="1">
        <f t="shared" si="164"/>
        <v>0</v>
      </c>
      <c r="AS77" s="1">
        <f t="shared" si="165"/>
        <v>0</v>
      </c>
      <c r="AT77" s="1">
        <f t="shared" si="166"/>
        <v>0</v>
      </c>
      <c r="AU77" s="1">
        <f t="shared" si="167"/>
        <v>0</v>
      </c>
      <c r="AV77" s="1">
        <f t="shared" si="168"/>
        <v>0</v>
      </c>
      <c r="AW77" s="1">
        <f t="shared" si="169"/>
        <v>0</v>
      </c>
      <c r="AX77" s="1">
        <f t="shared" si="170"/>
        <v>0</v>
      </c>
      <c r="AY77" s="1">
        <f t="shared" si="171"/>
        <v>0</v>
      </c>
      <c r="AZ77" s="1">
        <f t="shared" si="172"/>
        <v>0</v>
      </c>
      <c r="BA77" s="1">
        <f t="shared" si="173"/>
        <v>0</v>
      </c>
      <c r="BB77" s="1">
        <f t="shared" si="174"/>
        <v>0.4</v>
      </c>
      <c r="BC77" s="1">
        <f t="shared" si="175"/>
        <v>0</v>
      </c>
      <c r="BD77" s="1">
        <f t="shared" si="176"/>
        <v>0</v>
      </c>
      <c r="BE77" s="1">
        <f t="shared" si="177"/>
        <v>0</v>
      </c>
      <c r="BF77" s="1">
        <f t="shared" si="178"/>
        <v>0.4</v>
      </c>
      <c r="BG77" s="1">
        <f t="shared" si="179"/>
        <v>0.4</v>
      </c>
      <c r="BH77" s="1">
        <f t="shared" si="180"/>
        <v>0</v>
      </c>
      <c r="BI77" s="1">
        <f t="shared" si="181"/>
        <v>0</v>
      </c>
      <c r="BJ77" s="1">
        <f t="shared" si="182"/>
        <v>0</v>
      </c>
      <c r="BK77" s="1">
        <f t="shared" si="183"/>
        <v>0</v>
      </c>
      <c r="BL77" s="1">
        <f t="shared" si="184"/>
        <v>0</v>
      </c>
    </row>
    <row r="78" spans="1:96" x14ac:dyDescent="0.25">
      <c r="A78" s="3" t="s">
        <v>11</v>
      </c>
      <c r="B78" s="1">
        <v>1</v>
      </c>
      <c r="C78" s="1">
        <v>1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7">
        <v>0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H78" s="3" t="s">
        <v>11</v>
      </c>
      <c r="AI78" s="1">
        <f t="shared" si="155"/>
        <v>0.4</v>
      </c>
      <c r="AJ78" s="1">
        <f t="shared" si="156"/>
        <v>0.4</v>
      </c>
      <c r="AK78" s="1">
        <f t="shared" si="157"/>
        <v>0</v>
      </c>
      <c r="AL78" s="1">
        <f t="shared" si="158"/>
        <v>0.4</v>
      </c>
      <c r="AM78" s="1">
        <f t="shared" si="159"/>
        <v>0</v>
      </c>
      <c r="AN78" s="1">
        <f t="shared" si="160"/>
        <v>0</v>
      </c>
      <c r="AO78" s="1">
        <f t="shared" si="161"/>
        <v>0</v>
      </c>
      <c r="AP78" s="1">
        <f t="shared" si="162"/>
        <v>0</v>
      </c>
      <c r="AQ78" s="1">
        <f t="shared" si="163"/>
        <v>0</v>
      </c>
      <c r="AR78" s="1">
        <f t="shared" si="164"/>
        <v>0</v>
      </c>
      <c r="AS78" s="1">
        <f t="shared" si="165"/>
        <v>0.4</v>
      </c>
      <c r="AT78" s="1">
        <f t="shared" si="166"/>
        <v>0</v>
      </c>
      <c r="AU78" s="1">
        <f t="shared" si="167"/>
        <v>0</v>
      </c>
      <c r="AV78" s="1">
        <f t="shared" si="168"/>
        <v>0</v>
      </c>
      <c r="AW78" s="1">
        <f t="shared" si="169"/>
        <v>0</v>
      </c>
      <c r="AX78" s="1">
        <f t="shared" si="170"/>
        <v>0.4</v>
      </c>
      <c r="AY78" s="1">
        <f t="shared" si="171"/>
        <v>0</v>
      </c>
      <c r="AZ78" s="1">
        <f t="shared" si="172"/>
        <v>0</v>
      </c>
      <c r="BA78" s="1">
        <f t="shared" si="173"/>
        <v>0</v>
      </c>
      <c r="BB78" s="1">
        <f t="shared" si="174"/>
        <v>0</v>
      </c>
      <c r="BC78" s="1">
        <f t="shared" si="175"/>
        <v>0</v>
      </c>
      <c r="BD78" s="1">
        <f t="shared" si="176"/>
        <v>0</v>
      </c>
      <c r="BE78" s="1">
        <f t="shared" si="177"/>
        <v>0</v>
      </c>
      <c r="BF78" s="1">
        <f t="shared" si="178"/>
        <v>0</v>
      </c>
      <c r="BG78" s="1">
        <f t="shared" si="179"/>
        <v>0</v>
      </c>
      <c r="BH78" s="1">
        <f t="shared" si="180"/>
        <v>0</v>
      </c>
      <c r="BI78" s="1">
        <f t="shared" si="181"/>
        <v>0</v>
      </c>
      <c r="BJ78" s="1">
        <f t="shared" si="182"/>
        <v>0</v>
      </c>
      <c r="BK78" s="1">
        <f t="shared" si="183"/>
        <v>0</v>
      </c>
      <c r="BL78" s="1">
        <f t="shared" si="184"/>
        <v>0</v>
      </c>
    </row>
    <row r="79" spans="1:96" x14ac:dyDescent="0.25">
      <c r="A79" s="3" t="s">
        <v>12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7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H79" s="3" t="s">
        <v>12</v>
      </c>
      <c r="AI79" s="1">
        <f t="shared" si="155"/>
        <v>0</v>
      </c>
      <c r="AJ79" s="1">
        <f t="shared" si="156"/>
        <v>0</v>
      </c>
      <c r="AK79" s="1">
        <f t="shared" si="157"/>
        <v>0</v>
      </c>
      <c r="AL79" s="1">
        <f t="shared" si="158"/>
        <v>0.4</v>
      </c>
      <c r="AM79" s="1">
        <f t="shared" si="159"/>
        <v>0</v>
      </c>
      <c r="AN79" s="1">
        <f t="shared" si="160"/>
        <v>0</v>
      </c>
      <c r="AO79" s="1">
        <f t="shared" si="161"/>
        <v>0</v>
      </c>
      <c r="AP79" s="1">
        <f t="shared" si="162"/>
        <v>0</v>
      </c>
      <c r="AQ79" s="1">
        <f t="shared" si="163"/>
        <v>0</v>
      </c>
      <c r="AR79" s="1">
        <f t="shared" si="164"/>
        <v>0.4</v>
      </c>
      <c r="AS79" s="1">
        <f t="shared" si="165"/>
        <v>0</v>
      </c>
      <c r="AT79" s="1">
        <f t="shared" si="166"/>
        <v>0</v>
      </c>
      <c r="AU79" s="1">
        <f t="shared" si="167"/>
        <v>0</v>
      </c>
      <c r="AV79" s="1">
        <f t="shared" si="168"/>
        <v>0</v>
      </c>
      <c r="AW79" s="1">
        <f t="shared" si="169"/>
        <v>0</v>
      </c>
      <c r="AX79" s="1">
        <f t="shared" si="170"/>
        <v>0.4</v>
      </c>
      <c r="AY79" s="1">
        <f t="shared" si="171"/>
        <v>0.4</v>
      </c>
      <c r="AZ79" s="1">
        <f t="shared" si="172"/>
        <v>0</v>
      </c>
      <c r="BA79" s="1">
        <f t="shared" si="173"/>
        <v>0</v>
      </c>
      <c r="BB79" s="1">
        <f t="shared" si="174"/>
        <v>0</v>
      </c>
      <c r="BC79" s="1">
        <f t="shared" si="175"/>
        <v>0</v>
      </c>
      <c r="BD79" s="1">
        <f t="shared" si="176"/>
        <v>0</v>
      </c>
      <c r="BE79" s="1">
        <f t="shared" si="177"/>
        <v>0</v>
      </c>
      <c r="BF79" s="1">
        <f t="shared" si="178"/>
        <v>0</v>
      </c>
      <c r="BG79" s="1">
        <f t="shared" si="179"/>
        <v>0</v>
      </c>
      <c r="BH79" s="1">
        <f t="shared" si="180"/>
        <v>0</v>
      </c>
      <c r="BI79" s="1">
        <f t="shared" si="181"/>
        <v>0</v>
      </c>
      <c r="BJ79" s="1">
        <f t="shared" si="182"/>
        <v>0</v>
      </c>
      <c r="BK79" s="1">
        <f t="shared" si="183"/>
        <v>0</v>
      </c>
      <c r="BL79" s="1">
        <f t="shared" si="184"/>
        <v>0</v>
      </c>
    </row>
    <row r="80" spans="1:96" x14ac:dyDescent="0.25">
      <c r="A80" s="3" t="s">
        <v>13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7">
        <v>0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H80" s="3" t="s">
        <v>13</v>
      </c>
      <c r="AI80" s="1">
        <f t="shared" si="155"/>
        <v>0</v>
      </c>
      <c r="AJ80" s="1">
        <f t="shared" si="156"/>
        <v>0</v>
      </c>
      <c r="AK80" s="1">
        <f t="shared" si="157"/>
        <v>0.4</v>
      </c>
      <c r="AL80" s="1">
        <f t="shared" si="158"/>
        <v>0</v>
      </c>
      <c r="AM80" s="1">
        <f t="shared" si="159"/>
        <v>0</v>
      </c>
      <c r="AN80" s="1">
        <f t="shared" si="160"/>
        <v>0</v>
      </c>
      <c r="AO80" s="1">
        <f t="shared" si="161"/>
        <v>0</v>
      </c>
      <c r="AP80" s="1">
        <f t="shared" si="162"/>
        <v>0</v>
      </c>
      <c r="AQ80" s="1">
        <f t="shared" si="163"/>
        <v>0</v>
      </c>
      <c r="AR80" s="1">
        <f t="shared" si="164"/>
        <v>0</v>
      </c>
      <c r="AS80" s="1">
        <f t="shared" si="165"/>
        <v>0</v>
      </c>
      <c r="AT80" s="1">
        <f t="shared" si="166"/>
        <v>0</v>
      </c>
      <c r="AU80" s="1">
        <f t="shared" si="167"/>
        <v>0.4</v>
      </c>
      <c r="AV80" s="1">
        <f t="shared" si="168"/>
        <v>0</v>
      </c>
      <c r="AW80" s="1">
        <f t="shared" si="169"/>
        <v>0</v>
      </c>
      <c r="AX80" s="1">
        <f t="shared" si="170"/>
        <v>0</v>
      </c>
      <c r="AY80" s="1">
        <f t="shared" si="171"/>
        <v>0</v>
      </c>
      <c r="AZ80" s="1">
        <f t="shared" si="172"/>
        <v>0</v>
      </c>
      <c r="BA80" s="1">
        <f t="shared" si="173"/>
        <v>0</v>
      </c>
      <c r="BB80" s="1">
        <f t="shared" si="174"/>
        <v>0</v>
      </c>
      <c r="BC80" s="1">
        <f t="shared" si="175"/>
        <v>0</v>
      </c>
      <c r="BD80" s="1">
        <f t="shared" si="176"/>
        <v>0</v>
      </c>
      <c r="BE80" s="1">
        <f t="shared" si="177"/>
        <v>0.4</v>
      </c>
      <c r="BF80" s="1">
        <f t="shared" si="178"/>
        <v>0</v>
      </c>
      <c r="BG80" s="1">
        <f t="shared" si="179"/>
        <v>0</v>
      </c>
      <c r="BH80" s="1">
        <f t="shared" si="180"/>
        <v>0</v>
      </c>
      <c r="BI80" s="1">
        <f t="shared" si="181"/>
        <v>0</v>
      </c>
      <c r="BJ80" s="1">
        <f t="shared" si="182"/>
        <v>0</v>
      </c>
      <c r="BK80" s="1">
        <f t="shared" si="183"/>
        <v>0</v>
      </c>
      <c r="BL80" s="1">
        <f t="shared" si="184"/>
        <v>0</v>
      </c>
    </row>
    <row r="81" spans="1:64" x14ac:dyDescent="0.25">
      <c r="A81" s="3" t="s">
        <v>14</v>
      </c>
      <c r="B81" s="1">
        <v>0</v>
      </c>
      <c r="C81" s="1">
        <v>0</v>
      </c>
      <c r="D81" s="1">
        <v>1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7">
        <v>0</v>
      </c>
      <c r="O81" s="1">
        <v>0</v>
      </c>
      <c r="P81" s="1">
        <v>1</v>
      </c>
      <c r="Q81" s="1">
        <v>0</v>
      </c>
      <c r="R81" s="1">
        <v>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H81" s="3" t="s">
        <v>14</v>
      </c>
      <c r="AI81" s="1">
        <f t="shared" si="155"/>
        <v>0</v>
      </c>
      <c r="AJ81" s="1">
        <f t="shared" si="156"/>
        <v>0</v>
      </c>
      <c r="AK81" s="1">
        <f t="shared" si="157"/>
        <v>0.4</v>
      </c>
      <c r="AL81" s="1">
        <f t="shared" si="158"/>
        <v>0.4</v>
      </c>
      <c r="AM81" s="1">
        <f t="shared" si="159"/>
        <v>0</v>
      </c>
      <c r="AN81" s="1">
        <f t="shared" si="160"/>
        <v>0</v>
      </c>
      <c r="AO81" s="1">
        <f t="shared" si="161"/>
        <v>0</v>
      </c>
      <c r="AP81" s="1">
        <f t="shared" si="162"/>
        <v>0</v>
      </c>
      <c r="AQ81" s="1">
        <f t="shared" si="163"/>
        <v>0</v>
      </c>
      <c r="AR81" s="1">
        <f t="shared" si="164"/>
        <v>0</v>
      </c>
      <c r="AS81" s="1">
        <f t="shared" si="165"/>
        <v>0</v>
      </c>
      <c r="AT81" s="1">
        <f t="shared" si="166"/>
        <v>0.4</v>
      </c>
      <c r="AU81" s="1">
        <f t="shared" si="167"/>
        <v>0</v>
      </c>
      <c r="AV81" s="1">
        <f t="shared" si="168"/>
        <v>0</v>
      </c>
      <c r="AW81" s="1">
        <f t="shared" si="169"/>
        <v>0.4</v>
      </c>
      <c r="AX81" s="1">
        <f t="shared" si="170"/>
        <v>0</v>
      </c>
      <c r="AY81" s="1">
        <f t="shared" si="171"/>
        <v>0.4</v>
      </c>
      <c r="AZ81" s="1">
        <f t="shared" si="172"/>
        <v>0</v>
      </c>
      <c r="BA81" s="1">
        <f t="shared" si="173"/>
        <v>0</v>
      </c>
      <c r="BB81" s="1">
        <f t="shared" si="174"/>
        <v>0</v>
      </c>
      <c r="BC81" s="1">
        <f t="shared" si="175"/>
        <v>0</v>
      </c>
      <c r="BD81" s="1">
        <f t="shared" si="176"/>
        <v>0</v>
      </c>
      <c r="BE81" s="1">
        <f t="shared" si="177"/>
        <v>0</v>
      </c>
      <c r="BF81" s="1">
        <f t="shared" si="178"/>
        <v>0</v>
      </c>
      <c r="BG81" s="1">
        <f t="shared" si="179"/>
        <v>0</v>
      </c>
      <c r="BH81" s="1">
        <f t="shared" si="180"/>
        <v>0</v>
      </c>
      <c r="BI81" s="1">
        <f t="shared" si="181"/>
        <v>0</v>
      </c>
      <c r="BJ81" s="1">
        <f t="shared" si="182"/>
        <v>0</v>
      </c>
      <c r="BK81" s="1">
        <f t="shared" si="183"/>
        <v>0</v>
      </c>
      <c r="BL81" s="1">
        <f t="shared" si="184"/>
        <v>0</v>
      </c>
    </row>
    <row r="82" spans="1:64" x14ac:dyDescent="0.25">
      <c r="A82" s="3" t="s">
        <v>15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7">
        <v>0</v>
      </c>
      <c r="P82" s="1">
        <v>0</v>
      </c>
      <c r="Q82" s="1">
        <v>1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1</v>
      </c>
      <c r="AA82" s="1">
        <v>1</v>
      </c>
      <c r="AB82" s="1">
        <v>1</v>
      </c>
      <c r="AC82" s="1">
        <v>1</v>
      </c>
      <c r="AD82" s="1">
        <v>0</v>
      </c>
      <c r="AE82" s="1">
        <v>0</v>
      </c>
      <c r="AH82" s="3" t="s">
        <v>15</v>
      </c>
      <c r="AI82" s="1">
        <f t="shared" si="155"/>
        <v>0</v>
      </c>
      <c r="AJ82" s="1">
        <f t="shared" si="156"/>
        <v>0.4</v>
      </c>
      <c r="AK82" s="1">
        <f t="shared" si="157"/>
        <v>0</v>
      </c>
      <c r="AL82" s="1">
        <f t="shared" si="158"/>
        <v>0</v>
      </c>
      <c r="AM82" s="1">
        <f t="shared" si="159"/>
        <v>0</v>
      </c>
      <c r="AN82" s="1">
        <f t="shared" si="160"/>
        <v>0</v>
      </c>
      <c r="AO82" s="1">
        <f t="shared" si="161"/>
        <v>0</v>
      </c>
      <c r="AP82" s="1">
        <f t="shared" si="162"/>
        <v>0</v>
      </c>
      <c r="AQ82" s="1">
        <f t="shared" si="163"/>
        <v>0</v>
      </c>
      <c r="AR82" s="1">
        <f t="shared" si="164"/>
        <v>0</v>
      </c>
      <c r="AS82" s="1">
        <f t="shared" si="165"/>
        <v>0</v>
      </c>
      <c r="AT82" s="1">
        <f t="shared" si="166"/>
        <v>0</v>
      </c>
      <c r="AU82" s="1">
        <f t="shared" si="167"/>
        <v>0</v>
      </c>
      <c r="AV82" s="1">
        <f t="shared" si="168"/>
        <v>0</v>
      </c>
      <c r="AW82" s="1">
        <f t="shared" si="169"/>
        <v>0</v>
      </c>
      <c r="AX82" s="1">
        <f t="shared" si="170"/>
        <v>0.4</v>
      </c>
      <c r="AY82" s="1">
        <f t="shared" si="171"/>
        <v>0</v>
      </c>
      <c r="AZ82" s="1">
        <f t="shared" si="172"/>
        <v>0</v>
      </c>
      <c r="BA82" s="1">
        <f t="shared" si="173"/>
        <v>0</v>
      </c>
      <c r="BB82" s="1">
        <f t="shared" si="174"/>
        <v>0</v>
      </c>
      <c r="BC82" s="1">
        <f t="shared" si="175"/>
        <v>0</v>
      </c>
      <c r="BD82" s="1">
        <f t="shared" si="176"/>
        <v>0</v>
      </c>
      <c r="BE82" s="1">
        <f t="shared" si="177"/>
        <v>0</v>
      </c>
      <c r="BF82" s="1">
        <f t="shared" si="178"/>
        <v>0</v>
      </c>
      <c r="BG82" s="1">
        <f t="shared" si="179"/>
        <v>0.4</v>
      </c>
      <c r="BH82" s="1">
        <f t="shared" si="180"/>
        <v>0.4</v>
      </c>
      <c r="BI82" s="1">
        <f t="shared" si="181"/>
        <v>0.4</v>
      </c>
      <c r="BJ82" s="1">
        <f t="shared" si="182"/>
        <v>0.4</v>
      </c>
      <c r="BK82" s="1">
        <f t="shared" si="183"/>
        <v>0</v>
      </c>
      <c r="BL82" s="1">
        <f t="shared" si="184"/>
        <v>0</v>
      </c>
    </row>
    <row r="83" spans="1:64" x14ac:dyDescent="0.25">
      <c r="A83" s="3" t="s">
        <v>16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7">
        <v>0</v>
      </c>
      <c r="Q83" s="1">
        <v>0</v>
      </c>
      <c r="R83" s="1">
        <v>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1</v>
      </c>
      <c r="AH83" s="3" t="s">
        <v>16</v>
      </c>
      <c r="AI83" s="1">
        <f t="shared" si="155"/>
        <v>0</v>
      </c>
      <c r="AJ83" s="1">
        <f t="shared" si="156"/>
        <v>0</v>
      </c>
      <c r="AK83" s="1">
        <f t="shared" si="157"/>
        <v>0</v>
      </c>
      <c r="AL83" s="1">
        <f t="shared" si="158"/>
        <v>0</v>
      </c>
      <c r="AM83" s="1">
        <f t="shared" si="159"/>
        <v>0</v>
      </c>
      <c r="AN83" s="1">
        <f t="shared" si="160"/>
        <v>0</v>
      </c>
      <c r="AO83" s="1">
        <f t="shared" si="161"/>
        <v>0</v>
      </c>
      <c r="AP83" s="1">
        <f t="shared" si="162"/>
        <v>0</v>
      </c>
      <c r="AQ83" s="1">
        <f t="shared" si="163"/>
        <v>0</v>
      </c>
      <c r="AR83" s="1">
        <f t="shared" si="164"/>
        <v>0</v>
      </c>
      <c r="AS83" s="1">
        <f t="shared" si="165"/>
        <v>0</v>
      </c>
      <c r="AT83" s="1">
        <f t="shared" si="166"/>
        <v>0</v>
      </c>
      <c r="AU83" s="1">
        <f t="shared" si="167"/>
        <v>0.4</v>
      </c>
      <c r="AV83" s="1">
        <f t="shared" si="168"/>
        <v>0</v>
      </c>
      <c r="AW83" s="1">
        <f t="shared" si="169"/>
        <v>0</v>
      </c>
      <c r="AX83" s="1">
        <f t="shared" si="170"/>
        <v>0</v>
      </c>
      <c r="AY83" s="1">
        <f t="shared" si="171"/>
        <v>0.4</v>
      </c>
      <c r="AZ83" s="1">
        <f t="shared" si="172"/>
        <v>0</v>
      </c>
      <c r="BA83" s="1">
        <f t="shared" si="173"/>
        <v>0</v>
      </c>
      <c r="BB83" s="1">
        <f t="shared" si="174"/>
        <v>0</v>
      </c>
      <c r="BC83" s="1">
        <f t="shared" si="175"/>
        <v>0</v>
      </c>
      <c r="BD83" s="1">
        <f t="shared" si="176"/>
        <v>0</v>
      </c>
      <c r="BE83" s="1">
        <f t="shared" si="177"/>
        <v>0</v>
      </c>
      <c r="BF83" s="1">
        <f t="shared" si="178"/>
        <v>0</v>
      </c>
      <c r="BG83" s="1">
        <f t="shared" si="179"/>
        <v>0</v>
      </c>
      <c r="BH83" s="1">
        <f t="shared" si="180"/>
        <v>0</v>
      </c>
      <c r="BI83" s="1">
        <f t="shared" si="181"/>
        <v>0</v>
      </c>
      <c r="BJ83" s="1">
        <f t="shared" si="182"/>
        <v>0</v>
      </c>
      <c r="BK83" s="1">
        <f t="shared" si="183"/>
        <v>0</v>
      </c>
      <c r="BL83" s="1">
        <f t="shared" si="184"/>
        <v>0.4</v>
      </c>
    </row>
    <row r="84" spans="1:64" x14ac:dyDescent="0.25">
      <c r="A84" s="3" t="s">
        <v>17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1</v>
      </c>
      <c r="P84" s="1">
        <v>0</v>
      </c>
      <c r="Q84" s="7">
        <v>0</v>
      </c>
      <c r="R84" s="1">
        <v>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</v>
      </c>
      <c r="AC84" s="1">
        <v>0</v>
      </c>
      <c r="AD84" s="1">
        <v>0</v>
      </c>
      <c r="AE84" s="1">
        <v>1</v>
      </c>
      <c r="AH84" s="3" t="s">
        <v>17</v>
      </c>
      <c r="AI84" s="1">
        <f t="shared" si="155"/>
        <v>0</v>
      </c>
      <c r="AJ84" s="1">
        <f t="shared" si="156"/>
        <v>0.4</v>
      </c>
      <c r="AK84" s="1">
        <f t="shared" si="157"/>
        <v>0</v>
      </c>
      <c r="AL84" s="1">
        <f t="shared" si="158"/>
        <v>0</v>
      </c>
      <c r="AM84" s="1">
        <f t="shared" si="159"/>
        <v>0</v>
      </c>
      <c r="AN84" s="1">
        <f t="shared" si="160"/>
        <v>0</v>
      </c>
      <c r="AO84" s="1">
        <f t="shared" si="161"/>
        <v>0</v>
      </c>
      <c r="AP84" s="1">
        <f t="shared" si="162"/>
        <v>0</v>
      </c>
      <c r="AQ84" s="1">
        <f t="shared" si="163"/>
        <v>0</v>
      </c>
      <c r="AR84" s="1">
        <f t="shared" si="164"/>
        <v>0.4</v>
      </c>
      <c r="AS84" s="1">
        <f t="shared" si="165"/>
        <v>0.4</v>
      </c>
      <c r="AT84" s="1">
        <f t="shared" si="166"/>
        <v>0</v>
      </c>
      <c r="AU84" s="1">
        <f t="shared" si="167"/>
        <v>0</v>
      </c>
      <c r="AV84" s="1">
        <f t="shared" si="168"/>
        <v>0.4</v>
      </c>
      <c r="AW84" s="1">
        <f t="shared" si="169"/>
        <v>0</v>
      </c>
      <c r="AX84" s="1">
        <f t="shared" si="170"/>
        <v>0</v>
      </c>
      <c r="AY84" s="1">
        <f t="shared" si="171"/>
        <v>0.4</v>
      </c>
      <c r="AZ84" s="1">
        <f t="shared" si="172"/>
        <v>0</v>
      </c>
      <c r="BA84" s="1">
        <f t="shared" si="173"/>
        <v>0</v>
      </c>
      <c r="BB84" s="1">
        <f t="shared" si="174"/>
        <v>0</v>
      </c>
      <c r="BC84" s="1">
        <f t="shared" si="175"/>
        <v>0</v>
      </c>
      <c r="BD84" s="1">
        <f t="shared" si="176"/>
        <v>0</v>
      </c>
      <c r="BE84" s="1">
        <f t="shared" si="177"/>
        <v>0</v>
      </c>
      <c r="BF84" s="1">
        <f t="shared" si="178"/>
        <v>0</v>
      </c>
      <c r="BG84" s="1">
        <f t="shared" si="179"/>
        <v>0</v>
      </c>
      <c r="BH84" s="1">
        <f t="shared" si="180"/>
        <v>0</v>
      </c>
      <c r="BI84" s="1">
        <f t="shared" si="181"/>
        <v>0.4</v>
      </c>
      <c r="BJ84" s="1">
        <f t="shared" si="182"/>
        <v>0</v>
      </c>
      <c r="BK84" s="1">
        <f t="shared" si="183"/>
        <v>0</v>
      </c>
      <c r="BL84" s="1">
        <f t="shared" si="184"/>
        <v>0.4</v>
      </c>
    </row>
    <row r="85" spans="1:64" x14ac:dyDescent="0.25">
      <c r="A85" s="3" t="s">
        <v>18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1</v>
      </c>
      <c r="O85" s="1">
        <v>0</v>
      </c>
      <c r="P85" s="1">
        <v>1</v>
      </c>
      <c r="Q85" s="1">
        <v>1</v>
      </c>
      <c r="R85" s="7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1</v>
      </c>
      <c r="AH85" s="3" t="s">
        <v>18</v>
      </c>
      <c r="AI85" s="1">
        <f t="shared" si="155"/>
        <v>0</v>
      </c>
      <c r="AJ85" s="1">
        <f t="shared" si="156"/>
        <v>0</v>
      </c>
      <c r="AK85" s="1">
        <f t="shared" si="157"/>
        <v>0</v>
      </c>
      <c r="AL85" s="1">
        <f t="shared" si="158"/>
        <v>0.4</v>
      </c>
      <c r="AM85" s="1">
        <f t="shared" si="159"/>
        <v>0</v>
      </c>
      <c r="AN85" s="1">
        <f t="shared" si="160"/>
        <v>0</v>
      </c>
      <c r="AO85" s="1">
        <f t="shared" si="161"/>
        <v>0</v>
      </c>
      <c r="AP85" s="1">
        <f t="shared" si="162"/>
        <v>0</v>
      </c>
      <c r="AQ85" s="1">
        <f t="shared" si="163"/>
        <v>0</v>
      </c>
      <c r="AR85" s="1">
        <f t="shared" si="164"/>
        <v>0</v>
      </c>
      <c r="AS85" s="1">
        <f t="shared" si="165"/>
        <v>0.4</v>
      </c>
      <c r="AT85" s="1">
        <f t="shared" si="166"/>
        <v>0</v>
      </c>
      <c r="AU85" s="1">
        <f t="shared" si="167"/>
        <v>0.4</v>
      </c>
      <c r="AV85" s="1">
        <f t="shared" si="168"/>
        <v>0</v>
      </c>
      <c r="AW85" s="1">
        <f t="shared" si="169"/>
        <v>0.4</v>
      </c>
      <c r="AX85" s="1">
        <f t="shared" si="170"/>
        <v>0.4</v>
      </c>
      <c r="AY85" s="1">
        <f t="shared" si="171"/>
        <v>0</v>
      </c>
      <c r="AZ85" s="1">
        <f t="shared" si="172"/>
        <v>0</v>
      </c>
      <c r="BA85" s="1">
        <f t="shared" si="173"/>
        <v>0</v>
      </c>
      <c r="BB85" s="1">
        <f t="shared" si="174"/>
        <v>0</v>
      </c>
      <c r="BC85" s="1">
        <f t="shared" si="175"/>
        <v>0</v>
      </c>
      <c r="BD85" s="1">
        <f t="shared" si="176"/>
        <v>0</v>
      </c>
      <c r="BE85" s="1">
        <f t="shared" si="177"/>
        <v>0</v>
      </c>
      <c r="BF85" s="1">
        <f t="shared" si="178"/>
        <v>0</v>
      </c>
      <c r="BG85" s="1">
        <f t="shared" si="179"/>
        <v>0</v>
      </c>
      <c r="BH85" s="1">
        <f t="shared" si="180"/>
        <v>0</v>
      </c>
      <c r="BI85" s="1">
        <f t="shared" si="181"/>
        <v>0</v>
      </c>
      <c r="BJ85" s="1">
        <f t="shared" si="182"/>
        <v>0</v>
      </c>
      <c r="BK85" s="1">
        <f t="shared" si="183"/>
        <v>0</v>
      </c>
      <c r="BL85" s="1">
        <f t="shared" si="184"/>
        <v>0.4</v>
      </c>
    </row>
    <row r="86" spans="1:64" x14ac:dyDescent="0.25">
      <c r="A86" s="3" t="s">
        <v>19</v>
      </c>
      <c r="B86" s="1">
        <v>0</v>
      </c>
      <c r="C86" s="1">
        <v>0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7">
        <v>0</v>
      </c>
      <c r="T86" s="1">
        <v>0</v>
      </c>
      <c r="U86" s="1">
        <v>0</v>
      </c>
      <c r="V86" s="1">
        <v>0</v>
      </c>
      <c r="W86" s="1">
        <v>1</v>
      </c>
      <c r="X86" s="1">
        <v>1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H86" s="3" t="s">
        <v>19</v>
      </c>
      <c r="AI86" s="1">
        <f t="shared" si="155"/>
        <v>0</v>
      </c>
      <c r="AJ86" s="1">
        <f t="shared" si="156"/>
        <v>0</v>
      </c>
      <c r="AK86" s="1">
        <f t="shared" si="157"/>
        <v>0.4</v>
      </c>
      <c r="AL86" s="1">
        <f t="shared" si="158"/>
        <v>0</v>
      </c>
      <c r="AM86" s="1">
        <f t="shared" si="159"/>
        <v>0</v>
      </c>
      <c r="AN86" s="1">
        <f t="shared" si="160"/>
        <v>0</v>
      </c>
      <c r="AO86" s="1">
        <f t="shared" si="161"/>
        <v>0</v>
      </c>
      <c r="AP86" s="1">
        <f t="shared" si="162"/>
        <v>0.4</v>
      </c>
      <c r="AQ86" s="1">
        <f t="shared" si="163"/>
        <v>0</v>
      </c>
      <c r="AR86" s="1">
        <f t="shared" si="164"/>
        <v>0</v>
      </c>
      <c r="AS86" s="1">
        <f t="shared" si="165"/>
        <v>0</v>
      </c>
      <c r="AT86" s="1">
        <f t="shared" si="166"/>
        <v>0</v>
      </c>
      <c r="AU86" s="1">
        <f t="shared" si="167"/>
        <v>0</v>
      </c>
      <c r="AV86" s="1">
        <f t="shared" si="168"/>
        <v>0</v>
      </c>
      <c r="AW86" s="1">
        <f t="shared" si="169"/>
        <v>0</v>
      </c>
      <c r="AX86" s="1">
        <f t="shared" si="170"/>
        <v>0</v>
      </c>
      <c r="AY86" s="1">
        <f t="shared" si="171"/>
        <v>0</v>
      </c>
      <c r="AZ86" s="1">
        <f t="shared" si="172"/>
        <v>0</v>
      </c>
      <c r="BA86" s="1">
        <f t="shared" si="173"/>
        <v>0</v>
      </c>
      <c r="BB86" s="1">
        <f t="shared" si="174"/>
        <v>0</v>
      </c>
      <c r="BC86" s="1">
        <f t="shared" si="175"/>
        <v>0</v>
      </c>
      <c r="BD86" s="1">
        <f t="shared" si="176"/>
        <v>0.4</v>
      </c>
      <c r="BE86" s="1">
        <f t="shared" si="177"/>
        <v>0.4</v>
      </c>
      <c r="BF86" s="1">
        <f t="shared" si="178"/>
        <v>0</v>
      </c>
      <c r="BG86" s="1">
        <f t="shared" si="179"/>
        <v>0</v>
      </c>
      <c r="BH86" s="1">
        <f t="shared" si="180"/>
        <v>0</v>
      </c>
      <c r="BI86" s="1">
        <f t="shared" si="181"/>
        <v>0</v>
      </c>
      <c r="BJ86" s="1">
        <f t="shared" si="182"/>
        <v>0</v>
      </c>
      <c r="BK86" s="1">
        <f t="shared" si="183"/>
        <v>0</v>
      </c>
      <c r="BL86" s="1">
        <f t="shared" si="184"/>
        <v>0</v>
      </c>
    </row>
    <row r="87" spans="1:64" x14ac:dyDescent="0.25">
      <c r="A87" s="3" t="s">
        <v>20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7">
        <v>0</v>
      </c>
      <c r="U87" s="1">
        <v>1</v>
      </c>
      <c r="V87" s="1">
        <v>0</v>
      </c>
      <c r="W87" s="1">
        <v>0</v>
      </c>
      <c r="X87" s="1">
        <v>0</v>
      </c>
      <c r="Y87" s="1">
        <v>1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H87" s="3" t="s">
        <v>20</v>
      </c>
      <c r="AI87" s="1">
        <f t="shared" si="155"/>
        <v>0</v>
      </c>
      <c r="AJ87" s="1">
        <f t="shared" si="156"/>
        <v>0</v>
      </c>
      <c r="AK87" s="1">
        <f t="shared" si="157"/>
        <v>0</v>
      </c>
      <c r="AL87" s="1">
        <f t="shared" si="158"/>
        <v>0</v>
      </c>
      <c r="AM87" s="1">
        <f t="shared" si="159"/>
        <v>0</v>
      </c>
      <c r="AN87" s="1">
        <f t="shared" si="160"/>
        <v>0</v>
      </c>
      <c r="AO87" s="1">
        <f t="shared" si="161"/>
        <v>0</v>
      </c>
      <c r="AP87" s="1">
        <f t="shared" si="162"/>
        <v>0</v>
      </c>
      <c r="AQ87" s="1">
        <f t="shared" si="163"/>
        <v>0</v>
      </c>
      <c r="AR87" s="1">
        <f t="shared" si="164"/>
        <v>0</v>
      </c>
      <c r="AS87" s="1">
        <f t="shared" si="165"/>
        <v>0</v>
      </c>
      <c r="AT87" s="1">
        <f t="shared" si="166"/>
        <v>0</v>
      </c>
      <c r="AU87" s="1">
        <f t="shared" si="167"/>
        <v>0</v>
      </c>
      <c r="AV87" s="1">
        <f t="shared" si="168"/>
        <v>0</v>
      </c>
      <c r="AW87" s="1">
        <f t="shared" si="169"/>
        <v>0</v>
      </c>
      <c r="AX87" s="1">
        <f t="shared" si="170"/>
        <v>0</v>
      </c>
      <c r="AY87" s="1">
        <f t="shared" si="171"/>
        <v>0</v>
      </c>
      <c r="AZ87" s="1">
        <f t="shared" si="172"/>
        <v>0</v>
      </c>
      <c r="BA87" s="1">
        <f t="shared" si="173"/>
        <v>0</v>
      </c>
      <c r="BB87" s="1">
        <f t="shared" si="174"/>
        <v>0.4</v>
      </c>
      <c r="BC87" s="1">
        <f t="shared" si="175"/>
        <v>0</v>
      </c>
      <c r="BD87" s="1">
        <f t="shared" si="176"/>
        <v>0</v>
      </c>
      <c r="BE87" s="1">
        <f t="shared" si="177"/>
        <v>0</v>
      </c>
      <c r="BF87" s="1">
        <f t="shared" si="178"/>
        <v>0.4</v>
      </c>
      <c r="BG87" s="1">
        <f t="shared" si="179"/>
        <v>0</v>
      </c>
      <c r="BH87" s="1">
        <f t="shared" si="180"/>
        <v>0</v>
      </c>
      <c r="BI87" s="1">
        <f t="shared" si="181"/>
        <v>0</v>
      </c>
      <c r="BJ87" s="1">
        <f t="shared" si="182"/>
        <v>0</v>
      </c>
      <c r="BK87" s="1">
        <f t="shared" si="183"/>
        <v>0</v>
      </c>
      <c r="BL87" s="1">
        <f t="shared" si="184"/>
        <v>0</v>
      </c>
    </row>
    <row r="88" spans="1:64" x14ac:dyDescent="0.25">
      <c r="A88" s="3" t="s">
        <v>21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0</v>
      </c>
      <c r="I88" s="1">
        <v>0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7">
        <v>0</v>
      </c>
      <c r="V88" s="1">
        <v>1</v>
      </c>
      <c r="W88" s="1">
        <v>0</v>
      </c>
      <c r="X88" s="1">
        <v>0</v>
      </c>
      <c r="Y88" s="1">
        <v>1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H88" s="3" t="s">
        <v>21</v>
      </c>
      <c r="AI88" s="1">
        <f t="shared" si="155"/>
        <v>0</v>
      </c>
      <c r="AJ88" s="1">
        <f t="shared" si="156"/>
        <v>0</v>
      </c>
      <c r="AK88" s="1">
        <f t="shared" si="157"/>
        <v>0</v>
      </c>
      <c r="AL88" s="1">
        <f t="shared" si="158"/>
        <v>0</v>
      </c>
      <c r="AM88" s="1">
        <f t="shared" si="159"/>
        <v>0.4</v>
      </c>
      <c r="AN88" s="1">
        <f t="shared" si="160"/>
        <v>0</v>
      </c>
      <c r="AO88" s="1">
        <f t="shared" si="161"/>
        <v>0</v>
      </c>
      <c r="AP88" s="1">
        <f t="shared" si="162"/>
        <v>0</v>
      </c>
      <c r="AQ88" s="1">
        <f t="shared" si="163"/>
        <v>0.4</v>
      </c>
      <c r="AR88" s="1">
        <f t="shared" si="164"/>
        <v>0</v>
      </c>
      <c r="AS88" s="1">
        <f t="shared" si="165"/>
        <v>0</v>
      </c>
      <c r="AT88" s="1">
        <f t="shared" si="166"/>
        <v>0</v>
      </c>
      <c r="AU88" s="1">
        <f t="shared" si="167"/>
        <v>0</v>
      </c>
      <c r="AV88" s="1">
        <f t="shared" si="168"/>
        <v>0</v>
      </c>
      <c r="AW88" s="1">
        <f t="shared" si="169"/>
        <v>0</v>
      </c>
      <c r="AX88" s="1">
        <f t="shared" si="170"/>
        <v>0</v>
      </c>
      <c r="AY88" s="1">
        <f t="shared" si="171"/>
        <v>0</v>
      </c>
      <c r="AZ88" s="1">
        <f t="shared" si="172"/>
        <v>0</v>
      </c>
      <c r="BA88" s="1">
        <f t="shared" si="173"/>
        <v>0.4</v>
      </c>
      <c r="BB88" s="1">
        <f t="shared" si="174"/>
        <v>0</v>
      </c>
      <c r="BC88" s="1">
        <f t="shared" si="175"/>
        <v>0.4</v>
      </c>
      <c r="BD88" s="1">
        <f t="shared" si="176"/>
        <v>0</v>
      </c>
      <c r="BE88" s="1">
        <f t="shared" si="177"/>
        <v>0</v>
      </c>
      <c r="BF88" s="1">
        <f t="shared" si="178"/>
        <v>0.4</v>
      </c>
      <c r="BG88" s="1">
        <f t="shared" si="179"/>
        <v>0</v>
      </c>
      <c r="BH88" s="1">
        <f t="shared" si="180"/>
        <v>0</v>
      </c>
      <c r="BI88" s="1">
        <f t="shared" si="181"/>
        <v>0</v>
      </c>
      <c r="BJ88" s="1">
        <f t="shared" si="182"/>
        <v>0</v>
      </c>
      <c r="BK88" s="1">
        <f t="shared" si="183"/>
        <v>0</v>
      </c>
      <c r="BL88" s="1">
        <f t="shared" si="184"/>
        <v>0</v>
      </c>
    </row>
    <row r="89" spans="1:64" x14ac:dyDescent="0.25">
      <c r="A89" s="3" t="s">
        <v>22</v>
      </c>
      <c r="B89" s="1">
        <v>0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7">
        <v>0</v>
      </c>
      <c r="W89" s="1">
        <v>1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H89" s="3" t="s">
        <v>22</v>
      </c>
      <c r="AI89" s="1">
        <f t="shared" si="155"/>
        <v>0</v>
      </c>
      <c r="AJ89" s="1">
        <f t="shared" si="156"/>
        <v>0</v>
      </c>
      <c r="AK89" s="1">
        <f t="shared" si="157"/>
        <v>0</v>
      </c>
      <c r="AL89" s="1">
        <f t="shared" si="158"/>
        <v>0</v>
      </c>
      <c r="AM89" s="1">
        <f t="shared" si="159"/>
        <v>0.4</v>
      </c>
      <c r="AN89" s="1">
        <f t="shared" si="160"/>
        <v>0</v>
      </c>
      <c r="AO89" s="1">
        <f t="shared" si="161"/>
        <v>0.4</v>
      </c>
      <c r="AP89" s="1">
        <f t="shared" si="162"/>
        <v>0</v>
      </c>
      <c r="AQ89" s="1">
        <f t="shared" si="163"/>
        <v>0</v>
      </c>
      <c r="AR89" s="1">
        <f t="shared" si="164"/>
        <v>0</v>
      </c>
      <c r="AS89" s="1">
        <f t="shared" si="165"/>
        <v>0</v>
      </c>
      <c r="AT89" s="1">
        <f t="shared" si="166"/>
        <v>0</v>
      </c>
      <c r="AU89" s="1">
        <f t="shared" si="167"/>
        <v>0</v>
      </c>
      <c r="AV89" s="1">
        <f t="shared" si="168"/>
        <v>0</v>
      </c>
      <c r="AW89" s="1">
        <f t="shared" si="169"/>
        <v>0</v>
      </c>
      <c r="AX89" s="1">
        <f t="shared" si="170"/>
        <v>0</v>
      </c>
      <c r="AY89" s="1">
        <f t="shared" si="171"/>
        <v>0</v>
      </c>
      <c r="AZ89" s="1">
        <f t="shared" si="172"/>
        <v>0</v>
      </c>
      <c r="BA89" s="1">
        <f t="shared" si="173"/>
        <v>0</v>
      </c>
      <c r="BB89" s="1">
        <f t="shared" si="174"/>
        <v>0.4</v>
      </c>
      <c r="BC89" s="1">
        <f t="shared" si="175"/>
        <v>0</v>
      </c>
      <c r="BD89" s="1">
        <f t="shared" si="176"/>
        <v>0.4</v>
      </c>
      <c r="BE89" s="1">
        <f t="shared" si="177"/>
        <v>0</v>
      </c>
      <c r="BF89" s="1">
        <f t="shared" si="178"/>
        <v>0</v>
      </c>
      <c r="BG89" s="1">
        <f t="shared" si="179"/>
        <v>0</v>
      </c>
      <c r="BH89" s="1">
        <f t="shared" si="180"/>
        <v>0</v>
      </c>
      <c r="BI89" s="1">
        <f t="shared" si="181"/>
        <v>0</v>
      </c>
      <c r="BJ89" s="1">
        <f t="shared" si="182"/>
        <v>0</v>
      </c>
      <c r="BK89" s="1">
        <f t="shared" si="183"/>
        <v>0</v>
      </c>
      <c r="BL89" s="1">
        <f t="shared" si="184"/>
        <v>0</v>
      </c>
    </row>
    <row r="90" spans="1:64" x14ac:dyDescent="0.25">
      <c r="A90" s="3" t="s">
        <v>23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</v>
      </c>
      <c r="T90" s="1">
        <v>0</v>
      </c>
      <c r="U90" s="1">
        <v>0</v>
      </c>
      <c r="V90" s="1">
        <v>1</v>
      </c>
      <c r="W90" s="7">
        <v>0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H90" s="3" t="s">
        <v>23</v>
      </c>
      <c r="AI90" s="1">
        <f t="shared" si="155"/>
        <v>0</v>
      </c>
      <c r="AJ90" s="1">
        <f t="shared" si="156"/>
        <v>0</v>
      </c>
      <c r="AK90" s="1">
        <f t="shared" si="157"/>
        <v>0</v>
      </c>
      <c r="AL90" s="1">
        <f t="shared" si="158"/>
        <v>0</v>
      </c>
      <c r="AM90" s="1">
        <f t="shared" si="159"/>
        <v>0</v>
      </c>
      <c r="AN90" s="1">
        <f t="shared" si="160"/>
        <v>0</v>
      </c>
      <c r="AO90" s="1">
        <f t="shared" si="161"/>
        <v>0.4</v>
      </c>
      <c r="AP90" s="1">
        <f t="shared" si="162"/>
        <v>0.4</v>
      </c>
      <c r="AQ90" s="1">
        <f t="shared" si="163"/>
        <v>0</v>
      </c>
      <c r="AR90" s="1">
        <f t="shared" si="164"/>
        <v>0</v>
      </c>
      <c r="AS90" s="1">
        <f t="shared" si="165"/>
        <v>0</v>
      </c>
      <c r="AT90" s="1">
        <f t="shared" si="166"/>
        <v>0</v>
      </c>
      <c r="AU90" s="1">
        <f t="shared" si="167"/>
        <v>0</v>
      </c>
      <c r="AV90" s="1">
        <f t="shared" si="168"/>
        <v>0</v>
      </c>
      <c r="AW90" s="1">
        <f t="shared" si="169"/>
        <v>0</v>
      </c>
      <c r="AX90" s="1">
        <f t="shared" si="170"/>
        <v>0</v>
      </c>
      <c r="AY90" s="1">
        <f t="shared" si="171"/>
        <v>0</v>
      </c>
      <c r="AZ90" s="1">
        <f t="shared" si="172"/>
        <v>0.4</v>
      </c>
      <c r="BA90" s="1">
        <f t="shared" si="173"/>
        <v>0</v>
      </c>
      <c r="BB90" s="1">
        <f t="shared" si="174"/>
        <v>0</v>
      </c>
      <c r="BC90" s="1">
        <f t="shared" si="175"/>
        <v>0.4</v>
      </c>
      <c r="BD90" s="1">
        <f t="shared" si="176"/>
        <v>0</v>
      </c>
      <c r="BE90" s="1">
        <f t="shared" si="177"/>
        <v>0.4</v>
      </c>
      <c r="BF90" s="1">
        <f t="shared" si="178"/>
        <v>0</v>
      </c>
      <c r="BG90" s="1">
        <f t="shared" si="179"/>
        <v>0</v>
      </c>
      <c r="BH90" s="1">
        <f t="shared" si="180"/>
        <v>0</v>
      </c>
      <c r="BI90" s="1">
        <f t="shared" si="181"/>
        <v>0</v>
      </c>
      <c r="BJ90" s="1">
        <f t="shared" si="182"/>
        <v>0</v>
      </c>
      <c r="BK90" s="1">
        <f t="shared" si="183"/>
        <v>0</v>
      </c>
      <c r="BL90" s="1">
        <f t="shared" si="184"/>
        <v>0</v>
      </c>
    </row>
    <row r="91" spans="1:64" x14ac:dyDescent="0.25">
      <c r="A91" s="3" t="s">
        <v>24</v>
      </c>
      <c r="B91" s="1">
        <v>0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>
        <v>0</v>
      </c>
      <c r="W91" s="1">
        <v>1</v>
      </c>
      <c r="X91" s="7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H91" s="3" t="s">
        <v>24</v>
      </c>
      <c r="AI91" s="1">
        <f t="shared" si="155"/>
        <v>0</v>
      </c>
      <c r="AJ91" s="1">
        <f t="shared" si="156"/>
        <v>0</v>
      </c>
      <c r="AK91" s="1">
        <f t="shared" si="157"/>
        <v>0.4</v>
      </c>
      <c r="AL91" s="1">
        <f t="shared" si="158"/>
        <v>0</v>
      </c>
      <c r="AM91" s="1">
        <f t="shared" si="159"/>
        <v>0</v>
      </c>
      <c r="AN91" s="1">
        <f t="shared" si="160"/>
        <v>0</v>
      </c>
      <c r="AO91" s="1">
        <f t="shared" si="161"/>
        <v>0</v>
      </c>
      <c r="AP91" s="1">
        <f t="shared" si="162"/>
        <v>0</v>
      </c>
      <c r="AQ91" s="1">
        <f t="shared" si="163"/>
        <v>0</v>
      </c>
      <c r="AR91" s="1">
        <f t="shared" si="164"/>
        <v>0</v>
      </c>
      <c r="AS91" s="1">
        <f t="shared" si="165"/>
        <v>0</v>
      </c>
      <c r="AT91" s="1">
        <f t="shared" si="166"/>
        <v>0.4</v>
      </c>
      <c r="AU91" s="1">
        <f t="shared" si="167"/>
        <v>0</v>
      </c>
      <c r="AV91" s="1">
        <f t="shared" si="168"/>
        <v>0</v>
      </c>
      <c r="AW91" s="1">
        <f t="shared" si="169"/>
        <v>0</v>
      </c>
      <c r="AX91" s="1">
        <f t="shared" si="170"/>
        <v>0</v>
      </c>
      <c r="AY91" s="1">
        <f t="shared" si="171"/>
        <v>0</v>
      </c>
      <c r="AZ91" s="1">
        <f t="shared" si="172"/>
        <v>0.4</v>
      </c>
      <c r="BA91" s="1">
        <f t="shared" si="173"/>
        <v>0</v>
      </c>
      <c r="BB91" s="1">
        <f t="shared" si="174"/>
        <v>0</v>
      </c>
      <c r="BC91" s="1">
        <f t="shared" si="175"/>
        <v>0</v>
      </c>
      <c r="BD91" s="1">
        <f t="shared" si="176"/>
        <v>0.4</v>
      </c>
      <c r="BE91" s="1">
        <f t="shared" si="177"/>
        <v>0</v>
      </c>
      <c r="BF91" s="1">
        <f t="shared" si="178"/>
        <v>0</v>
      </c>
      <c r="BG91" s="1">
        <f t="shared" si="179"/>
        <v>0</v>
      </c>
      <c r="BH91" s="1">
        <f t="shared" si="180"/>
        <v>0</v>
      </c>
      <c r="BI91" s="1">
        <f t="shared" si="181"/>
        <v>0</v>
      </c>
      <c r="BJ91" s="1">
        <f t="shared" si="182"/>
        <v>0</v>
      </c>
      <c r="BK91" s="1">
        <f t="shared" si="183"/>
        <v>0</v>
      </c>
      <c r="BL91" s="1">
        <f t="shared" si="184"/>
        <v>0</v>
      </c>
    </row>
    <row r="92" spans="1:64" x14ac:dyDescent="0.25">
      <c r="A92" s="3" t="s">
        <v>25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</v>
      </c>
      <c r="U92" s="1">
        <v>1</v>
      </c>
      <c r="V92" s="1">
        <v>0</v>
      </c>
      <c r="W92" s="1">
        <v>0</v>
      </c>
      <c r="X92" s="1">
        <v>0</v>
      </c>
      <c r="Y92" s="7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H92" s="3" t="s">
        <v>25</v>
      </c>
      <c r="AI92" s="1">
        <f t="shared" si="155"/>
        <v>0</v>
      </c>
      <c r="AJ92" s="1">
        <f t="shared" si="156"/>
        <v>0</v>
      </c>
      <c r="AK92" s="1">
        <f t="shared" si="157"/>
        <v>0</v>
      </c>
      <c r="AL92" s="1">
        <f t="shared" si="158"/>
        <v>0</v>
      </c>
      <c r="AM92" s="1">
        <f t="shared" si="159"/>
        <v>0</v>
      </c>
      <c r="AN92" s="1">
        <f t="shared" si="160"/>
        <v>0</v>
      </c>
      <c r="AO92" s="1">
        <f t="shared" si="161"/>
        <v>0</v>
      </c>
      <c r="AP92" s="1">
        <f t="shared" si="162"/>
        <v>0</v>
      </c>
      <c r="AQ92" s="1">
        <f t="shared" si="163"/>
        <v>0.4</v>
      </c>
      <c r="AR92" s="1">
        <f t="shared" si="164"/>
        <v>0</v>
      </c>
      <c r="AS92" s="1">
        <f t="shared" si="165"/>
        <v>0</v>
      </c>
      <c r="AT92" s="1">
        <f t="shared" si="166"/>
        <v>0</v>
      </c>
      <c r="AU92" s="1">
        <f t="shared" si="167"/>
        <v>0</v>
      </c>
      <c r="AV92" s="1">
        <f t="shared" si="168"/>
        <v>0</v>
      </c>
      <c r="AW92" s="1">
        <f t="shared" si="169"/>
        <v>0</v>
      </c>
      <c r="AX92" s="1">
        <f t="shared" si="170"/>
        <v>0</v>
      </c>
      <c r="AY92" s="1">
        <f t="shared" si="171"/>
        <v>0</v>
      </c>
      <c r="AZ92" s="1">
        <f t="shared" si="172"/>
        <v>0</v>
      </c>
      <c r="BA92" s="1">
        <f t="shared" si="173"/>
        <v>0.4</v>
      </c>
      <c r="BB92" s="1">
        <f t="shared" si="174"/>
        <v>0.4</v>
      </c>
      <c r="BC92" s="1">
        <f t="shared" si="175"/>
        <v>0</v>
      </c>
      <c r="BD92" s="1">
        <f t="shared" si="176"/>
        <v>0</v>
      </c>
      <c r="BE92" s="1">
        <f t="shared" si="177"/>
        <v>0</v>
      </c>
      <c r="BF92" s="1">
        <f t="shared" si="178"/>
        <v>0</v>
      </c>
      <c r="BG92" s="1">
        <f t="shared" si="179"/>
        <v>0</v>
      </c>
      <c r="BH92" s="1">
        <f t="shared" si="180"/>
        <v>0</v>
      </c>
      <c r="BI92" s="1">
        <f t="shared" si="181"/>
        <v>0</v>
      </c>
      <c r="BJ92" s="1">
        <f t="shared" si="182"/>
        <v>0</v>
      </c>
      <c r="BK92" s="1">
        <f t="shared" si="183"/>
        <v>0</v>
      </c>
      <c r="BL92" s="1">
        <f t="shared" si="184"/>
        <v>0</v>
      </c>
    </row>
    <row r="93" spans="1:64" x14ac:dyDescent="0.25">
      <c r="A93" s="3" t="s">
        <v>26</v>
      </c>
      <c r="B93" s="1">
        <v>0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0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7">
        <v>0</v>
      </c>
      <c r="AA93" s="1">
        <v>0</v>
      </c>
      <c r="AB93" s="1">
        <v>0</v>
      </c>
      <c r="AC93" s="1">
        <v>1</v>
      </c>
      <c r="AD93" s="1">
        <v>0</v>
      </c>
      <c r="AE93" s="1">
        <v>0</v>
      </c>
      <c r="AH93" s="3" t="s">
        <v>26</v>
      </c>
      <c r="AI93" s="1">
        <f t="shared" si="155"/>
        <v>0</v>
      </c>
      <c r="AJ93" s="1">
        <f t="shared" si="156"/>
        <v>0.4</v>
      </c>
      <c r="AK93" s="1">
        <f t="shared" si="157"/>
        <v>0</v>
      </c>
      <c r="AL93" s="1">
        <f t="shared" si="158"/>
        <v>0</v>
      </c>
      <c r="AM93" s="1">
        <f t="shared" si="159"/>
        <v>0</v>
      </c>
      <c r="AN93" s="1">
        <f t="shared" si="160"/>
        <v>0</v>
      </c>
      <c r="AO93" s="1">
        <f t="shared" si="161"/>
        <v>0.4</v>
      </c>
      <c r="AP93" s="1">
        <f t="shared" si="162"/>
        <v>0</v>
      </c>
      <c r="AQ93" s="1">
        <f t="shared" si="163"/>
        <v>0.4</v>
      </c>
      <c r="AR93" s="1">
        <f t="shared" si="164"/>
        <v>0</v>
      </c>
      <c r="AS93" s="1">
        <f t="shared" si="165"/>
        <v>0</v>
      </c>
      <c r="AT93" s="1">
        <f t="shared" si="166"/>
        <v>0</v>
      </c>
      <c r="AU93" s="1">
        <f t="shared" si="167"/>
        <v>0</v>
      </c>
      <c r="AV93" s="1">
        <f t="shared" si="168"/>
        <v>0.4</v>
      </c>
      <c r="AW93" s="1">
        <f t="shared" si="169"/>
        <v>0</v>
      </c>
      <c r="AX93" s="1">
        <f t="shared" si="170"/>
        <v>0</v>
      </c>
      <c r="AY93" s="1">
        <f t="shared" si="171"/>
        <v>0</v>
      </c>
      <c r="AZ93" s="1">
        <f t="shared" si="172"/>
        <v>0</v>
      </c>
      <c r="BA93" s="1">
        <f t="shared" si="173"/>
        <v>0</v>
      </c>
      <c r="BB93" s="1">
        <f t="shared" si="174"/>
        <v>0</v>
      </c>
      <c r="BC93" s="1">
        <f t="shared" si="175"/>
        <v>0</v>
      </c>
      <c r="BD93" s="1">
        <f t="shared" si="176"/>
        <v>0</v>
      </c>
      <c r="BE93" s="1">
        <f t="shared" si="177"/>
        <v>0</v>
      </c>
      <c r="BF93" s="1">
        <f t="shared" si="178"/>
        <v>0</v>
      </c>
      <c r="BG93" s="1">
        <f t="shared" si="179"/>
        <v>0</v>
      </c>
      <c r="BH93" s="1">
        <f t="shared" si="180"/>
        <v>0</v>
      </c>
      <c r="BI93" s="1">
        <f t="shared" si="181"/>
        <v>0</v>
      </c>
      <c r="BJ93" s="1">
        <f t="shared" si="182"/>
        <v>0.4</v>
      </c>
      <c r="BK93" s="1">
        <f t="shared" si="183"/>
        <v>0</v>
      </c>
      <c r="BL93" s="1">
        <f t="shared" si="184"/>
        <v>0</v>
      </c>
    </row>
    <row r="94" spans="1:64" x14ac:dyDescent="0.25">
      <c r="A94" s="3" t="s">
        <v>27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7">
        <v>0</v>
      </c>
      <c r="AB94" s="1">
        <v>1</v>
      </c>
      <c r="AC94" s="1">
        <v>1</v>
      </c>
      <c r="AD94" s="1">
        <v>1</v>
      </c>
      <c r="AE94" s="1">
        <v>0</v>
      </c>
      <c r="AH94" s="3" t="s">
        <v>27</v>
      </c>
      <c r="AI94" s="1">
        <f t="shared" si="155"/>
        <v>0</v>
      </c>
      <c r="AJ94" s="1">
        <f t="shared" si="156"/>
        <v>0</v>
      </c>
      <c r="AK94" s="1">
        <f t="shared" si="157"/>
        <v>0</v>
      </c>
      <c r="AL94" s="1">
        <f t="shared" si="158"/>
        <v>0</v>
      </c>
      <c r="AM94" s="1">
        <f t="shared" si="159"/>
        <v>0</v>
      </c>
      <c r="AN94" s="1">
        <f t="shared" si="160"/>
        <v>0</v>
      </c>
      <c r="AO94" s="1">
        <f t="shared" si="161"/>
        <v>0</v>
      </c>
      <c r="AP94" s="1">
        <f t="shared" si="162"/>
        <v>0</v>
      </c>
      <c r="AQ94" s="1">
        <f t="shared" si="163"/>
        <v>0</v>
      </c>
      <c r="AR94" s="1">
        <f t="shared" si="164"/>
        <v>0</v>
      </c>
      <c r="AS94" s="1">
        <f t="shared" si="165"/>
        <v>0</v>
      </c>
      <c r="AT94" s="1">
        <f t="shared" si="166"/>
        <v>0</v>
      </c>
      <c r="AU94" s="1">
        <f t="shared" si="167"/>
        <v>0</v>
      </c>
      <c r="AV94" s="1">
        <f t="shared" si="168"/>
        <v>0.4</v>
      </c>
      <c r="AW94" s="1">
        <f t="shared" si="169"/>
        <v>0</v>
      </c>
      <c r="AX94" s="1">
        <f t="shared" si="170"/>
        <v>0</v>
      </c>
      <c r="AY94" s="1">
        <f t="shared" si="171"/>
        <v>0</v>
      </c>
      <c r="AZ94" s="1">
        <f t="shared" si="172"/>
        <v>0</v>
      </c>
      <c r="BA94" s="1">
        <f t="shared" si="173"/>
        <v>0</v>
      </c>
      <c r="BB94" s="1">
        <f t="shared" si="174"/>
        <v>0</v>
      </c>
      <c r="BC94" s="1">
        <f t="shared" si="175"/>
        <v>0</v>
      </c>
      <c r="BD94" s="1">
        <f t="shared" si="176"/>
        <v>0</v>
      </c>
      <c r="BE94" s="1">
        <f t="shared" si="177"/>
        <v>0</v>
      </c>
      <c r="BF94" s="1">
        <f t="shared" si="178"/>
        <v>0</v>
      </c>
      <c r="BG94" s="1">
        <f t="shared" si="179"/>
        <v>0</v>
      </c>
      <c r="BH94" s="1">
        <f t="shared" si="180"/>
        <v>0</v>
      </c>
      <c r="BI94" s="1">
        <f t="shared" si="181"/>
        <v>0.4</v>
      </c>
      <c r="BJ94" s="1">
        <f t="shared" si="182"/>
        <v>0.4</v>
      </c>
      <c r="BK94" s="1">
        <f t="shared" si="183"/>
        <v>0.4</v>
      </c>
      <c r="BL94" s="1">
        <f t="shared" si="184"/>
        <v>0</v>
      </c>
    </row>
    <row r="95" spans="1:64" x14ac:dyDescent="0.25">
      <c r="A95" s="3" t="s">
        <v>28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1</v>
      </c>
      <c r="AB95" s="7">
        <v>0</v>
      </c>
      <c r="AC95" s="1">
        <v>0</v>
      </c>
      <c r="AD95" s="1">
        <v>1</v>
      </c>
      <c r="AE95" s="1">
        <v>1</v>
      </c>
      <c r="AH95" s="3" t="s">
        <v>28</v>
      </c>
      <c r="AI95" s="1">
        <f t="shared" si="155"/>
        <v>0</v>
      </c>
      <c r="AJ95" s="1">
        <f t="shared" si="156"/>
        <v>0</v>
      </c>
      <c r="AK95" s="1">
        <f t="shared" si="157"/>
        <v>0</v>
      </c>
      <c r="AL95" s="1">
        <f t="shared" si="158"/>
        <v>0</v>
      </c>
      <c r="AM95" s="1">
        <f t="shared" si="159"/>
        <v>0</v>
      </c>
      <c r="AN95" s="1">
        <f t="shared" si="160"/>
        <v>0</v>
      </c>
      <c r="AO95" s="1">
        <f t="shared" si="161"/>
        <v>0</v>
      </c>
      <c r="AP95" s="1">
        <f t="shared" si="162"/>
        <v>0</v>
      </c>
      <c r="AQ95" s="1">
        <f t="shared" si="163"/>
        <v>0</v>
      </c>
      <c r="AR95" s="1">
        <f t="shared" si="164"/>
        <v>0</v>
      </c>
      <c r="AS95" s="1">
        <f t="shared" si="165"/>
        <v>0</v>
      </c>
      <c r="AT95" s="1">
        <f t="shared" si="166"/>
        <v>0</v>
      </c>
      <c r="AU95" s="1">
        <f t="shared" si="167"/>
        <v>0</v>
      </c>
      <c r="AV95" s="1">
        <f t="shared" si="168"/>
        <v>0.4</v>
      </c>
      <c r="AW95" s="1">
        <f t="shared" si="169"/>
        <v>0</v>
      </c>
      <c r="AX95" s="1">
        <f t="shared" si="170"/>
        <v>0.4</v>
      </c>
      <c r="AY95" s="1">
        <f t="shared" si="171"/>
        <v>0</v>
      </c>
      <c r="AZ95" s="1">
        <f t="shared" si="172"/>
        <v>0</v>
      </c>
      <c r="BA95" s="1">
        <f t="shared" si="173"/>
        <v>0</v>
      </c>
      <c r="BB95" s="1">
        <f t="shared" si="174"/>
        <v>0</v>
      </c>
      <c r="BC95" s="1">
        <f t="shared" si="175"/>
        <v>0</v>
      </c>
      <c r="BD95" s="1">
        <f t="shared" si="176"/>
        <v>0</v>
      </c>
      <c r="BE95" s="1">
        <f t="shared" si="177"/>
        <v>0</v>
      </c>
      <c r="BF95" s="1">
        <f t="shared" si="178"/>
        <v>0</v>
      </c>
      <c r="BG95" s="1">
        <f t="shared" si="179"/>
        <v>0</v>
      </c>
      <c r="BH95" s="1">
        <f t="shared" si="180"/>
        <v>0.4</v>
      </c>
      <c r="BI95" s="1">
        <f t="shared" si="181"/>
        <v>0</v>
      </c>
      <c r="BJ95" s="1">
        <f t="shared" si="182"/>
        <v>0</v>
      </c>
      <c r="BK95" s="1">
        <f t="shared" si="183"/>
        <v>0.4</v>
      </c>
      <c r="BL95" s="1">
        <f t="shared" si="184"/>
        <v>0.4</v>
      </c>
    </row>
    <row r="96" spans="1:64" x14ac:dyDescent="0.25">
      <c r="A96" s="3" t="s">
        <v>29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1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1</v>
      </c>
      <c r="AB96" s="1">
        <v>0</v>
      </c>
      <c r="AC96" s="7">
        <v>0</v>
      </c>
      <c r="AD96" s="1">
        <v>1</v>
      </c>
      <c r="AE96" s="1">
        <v>0</v>
      </c>
      <c r="AH96" s="3" t="s">
        <v>29</v>
      </c>
      <c r="AI96" s="1">
        <f t="shared" si="155"/>
        <v>0</v>
      </c>
      <c r="AJ96" s="1">
        <f t="shared" si="156"/>
        <v>0</v>
      </c>
      <c r="AK96" s="1">
        <f t="shared" si="157"/>
        <v>0</v>
      </c>
      <c r="AL96" s="1">
        <f t="shared" si="158"/>
        <v>0</v>
      </c>
      <c r="AM96" s="1">
        <f t="shared" si="159"/>
        <v>0</v>
      </c>
      <c r="AN96" s="1">
        <f t="shared" si="160"/>
        <v>0</v>
      </c>
      <c r="AO96" s="1">
        <f t="shared" si="161"/>
        <v>0</v>
      </c>
      <c r="AP96" s="1">
        <f t="shared" si="162"/>
        <v>0</v>
      </c>
      <c r="AQ96" s="1">
        <f t="shared" si="163"/>
        <v>0</v>
      </c>
      <c r="AR96" s="1">
        <f t="shared" si="164"/>
        <v>0</v>
      </c>
      <c r="AS96" s="1">
        <f t="shared" si="165"/>
        <v>0</v>
      </c>
      <c r="AT96" s="1">
        <f t="shared" si="166"/>
        <v>0</v>
      </c>
      <c r="AU96" s="1">
        <f t="shared" si="167"/>
        <v>0</v>
      </c>
      <c r="AV96" s="1">
        <f t="shared" si="168"/>
        <v>0.4</v>
      </c>
      <c r="AW96" s="1">
        <f t="shared" si="169"/>
        <v>0</v>
      </c>
      <c r="AX96" s="1">
        <f t="shared" si="170"/>
        <v>0</v>
      </c>
      <c r="AY96" s="1">
        <f t="shared" si="171"/>
        <v>0</v>
      </c>
      <c r="AZ96" s="1">
        <f t="shared" si="172"/>
        <v>0</v>
      </c>
      <c r="BA96" s="1">
        <f t="shared" si="173"/>
        <v>0</v>
      </c>
      <c r="BB96" s="1">
        <f t="shared" si="174"/>
        <v>0</v>
      </c>
      <c r="BC96" s="1">
        <f t="shared" si="175"/>
        <v>0</v>
      </c>
      <c r="BD96" s="1">
        <f t="shared" si="176"/>
        <v>0</v>
      </c>
      <c r="BE96" s="1">
        <f t="shared" si="177"/>
        <v>0</v>
      </c>
      <c r="BF96" s="1">
        <f t="shared" si="178"/>
        <v>0</v>
      </c>
      <c r="BG96" s="1">
        <f t="shared" si="179"/>
        <v>0.4</v>
      </c>
      <c r="BH96" s="1">
        <f t="shared" si="180"/>
        <v>0.4</v>
      </c>
      <c r="BI96" s="1">
        <f t="shared" si="181"/>
        <v>0</v>
      </c>
      <c r="BJ96" s="1">
        <f t="shared" si="182"/>
        <v>0</v>
      </c>
      <c r="BK96" s="1">
        <f t="shared" si="183"/>
        <v>0.4</v>
      </c>
      <c r="BL96" s="1">
        <f t="shared" si="184"/>
        <v>0</v>
      </c>
    </row>
    <row r="97" spans="1:64" x14ac:dyDescent="0.25">
      <c r="A97" s="3" t="s">
        <v>30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1</v>
      </c>
      <c r="AB97" s="1">
        <v>1</v>
      </c>
      <c r="AC97" s="1">
        <v>1</v>
      </c>
      <c r="AD97" s="7">
        <v>0</v>
      </c>
      <c r="AE97" s="1">
        <v>0</v>
      </c>
      <c r="AH97" s="3" t="s">
        <v>30</v>
      </c>
      <c r="AI97" s="1">
        <f t="shared" si="155"/>
        <v>0</v>
      </c>
      <c r="AJ97" s="1">
        <f t="shared" si="156"/>
        <v>0</v>
      </c>
      <c r="AK97" s="1">
        <f t="shared" si="157"/>
        <v>0</v>
      </c>
      <c r="AL97" s="1">
        <f t="shared" si="158"/>
        <v>0</v>
      </c>
      <c r="AM97" s="1">
        <f t="shared" si="159"/>
        <v>0</v>
      </c>
      <c r="AN97" s="1">
        <f t="shared" si="160"/>
        <v>0</v>
      </c>
      <c r="AO97" s="1">
        <f t="shared" si="161"/>
        <v>0</v>
      </c>
      <c r="AP97" s="1">
        <f t="shared" si="162"/>
        <v>0</v>
      </c>
      <c r="AQ97" s="1">
        <f t="shared" si="163"/>
        <v>0</v>
      </c>
      <c r="AR97" s="1">
        <f t="shared" si="164"/>
        <v>0</v>
      </c>
      <c r="AS97" s="1">
        <f t="shared" si="165"/>
        <v>0</v>
      </c>
      <c r="AT97" s="1">
        <f t="shared" si="166"/>
        <v>0</v>
      </c>
      <c r="AU97" s="1">
        <f t="shared" si="167"/>
        <v>0</v>
      </c>
      <c r="AV97" s="1">
        <f t="shared" si="168"/>
        <v>0</v>
      </c>
      <c r="AW97" s="1">
        <f t="shared" si="169"/>
        <v>0</v>
      </c>
      <c r="AX97" s="1">
        <f t="shared" si="170"/>
        <v>0</v>
      </c>
      <c r="AY97" s="1">
        <f t="shared" si="171"/>
        <v>0</v>
      </c>
      <c r="AZ97" s="1">
        <f t="shared" si="172"/>
        <v>0</v>
      </c>
      <c r="BA97" s="1">
        <f t="shared" si="173"/>
        <v>0</v>
      </c>
      <c r="BB97" s="1">
        <f t="shared" si="174"/>
        <v>0</v>
      </c>
      <c r="BC97" s="1">
        <f t="shared" si="175"/>
        <v>0</v>
      </c>
      <c r="BD97" s="1">
        <f t="shared" si="176"/>
        <v>0</v>
      </c>
      <c r="BE97" s="1">
        <f t="shared" si="177"/>
        <v>0</v>
      </c>
      <c r="BF97" s="1">
        <f t="shared" si="178"/>
        <v>0</v>
      </c>
      <c r="BG97" s="1">
        <f t="shared" si="179"/>
        <v>0</v>
      </c>
      <c r="BH97" s="1">
        <f t="shared" si="180"/>
        <v>0.4</v>
      </c>
      <c r="BI97" s="1">
        <f t="shared" si="181"/>
        <v>0.4</v>
      </c>
      <c r="BJ97" s="1">
        <f t="shared" si="182"/>
        <v>0.4</v>
      </c>
      <c r="BK97" s="1">
        <f t="shared" si="183"/>
        <v>0</v>
      </c>
      <c r="BL97" s="1">
        <f t="shared" si="184"/>
        <v>0</v>
      </c>
    </row>
    <row r="98" spans="1:64" x14ac:dyDescent="0.25">
      <c r="A98" s="3" t="s">
        <v>31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1</v>
      </c>
      <c r="R98" s="1">
        <v>1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1">
        <v>0</v>
      </c>
      <c r="AE98" s="7">
        <v>0</v>
      </c>
      <c r="AH98" s="3" t="s">
        <v>31</v>
      </c>
      <c r="AI98" s="1">
        <f t="shared" si="155"/>
        <v>0</v>
      </c>
      <c r="AJ98" s="1">
        <f t="shared" si="156"/>
        <v>0</v>
      </c>
      <c r="AK98" s="1">
        <f t="shared" si="157"/>
        <v>0</v>
      </c>
      <c r="AL98" s="1">
        <f t="shared" si="158"/>
        <v>0</v>
      </c>
      <c r="AM98" s="1">
        <f t="shared" si="159"/>
        <v>0</v>
      </c>
      <c r="AN98" s="1">
        <f t="shared" si="160"/>
        <v>0</v>
      </c>
      <c r="AO98" s="1">
        <f t="shared" si="161"/>
        <v>0</v>
      </c>
      <c r="AP98" s="1">
        <f t="shared" si="162"/>
        <v>0</v>
      </c>
      <c r="AQ98" s="1">
        <f t="shared" si="163"/>
        <v>0</v>
      </c>
      <c r="AR98" s="1">
        <f t="shared" si="164"/>
        <v>0</v>
      </c>
      <c r="AS98" s="1">
        <f t="shared" si="165"/>
        <v>0</v>
      </c>
      <c r="AT98" s="1">
        <f t="shared" si="166"/>
        <v>0</v>
      </c>
      <c r="AU98" s="1">
        <f t="shared" si="167"/>
        <v>0</v>
      </c>
      <c r="AV98" s="1">
        <f t="shared" si="168"/>
        <v>0</v>
      </c>
      <c r="AW98" s="1">
        <f t="shared" si="169"/>
        <v>0.4</v>
      </c>
      <c r="AX98" s="1">
        <f t="shared" si="170"/>
        <v>0.4</v>
      </c>
      <c r="AY98" s="1">
        <f t="shared" si="171"/>
        <v>0.4</v>
      </c>
      <c r="AZ98" s="1">
        <f t="shared" si="172"/>
        <v>0</v>
      </c>
      <c r="BA98" s="1">
        <f t="shared" si="173"/>
        <v>0</v>
      </c>
      <c r="BB98" s="1">
        <f t="shared" si="174"/>
        <v>0</v>
      </c>
      <c r="BC98" s="1">
        <f t="shared" si="175"/>
        <v>0</v>
      </c>
      <c r="BD98" s="1">
        <f t="shared" si="176"/>
        <v>0</v>
      </c>
      <c r="BE98" s="1">
        <f t="shared" si="177"/>
        <v>0</v>
      </c>
      <c r="BF98" s="1">
        <f t="shared" si="178"/>
        <v>0</v>
      </c>
      <c r="BG98" s="1">
        <f t="shared" si="179"/>
        <v>0</v>
      </c>
      <c r="BH98" s="1">
        <f t="shared" si="180"/>
        <v>0</v>
      </c>
      <c r="BI98" s="1">
        <f t="shared" si="181"/>
        <v>0.4</v>
      </c>
      <c r="BJ98" s="1">
        <f t="shared" si="182"/>
        <v>0</v>
      </c>
      <c r="BK98" s="1">
        <f t="shared" si="183"/>
        <v>0</v>
      </c>
      <c r="BL98" s="1">
        <f t="shared" si="184"/>
        <v>0</v>
      </c>
    </row>
    <row r="101" spans="1:64" x14ac:dyDescent="0.25">
      <c r="A101" s="9" t="s">
        <v>42</v>
      </c>
      <c r="B101" s="3" t="s">
        <v>2</v>
      </c>
      <c r="C101" s="3" t="s">
        <v>3</v>
      </c>
      <c r="D101" s="3" t="s">
        <v>4</v>
      </c>
      <c r="E101" s="3" t="s">
        <v>5</v>
      </c>
      <c r="F101" s="3" t="s">
        <v>6</v>
      </c>
      <c r="G101" s="3" t="s">
        <v>7</v>
      </c>
      <c r="H101" s="3" t="s">
        <v>8</v>
      </c>
      <c r="I101" s="3" t="s">
        <v>9</v>
      </c>
      <c r="J101" s="3" t="s">
        <v>10</v>
      </c>
      <c r="K101" s="3" t="s">
        <v>11</v>
      </c>
      <c r="L101" s="3" t="s">
        <v>12</v>
      </c>
      <c r="M101" s="3" t="s">
        <v>13</v>
      </c>
      <c r="N101" s="3" t="s">
        <v>14</v>
      </c>
      <c r="O101" s="3" t="s">
        <v>15</v>
      </c>
      <c r="P101" s="3" t="s">
        <v>16</v>
      </c>
      <c r="Q101" s="3" t="s">
        <v>17</v>
      </c>
      <c r="R101" s="3" t="s">
        <v>18</v>
      </c>
      <c r="S101" s="3" t="s">
        <v>19</v>
      </c>
      <c r="T101" s="3" t="s">
        <v>20</v>
      </c>
      <c r="U101" s="3" t="s">
        <v>21</v>
      </c>
      <c r="V101" s="3" t="s">
        <v>22</v>
      </c>
      <c r="W101" s="3" t="s">
        <v>23</v>
      </c>
      <c r="X101" s="3" t="s">
        <v>24</v>
      </c>
      <c r="Y101" s="3" t="s">
        <v>25</v>
      </c>
      <c r="Z101" s="3" t="s">
        <v>26</v>
      </c>
      <c r="AA101" s="3" t="s">
        <v>27</v>
      </c>
      <c r="AB101" s="3" t="s">
        <v>28</v>
      </c>
      <c r="AC101" s="3" t="s">
        <v>29</v>
      </c>
      <c r="AD101" s="3" t="s">
        <v>30</v>
      </c>
      <c r="AE101" s="3" t="s">
        <v>31</v>
      </c>
      <c r="AH101" s="1" t="s">
        <v>39</v>
      </c>
      <c r="AI101" s="3" t="s">
        <v>2</v>
      </c>
      <c r="AJ101" s="3" t="s">
        <v>3</v>
      </c>
      <c r="AK101" s="3" t="s">
        <v>4</v>
      </c>
      <c r="AL101" s="3" t="s">
        <v>5</v>
      </c>
      <c r="AM101" s="3" t="s">
        <v>6</v>
      </c>
      <c r="AN101" s="3" t="s">
        <v>7</v>
      </c>
      <c r="AO101" s="3" t="s">
        <v>8</v>
      </c>
      <c r="AP101" s="3" t="s">
        <v>9</v>
      </c>
      <c r="AQ101" s="3" t="s">
        <v>10</v>
      </c>
      <c r="AR101" s="3" t="s">
        <v>11</v>
      </c>
      <c r="AS101" s="3" t="s">
        <v>12</v>
      </c>
      <c r="AT101" s="3" t="s">
        <v>13</v>
      </c>
      <c r="AU101" s="3" t="s">
        <v>14</v>
      </c>
      <c r="AV101" s="3" t="s">
        <v>15</v>
      </c>
      <c r="AW101" s="3" t="s">
        <v>16</v>
      </c>
      <c r="AX101" s="3" t="s">
        <v>17</v>
      </c>
      <c r="AY101" s="3" t="s">
        <v>18</v>
      </c>
      <c r="AZ101" s="3" t="s">
        <v>19</v>
      </c>
      <c r="BA101" s="3" t="s">
        <v>20</v>
      </c>
      <c r="BB101" s="3" t="s">
        <v>21</v>
      </c>
      <c r="BC101" s="3" t="s">
        <v>22</v>
      </c>
      <c r="BD101" s="3" t="s">
        <v>23</v>
      </c>
      <c r="BE101" s="3" t="s">
        <v>24</v>
      </c>
      <c r="BF101" s="3" t="s">
        <v>25</v>
      </c>
      <c r="BG101" s="3" t="s">
        <v>26</v>
      </c>
      <c r="BH101" s="3" t="s">
        <v>27</v>
      </c>
      <c r="BI101" s="3" t="s">
        <v>28</v>
      </c>
      <c r="BJ101" s="3" t="s">
        <v>29</v>
      </c>
      <c r="BK101" s="3" t="s">
        <v>30</v>
      </c>
      <c r="BL101" s="3" t="s">
        <v>31</v>
      </c>
    </row>
    <row r="102" spans="1:64" x14ac:dyDescent="0.25">
      <c r="A102" s="3" t="s">
        <v>2</v>
      </c>
      <c r="B102" s="1">
        <f t="shared" ref="B102:AE102" si="185">IF(B68&gt;0.5,1,0)</f>
        <v>1</v>
      </c>
      <c r="C102" s="1">
        <f t="shared" si="185"/>
        <v>1</v>
      </c>
      <c r="D102" s="1">
        <f t="shared" si="185"/>
        <v>1</v>
      </c>
      <c r="E102" s="1">
        <f t="shared" si="185"/>
        <v>1</v>
      </c>
      <c r="F102" s="1">
        <f t="shared" si="185"/>
        <v>1</v>
      </c>
      <c r="G102" s="1">
        <f t="shared" si="185"/>
        <v>1</v>
      </c>
      <c r="H102" s="1">
        <f t="shared" si="185"/>
        <v>1</v>
      </c>
      <c r="I102" s="1">
        <f t="shared" si="185"/>
        <v>1</v>
      </c>
      <c r="J102" s="1">
        <f t="shared" si="185"/>
        <v>1</v>
      </c>
      <c r="K102" s="1">
        <f t="shared" si="185"/>
        <v>1</v>
      </c>
      <c r="L102" s="1">
        <f t="shared" si="185"/>
        <v>1</v>
      </c>
      <c r="M102" s="1">
        <f t="shared" si="185"/>
        <v>1</v>
      </c>
      <c r="N102" s="1">
        <f t="shared" si="185"/>
        <v>1</v>
      </c>
      <c r="O102" s="1">
        <f t="shared" si="185"/>
        <v>1</v>
      </c>
      <c r="P102" s="1">
        <f t="shared" si="185"/>
        <v>1</v>
      </c>
      <c r="Q102" s="1">
        <f t="shared" si="185"/>
        <v>1</v>
      </c>
      <c r="R102" s="1">
        <f t="shared" si="185"/>
        <v>1</v>
      </c>
      <c r="S102" s="1">
        <f t="shared" si="185"/>
        <v>1</v>
      </c>
      <c r="T102" s="1">
        <f t="shared" si="185"/>
        <v>1</v>
      </c>
      <c r="U102" s="1">
        <f t="shared" si="185"/>
        <v>1</v>
      </c>
      <c r="V102" s="1">
        <f t="shared" si="185"/>
        <v>1</v>
      </c>
      <c r="W102" s="1">
        <f t="shared" si="185"/>
        <v>1</v>
      </c>
      <c r="X102" s="1">
        <f t="shared" si="185"/>
        <v>1</v>
      </c>
      <c r="Y102" s="1">
        <f t="shared" si="185"/>
        <v>1</v>
      </c>
      <c r="Z102" s="1">
        <f t="shared" si="185"/>
        <v>1</v>
      </c>
      <c r="AA102" s="1">
        <f t="shared" si="185"/>
        <v>1</v>
      </c>
      <c r="AB102" s="1">
        <f t="shared" si="185"/>
        <v>1</v>
      </c>
      <c r="AC102" s="1">
        <f t="shared" si="185"/>
        <v>1</v>
      </c>
      <c r="AD102" s="1">
        <f t="shared" si="185"/>
        <v>1</v>
      </c>
      <c r="AE102" s="1">
        <f t="shared" si="185"/>
        <v>1</v>
      </c>
      <c r="AH102" s="3" t="s">
        <v>2</v>
      </c>
      <c r="AI102" s="1">
        <v>0</v>
      </c>
      <c r="AJ102" s="1">
        <v>0.3</v>
      </c>
      <c r="AK102" s="1">
        <v>0.3</v>
      </c>
      <c r="AL102" s="1">
        <v>0.3</v>
      </c>
      <c r="AM102" s="1">
        <v>0.3</v>
      </c>
      <c r="AN102" s="1">
        <v>0.3</v>
      </c>
      <c r="AO102" s="1">
        <v>0.3</v>
      </c>
      <c r="AP102" s="1">
        <v>0.3</v>
      </c>
      <c r="AQ102" s="1">
        <v>0.3</v>
      </c>
      <c r="AR102" s="1">
        <v>0.3</v>
      </c>
      <c r="AS102" s="1">
        <v>0.3</v>
      </c>
      <c r="AT102" s="1">
        <v>0.3</v>
      </c>
      <c r="AU102" s="1">
        <v>0.3</v>
      </c>
      <c r="AV102" s="1">
        <v>0.3</v>
      </c>
      <c r="AW102" s="1">
        <v>0.3</v>
      </c>
      <c r="AX102" s="1">
        <v>0.3</v>
      </c>
      <c r="AY102" s="1">
        <v>0.3</v>
      </c>
      <c r="AZ102" s="1">
        <v>0</v>
      </c>
      <c r="BA102" s="1">
        <v>0.3</v>
      </c>
      <c r="BB102" s="1">
        <v>0.3</v>
      </c>
      <c r="BC102" s="1">
        <v>0.3</v>
      </c>
      <c r="BD102" s="1">
        <v>0.3</v>
      </c>
      <c r="BE102" s="1">
        <v>0</v>
      </c>
      <c r="BF102" s="1">
        <v>0</v>
      </c>
      <c r="BG102" s="1">
        <v>0</v>
      </c>
      <c r="BH102" s="1">
        <v>0</v>
      </c>
      <c r="BI102" s="1">
        <v>0.3</v>
      </c>
      <c r="BJ102" s="1">
        <v>0</v>
      </c>
      <c r="BK102" s="1">
        <v>0.3</v>
      </c>
      <c r="BL102" s="1">
        <v>0.3</v>
      </c>
    </row>
    <row r="103" spans="1:64" x14ac:dyDescent="0.25">
      <c r="A103" s="3" t="s">
        <v>3</v>
      </c>
      <c r="B103" s="1">
        <f t="shared" ref="B103:AE103" si="186">IF(B69&gt;0.5,1,0)</f>
        <v>0</v>
      </c>
      <c r="C103" s="1">
        <f t="shared" si="186"/>
        <v>1</v>
      </c>
      <c r="D103" s="1">
        <f t="shared" si="186"/>
        <v>1</v>
      </c>
      <c r="E103" s="1">
        <f t="shared" si="186"/>
        <v>1</v>
      </c>
      <c r="F103" s="1">
        <f t="shared" si="186"/>
        <v>0</v>
      </c>
      <c r="G103" s="1">
        <f t="shared" si="186"/>
        <v>0</v>
      </c>
      <c r="H103" s="1">
        <f t="shared" si="186"/>
        <v>1</v>
      </c>
      <c r="I103" s="1">
        <f t="shared" si="186"/>
        <v>1</v>
      </c>
      <c r="J103" s="1">
        <f t="shared" si="186"/>
        <v>0</v>
      </c>
      <c r="K103" s="1">
        <f t="shared" si="186"/>
        <v>1</v>
      </c>
      <c r="L103" s="1">
        <f t="shared" si="186"/>
        <v>0</v>
      </c>
      <c r="M103" s="1">
        <f t="shared" si="186"/>
        <v>0</v>
      </c>
      <c r="N103" s="1">
        <f t="shared" si="186"/>
        <v>0</v>
      </c>
      <c r="O103" s="1">
        <f t="shared" si="186"/>
        <v>0</v>
      </c>
      <c r="P103" s="1">
        <f t="shared" si="186"/>
        <v>0</v>
      </c>
      <c r="Q103" s="1">
        <f t="shared" si="186"/>
        <v>0</v>
      </c>
      <c r="R103" s="1">
        <f t="shared" si="186"/>
        <v>0</v>
      </c>
      <c r="S103" s="1">
        <f t="shared" si="186"/>
        <v>0</v>
      </c>
      <c r="T103" s="1">
        <f t="shared" si="186"/>
        <v>0</v>
      </c>
      <c r="U103" s="1">
        <f t="shared" si="186"/>
        <v>0</v>
      </c>
      <c r="V103" s="1">
        <f t="shared" si="186"/>
        <v>0</v>
      </c>
      <c r="W103" s="1">
        <f t="shared" si="186"/>
        <v>0</v>
      </c>
      <c r="X103" s="1">
        <f t="shared" si="186"/>
        <v>0</v>
      </c>
      <c r="Y103" s="1">
        <f t="shared" si="186"/>
        <v>0</v>
      </c>
      <c r="Z103" s="1">
        <f t="shared" si="186"/>
        <v>0</v>
      </c>
      <c r="AA103" s="1">
        <f t="shared" si="186"/>
        <v>0</v>
      </c>
      <c r="AB103" s="1">
        <f t="shared" si="186"/>
        <v>0</v>
      </c>
      <c r="AC103" s="1">
        <f t="shared" si="186"/>
        <v>0</v>
      </c>
      <c r="AD103" s="1">
        <f t="shared" si="186"/>
        <v>0</v>
      </c>
      <c r="AE103" s="1">
        <f t="shared" si="186"/>
        <v>0</v>
      </c>
      <c r="AH103" s="3" t="s">
        <v>3</v>
      </c>
      <c r="AI103" s="1">
        <v>0.3</v>
      </c>
      <c r="AJ103" s="1">
        <v>0</v>
      </c>
      <c r="AK103" s="1">
        <v>0.3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0.3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0.3</v>
      </c>
      <c r="BJ103" s="1">
        <v>0</v>
      </c>
      <c r="BK103" s="1">
        <v>0</v>
      </c>
      <c r="BL103" s="1">
        <v>0.3</v>
      </c>
    </row>
    <row r="104" spans="1:64" x14ac:dyDescent="0.25">
      <c r="A104" s="3" t="s">
        <v>4</v>
      </c>
      <c r="B104" s="1">
        <f t="shared" ref="B104:AE104" si="187">IF(B70&gt;0.5,1,0)</f>
        <v>1</v>
      </c>
      <c r="C104" s="1">
        <f t="shared" si="187"/>
        <v>0</v>
      </c>
      <c r="D104" s="1">
        <f t="shared" si="187"/>
        <v>1</v>
      </c>
      <c r="E104" s="1">
        <f t="shared" si="187"/>
        <v>0</v>
      </c>
      <c r="F104" s="1">
        <f t="shared" si="187"/>
        <v>0</v>
      </c>
      <c r="G104" s="1">
        <f t="shared" si="187"/>
        <v>0</v>
      </c>
      <c r="H104" s="1">
        <f t="shared" si="187"/>
        <v>1</v>
      </c>
      <c r="I104" s="1">
        <f t="shared" si="187"/>
        <v>0</v>
      </c>
      <c r="J104" s="1">
        <f t="shared" si="187"/>
        <v>0</v>
      </c>
      <c r="K104" s="1">
        <f t="shared" si="187"/>
        <v>1</v>
      </c>
      <c r="L104" s="1">
        <f t="shared" si="187"/>
        <v>0</v>
      </c>
      <c r="M104" s="1">
        <f t="shared" si="187"/>
        <v>0</v>
      </c>
      <c r="N104" s="1">
        <f t="shared" si="187"/>
        <v>0</v>
      </c>
      <c r="O104" s="1">
        <f t="shared" si="187"/>
        <v>1</v>
      </c>
      <c r="P104" s="1">
        <f t="shared" si="187"/>
        <v>0</v>
      </c>
      <c r="Q104" s="1">
        <f t="shared" si="187"/>
        <v>1</v>
      </c>
      <c r="R104" s="1">
        <f t="shared" si="187"/>
        <v>0</v>
      </c>
      <c r="S104" s="1">
        <f t="shared" si="187"/>
        <v>0</v>
      </c>
      <c r="T104" s="1">
        <f t="shared" si="187"/>
        <v>0</v>
      </c>
      <c r="U104" s="1">
        <f t="shared" si="187"/>
        <v>0</v>
      </c>
      <c r="V104" s="1">
        <f t="shared" si="187"/>
        <v>0</v>
      </c>
      <c r="W104" s="1">
        <f t="shared" si="187"/>
        <v>0</v>
      </c>
      <c r="X104" s="1">
        <f t="shared" si="187"/>
        <v>0</v>
      </c>
      <c r="Y104" s="1">
        <f t="shared" si="187"/>
        <v>0</v>
      </c>
      <c r="Z104" s="1">
        <f t="shared" si="187"/>
        <v>1</v>
      </c>
      <c r="AA104" s="1">
        <f t="shared" si="187"/>
        <v>0</v>
      </c>
      <c r="AB104" s="1">
        <f t="shared" si="187"/>
        <v>0</v>
      </c>
      <c r="AC104" s="1">
        <f t="shared" si="187"/>
        <v>0</v>
      </c>
      <c r="AD104" s="1">
        <f t="shared" si="187"/>
        <v>0</v>
      </c>
      <c r="AE104" s="1">
        <f t="shared" si="187"/>
        <v>0</v>
      </c>
      <c r="AH104" s="3" t="s">
        <v>4</v>
      </c>
      <c r="AI104" s="1">
        <v>0.3</v>
      </c>
      <c r="AJ104" s="1">
        <v>0.3</v>
      </c>
      <c r="AK104" s="1">
        <v>0</v>
      </c>
      <c r="AL104" s="1">
        <v>0</v>
      </c>
      <c r="AM104" s="1">
        <v>0.3</v>
      </c>
      <c r="AN104" s="1">
        <v>0.3</v>
      </c>
      <c r="AO104" s="1">
        <v>0.3</v>
      </c>
      <c r="AP104" s="1">
        <v>0</v>
      </c>
      <c r="AQ104" s="1">
        <v>0</v>
      </c>
      <c r="AR104" s="1">
        <v>0.3</v>
      </c>
      <c r="AS104" s="1">
        <v>0.3</v>
      </c>
      <c r="AT104" s="1">
        <v>0.3</v>
      </c>
      <c r="AU104" s="1">
        <v>0</v>
      </c>
      <c r="AV104" s="1">
        <v>0.3</v>
      </c>
      <c r="AW104" s="1">
        <v>0.3</v>
      </c>
      <c r="AX104" s="1">
        <v>0</v>
      </c>
      <c r="AY104" s="1">
        <v>0.3</v>
      </c>
      <c r="AZ104" s="1">
        <v>0</v>
      </c>
      <c r="BA104" s="1">
        <v>0.3</v>
      </c>
      <c r="BB104" s="1">
        <v>0.3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0.3</v>
      </c>
      <c r="BJ104" s="1">
        <v>0</v>
      </c>
      <c r="BK104" s="1">
        <v>0</v>
      </c>
      <c r="BL104" s="1">
        <v>0.3</v>
      </c>
    </row>
    <row r="105" spans="1:64" x14ac:dyDescent="0.25">
      <c r="A105" s="3" t="s">
        <v>5</v>
      </c>
      <c r="B105" s="1">
        <f t="shared" ref="B105:AE105" si="188">IF(B71&gt;0.5,1,0)</f>
        <v>1</v>
      </c>
      <c r="C105" s="1">
        <f t="shared" si="188"/>
        <v>1</v>
      </c>
      <c r="D105" s="1">
        <f t="shared" si="188"/>
        <v>0</v>
      </c>
      <c r="E105" s="1">
        <f t="shared" si="188"/>
        <v>1</v>
      </c>
      <c r="F105" s="1">
        <f t="shared" si="188"/>
        <v>0</v>
      </c>
      <c r="G105" s="1">
        <f t="shared" si="188"/>
        <v>0</v>
      </c>
      <c r="H105" s="1">
        <f t="shared" si="188"/>
        <v>0</v>
      </c>
      <c r="I105" s="1">
        <f t="shared" si="188"/>
        <v>1</v>
      </c>
      <c r="J105" s="1">
        <f t="shared" si="188"/>
        <v>0</v>
      </c>
      <c r="K105" s="1">
        <f t="shared" si="188"/>
        <v>0</v>
      </c>
      <c r="L105" s="1">
        <f t="shared" si="188"/>
        <v>0</v>
      </c>
      <c r="M105" s="1">
        <f t="shared" si="188"/>
        <v>1</v>
      </c>
      <c r="N105" s="1">
        <f t="shared" si="188"/>
        <v>1</v>
      </c>
      <c r="O105" s="1">
        <f t="shared" si="188"/>
        <v>0</v>
      </c>
      <c r="P105" s="1">
        <f t="shared" si="188"/>
        <v>0</v>
      </c>
      <c r="Q105" s="1">
        <f t="shared" si="188"/>
        <v>0</v>
      </c>
      <c r="R105" s="1">
        <f t="shared" si="188"/>
        <v>0</v>
      </c>
      <c r="S105" s="1">
        <f t="shared" si="188"/>
        <v>1</v>
      </c>
      <c r="T105" s="1">
        <f t="shared" si="188"/>
        <v>0</v>
      </c>
      <c r="U105" s="1">
        <f t="shared" si="188"/>
        <v>0</v>
      </c>
      <c r="V105" s="1">
        <f t="shared" si="188"/>
        <v>0</v>
      </c>
      <c r="W105" s="1">
        <f t="shared" si="188"/>
        <v>0</v>
      </c>
      <c r="X105" s="1">
        <f t="shared" si="188"/>
        <v>1</v>
      </c>
      <c r="Y105" s="1">
        <f t="shared" si="188"/>
        <v>0</v>
      </c>
      <c r="Z105" s="1">
        <f t="shared" si="188"/>
        <v>0</v>
      </c>
      <c r="AA105" s="1">
        <f t="shared" si="188"/>
        <v>0</v>
      </c>
      <c r="AB105" s="1">
        <f t="shared" si="188"/>
        <v>0</v>
      </c>
      <c r="AC105" s="1">
        <f t="shared" si="188"/>
        <v>0</v>
      </c>
      <c r="AD105" s="1">
        <f t="shared" si="188"/>
        <v>0</v>
      </c>
      <c r="AE105" s="1">
        <f t="shared" si="188"/>
        <v>0</v>
      </c>
      <c r="AH105" s="3" t="s">
        <v>5</v>
      </c>
      <c r="AI105" s="1">
        <v>0.3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0.3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0.3</v>
      </c>
      <c r="AV105" s="1">
        <v>0.3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0.3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 x14ac:dyDescent="0.25">
      <c r="A106" s="3" t="s">
        <v>6</v>
      </c>
      <c r="B106" s="1">
        <f t="shared" ref="B106:AE106" si="189">IF(B72&gt;0.5,1,0)</f>
        <v>1</v>
      </c>
      <c r="C106" s="1">
        <f t="shared" si="189"/>
        <v>0</v>
      </c>
      <c r="D106" s="1">
        <f t="shared" si="189"/>
        <v>1</v>
      </c>
      <c r="E106" s="1">
        <f t="shared" si="189"/>
        <v>0</v>
      </c>
      <c r="F106" s="1">
        <f t="shared" si="189"/>
        <v>0</v>
      </c>
      <c r="G106" s="1">
        <f t="shared" si="189"/>
        <v>0</v>
      </c>
      <c r="H106" s="1">
        <f t="shared" si="189"/>
        <v>0</v>
      </c>
      <c r="I106" s="1">
        <f t="shared" si="189"/>
        <v>0</v>
      </c>
      <c r="J106" s="1">
        <f t="shared" si="189"/>
        <v>0</v>
      </c>
      <c r="K106" s="1">
        <f t="shared" si="189"/>
        <v>1</v>
      </c>
      <c r="L106" s="1">
        <f t="shared" si="189"/>
        <v>1</v>
      </c>
      <c r="M106" s="1">
        <f t="shared" si="189"/>
        <v>0</v>
      </c>
      <c r="N106" s="1">
        <f t="shared" si="189"/>
        <v>1</v>
      </c>
      <c r="O106" s="1">
        <f t="shared" si="189"/>
        <v>0</v>
      </c>
      <c r="P106" s="1">
        <f t="shared" si="189"/>
        <v>0</v>
      </c>
      <c r="Q106" s="1">
        <f t="shared" si="189"/>
        <v>0</v>
      </c>
      <c r="R106" s="1">
        <f t="shared" si="189"/>
        <v>1</v>
      </c>
      <c r="S106" s="1">
        <f t="shared" si="189"/>
        <v>0</v>
      </c>
      <c r="T106" s="1">
        <f t="shared" si="189"/>
        <v>0</v>
      </c>
      <c r="U106" s="1">
        <f t="shared" si="189"/>
        <v>0</v>
      </c>
      <c r="V106" s="1">
        <f t="shared" si="189"/>
        <v>0</v>
      </c>
      <c r="W106" s="1">
        <f t="shared" si="189"/>
        <v>0</v>
      </c>
      <c r="X106" s="1">
        <f t="shared" si="189"/>
        <v>0</v>
      </c>
      <c r="Y106" s="1">
        <f t="shared" si="189"/>
        <v>0</v>
      </c>
      <c r="Z106" s="1">
        <f t="shared" si="189"/>
        <v>0</v>
      </c>
      <c r="AA106" s="1">
        <f t="shared" si="189"/>
        <v>0</v>
      </c>
      <c r="AB106" s="1">
        <f t="shared" si="189"/>
        <v>0</v>
      </c>
      <c r="AC106" s="1">
        <f t="shared" si="189"/>
        <v>0</v>
      </c>
      <c r="AD106" s="1">
        <f t="shared" si="189"/>
        <v>0</v>
      </c>
      <c r="AE106" s="1">
        <f t="shared" si="189"/>
        <v>0</v>
      </c>
      <c r="AH106" s="3" t="s">
        <v>6</v>
      </c>
      <c r="AI106" s="1">
        <v>0.3</v>
      </c>
      <c r="AJ106" s="1">
        <v>0</v>
      </c>
      <c r="AK106" s="1">
        <v>0.3</v>
      </c>
      <c r="AL106" s="1">
        <v>0</v>
      </c>
      <c r="AM106" s="1">
        <v>0</v>
      </c>
      <c r="AN106" s="1">
        <v>0.3</v>
      </c>
      <c r="AO106" s="1">
        <v>0.3</v>
      </c>
      <c r="AP106" s="1">
        <v>0</v>
      </c>
      <c r="AQ106" s="1">
        <v>0</v>
      </c>
      <c r="AR106" s="1">
        <v>0.3</v>
      </c>
      <c r="AS106" s="1">
        <v>0.3</v>
      </c>
      <c r="AT106" s="1">
        <v>0.3</v>
      </c>
      <c r="AU106" s="1">
        <v>0.3</v>
      </c>
      <c r="AV106" s="1">
        <v>0</v>
      </c>
      <c r="AW106" s="1">
        <v>0.3</v>
      </c>
      <c r="AX106" s="1">
        <v>0</v>
      </c>
      <c r="AY106" s="1">
        <v>0.3</v>
      </c>
      <c r="AZ106" s="1">
        <v>0</v>
      </c>
      <c r="BA106" s="1">
        <v>0.3</v>
      </c>
      <c r="BB106" s="1">
        <v>0.3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0.3</v>
      </c>
      <c r="BJ106" s="1">
        <v>0</v>
      </c>
      <c r="BK106" s="1">
        <v>0</v>
      </c>
      <c r="BL106" s="1">
        <v>0.3</v>
      </c>
    </row>
    <row r="107" spans="1:64" x14ac:dyDescent="0.25">
      <c r="A107" s="3" t="s">
        <v>7</v>
      </c>
      <c r="B107" s="1">
        <f t="shared" ref="B107:AE107" si="190">IF(B73&gt;0.5,1,0)</f>
        <v>0</v>
      </c>
      <c r="C107" s="1">
        <f t="shared" si="190"/>
        <v>0</v>
      </c>
      <c r="D107" s="1">
        <f t="shared" si="190"/>
        <v>0</v>
      </c>
      <c r="E107" s="1">
        <f t="shared" si="190"/>
        <v>0</v>
      </c>
      <c r="F107" s="1">
        <f t="shared" si="190"/>
        <v>0</v>
      </c>
      <c r="G107" s="1">
        <f t="shared" si="190"/>
        <v>1</v>
      </c>
      <c r="H107" s="1">
        <f t="shared" si="190"/>
        <v>1</v>
      </c>
      <c r="I107" s="1">
        <f t="shared" si="190"/>
        <v>0</v>
      </c>
      <c r="J107" s="1">
        <f t="shared" si="190"/>
        <v>1</v>
      </c>
      <c r="K107" s="1">
        <f t="shared" si="190"/>
        <v>0</v>
      </c>
      <c r="L107" s="1">
        <f t="shared" si="190"/>
        <v>0</v>
      </c>
      <c r="M107" s="1">
        <f t="shared" si="190"/>
        <v>0</v>
      </c>
      <c r="N107" s="1">
        <f t="shared" si="190"/>
        <v>0</v>
      </c>
      <c r="O107" s="1">
        <f t="shared" si="190"/>
        <v>0</v>
      </c>
      <c r="P107" s="1">
        <f t="shared" si="190"/>
        <v>0</v>
      </c>
      <c r="Q107" s="1">
        <f t="shared" si="190"/>
        <v>0</v>
      </c>
      <c r="R107" s="1">
        <f t="shared" si="190"/>
        <v>0</v>
      </c>
      <c r="S107" s="1">
        <f t="shared" si="190"/>
        <v>0</v>
      </c>
      <c r="T107" s="1">
        <f t="shared" si="190"/>
        <v>0</v>
      </c>
      <c r="U107" s="1">
        <f t="shared" si="190"/>
        <v>1</v>
      </c>
      <c r="V107" s="1">
        <f t="shared" si="190"/>
        <v>1</v>
      </c>
      <c r="W107" s="1">
        <f t="shared" si="190"/>
        <v>0</v>
      </c>
      <c r="X107" s="1">
        <f t="shared" si="190"/>
        <v>0</v>
      </c>
      <c r="Y107" s="1">
        <f t="shared" si="190"/>
        <v>0</v>
      </c>
      <c r="Z107" s="1">
        <f t="shared" si="190"/>
        <v>0</v>
      </c>
      <c r="AA107" s="1">
        <f t="shared" si="190"/>
        <v>0</v>
      </c>
      <c r="AB107" s="1">
        <f t="shared" si="190"/>
        <v>0</v>
      </c>
      <c r="AC107" s="1">
        <f t="shared" si="190"/>
        <v>0</v>
      </c>
      <c r="AD107" s="1">
        <f t="shared" si="190"/>
        <v>0</v>
      </c>
      <c r="AE107" s="1">
        <f t="shared" si="190"/>
        <v>0</v>
      </c>
      <c r="AH107" s="3" t="s">
        <v>7</v>
      </c>
      <c r="AI107" s="1">
        <v>0.3</v>
      </c>
      <c r="AJ107" s="1">
        <v>0</v>
      </c>
      <c r="AK107" s="1">
        <v>0.3</v>
      </c>
      <c r="AL107" s="1">
        <v>0</v>
      </c>
      <c r="AM107" s="1">
        <v>0.3</v>
      </c>
      <c r="AN107" s="1">
        <v>0</v>
      </c>
      <c r="AO107" s="1">
        <v>0.3</v>
      </c>
      <c r="AP107" s="1">
        <v>0</v>
      </c>
      <c r="AQ107" s="1">
        <v>0</v>
      </c>
      <c r="AR107" s="1">
        <v>0.3</v>
      </c>
      <c r="AS107" s="1">
        <v>0.3</v>
      </c>
      <c r="AT107" s="1">
        <v>0</v>
      </c>
      <c r="AU107" s="1">
        <v>0.3</v>
      </c>
      <c r="AV107" s="1">
        <v>0</v>
      </c>
      <c r="AW107" s="1">
        <v>0.3</v>
      </c>
      <c r="AX107" s="1">
        <v>0</v>
      </c>
      <c r="AY107" s="1">
        <v>0.3</v>
      </c>
      <c r="AZ107" s="1">
        <v>0</v>
      </c>
      <c r="BA107" s="1">
        <v>0.3</v>
      </c>
      <c r="BB107" s="1">
        <v>0.3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 x14ac:dyDescent="0.25">
      <c r="A108" s="3" t="s">
        <v>8</v>
      </c>
      <c r="B108" s="1">
        <f t="shared" ref="B108:AE108" si="191">IF(B74&gt;0.5,1,0)</f>
        <v>0</v>
      </c>
      <c r="C108" s="1">
        <f t="shared" si="191"/>
        <v>0</v>
      </c>
      <c r="D108" s="1">
        <f t="shared" si="191"/>
        <v>0</v>
      </c>
      <c r="E108" s="1">
        <f t="shared" si="191"/>
        <v>0</v>
      </c>
      <c r="F108" s="1">
        <f t="shared" si="191"/>
        <v>1</v>
      </c>
      <c r="G108" s="1">
        <f t="shared" si="191"/>
        <v>0</v>
      </c>
      <c r="H108" s="1">
        <f t="shared" si="191"/>
        <v>1</v>
      </c>
      <c r="I108" s="1">
        <f t="shared" si="191"/>
        <v>0</v>
      </c>
      <c r="J108" s="1">
        <f t="shared" si="191"/>
        <v>0</v>
      </c>
      <c r="K108" s="1">
        <f t="shared" si="191"/>
        <v>0</v>
      </c>
      <c r="L108" s="1">
        <f t="shared" si="191"/>
        <v>0</v>
      </c>
      <c r="M108" s="1">
        <f t="shared" si="191"/>
        <v>0</v>
      </c>
      <c r="N108" s="1">
        <f t="shared" si="191"/>
        <v>0</v>
      </c>
      <c r="O108" s="1">
        <f t="shared" si="191"/>
        <v>0</v>
      </c>
      <c r="P108" s="1">
        <f t="shared" si="191"/>
        <v>0</v>
      </c>
      <c r="Q108" s="1">
        <f t="shared" si="191"/>
        <v>0</v>
      </c>
      <c r="R108" s="1">
        <f t="shared" si="191"/>
        <v>0</v>
      </c>
      <c r="S108" s="1">
        <f t="shared" si="191"/>
        <v>0</v>
      </c>
      <c r="T108" s="1">
        <f t="shared" si="191"/>
        <v>0</v>
      </c>
      <c r="U108" s="1">
        <f t="shared" si="191"/>
        <v>0</v>
      </c>
      <c r="V108" s="1">
        <f t="shared" si="191"/>
        <v>0</v>
      </c>
      <c r="W108" s="1">
        <f t="shared" si="191"/>
        <v>0</v>
      </c>
      <c r="X108" s="1">
        <f t="shared" si="191"/>
        <v>0</v>
      </c>
      <c r="Y108" s="1">
        <f t="shared" si="191"/>
        <v>0</v>
      </c>
      <c r="Z108" s="1">
        <f t="shared" si="191"/>
        <v>0</v>
      </c>
      <c r="AA108" s="1">
        <f t="shared" si="191"/>
        <v>0</v>
      </c>
      <c r="AB108" s="1">
        <f t="shared" si="191"/>
        <v>0</v>
      </c>
      <c r="AC108" s="1">
        <f t="shared" si="191"/>
        <v>0</v>
      </c>
      <c r="AD108" s="1">
        <f t="shared" si="191"/>
        <v>0</v>
      </c>
      <c r="AE108" s="1">
        <f t="shared" si="191"/>
        <v>0</v>
      </c>
      <c r="AH108" s="3" t="s">
        <v>8</v>
      </c>
      <c r="AI108" s="1">
        <v>0.3</v>
      </c>
      <c r="AJ108" s="1">
        <v>0</v>
      </c>
      <c r="AK108" s="1">
        <v>0.3</v>
      </c>
      <c r="AL108" s="1">
        <v>0.3</v>
      </c>
      <c r="AM108" s="1">
        <v>0.3</v>
      </c>
      <c r="AN108" s="1">
        <v>0.3</v>
      </c>
      <c r="AO108" s="1">
        <v>0</v>
      </c>
      <c r="AP108" s="1">
        <v>0</v>
      </c>
      <c r="AQ108" s="1">
        <v>0</v>
      </c>
      <c r="AR108" s="1">
        <v>0.3</v>
      </c>
      <c r="AS108" s="1">
        <v>0.3</v>
      </c>
      <c r="AT108" s="1">
        <v>0</v>
      </c>
      <c r="AU108" s="1">
        <v>0.3</v>
      </c>
      <c r="AV108" s="1">
        <v>0</v>
      </c>
      <c r="AW108" s="1">
        <v>0.3</v>
      </c>
      <c r="AX108" s="1">
        <v>0</v>
      </c>
      <c r="AY108" s="1">
        <v>0.3</v>
      </c>
      <c r="AZ108" s="1">
        <v>0</v>
      </c>
      <c r="BA108" s="1">
        <v>0.3</v>
      </c>
      <c r="BB108" s="1">
        <v>0.3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 x14ac:dyDescent="0.25">
      <c r="A109" s="3" t="s">
        <v>9</v>
      </c>
      <c r="B109" s="1">
        <f t="shared" ref="B109:AE109" si="192">IF(B75&gt;0.5,1,0)</f>
        <v>1</v>
      </c>
      <c r="C109" s="1">
        <f t="shared" si="192"/>
        <v>1</v>
      </c>
      <c r="D109" s="1">
        <f t="shared" si="192"/>
        <v>0</v>
      </c>
      <c r="E109" s="1">
        <f t="shared" si="192"/>
        <v>0</v>
      </c>
      <c r="F109" s="1">
        <f t="shared" si="192"/>
        <v>1</v>
      </c>
      <c r="G109" s="1">
        <f t="shared" si="192"/>
        <v>1</v>
      </c>
      <c r="H109" s="1">
        <f t="shared" si="192"/>
        <v>0</v>
      </c>
      <c r="I109" s="1">
        <f t="shared" si="192"/>
        <v>1</v>
      </c>
      <c r="J109" s="1">
        <f t="shared" si="192"/>
        <v>1</v>
      </c>
      <c r="K109" s="1">
        <f t="shared" si="192"/>
        <v>0</v>
      </c>
      <c r="L109" s="1">
        <f t="shared" si="192"/>
        <v>0</v>
      </c>
      <c r="M109" s="1">
        <f t="shared" si="192"/>
        <v>0</v>
      </c>
      <c r="N109" s="1">
        <f t="shared" si="192"/>
        <v>0</v>
      </c>
      <c r="O109" s="1">
        <f t="shared" si="192"/>
        <v>0</v>
      </c>
      <c r="P109" s="1">
        <f t="shared" si="192"/>
        <v>0</v>
      </c>
      <c r="Q109" s="1">
        <f t="shared" si="192"/>
        <v>0</v>
      </c>
      <c r="R109" s="1">
        <f t="shared" si="192"/>
        <v>0</v>
      </c>
      <c r="S109" s="1">
        <f t="shared" si="192"/>
        <v>0</v>
      </c>
      <c r="T109" s="1">
        <f t="shared" si="192"/>
        <v>0</v>
      </c>
      <c r="U109" s="1">
        <f t="shared" si="192"/>
        <v>0</v>
      </c>
      <c r="V109" s="1">
        <f t="shared" si="192"/>
        <v>1</v>
      </c>
      <c r="W109" s="1">
        <f t="shared" si="192"/>
        <v>1</v>
      </c>
      <c r="X109" s="1">
        <f t="shared" si="192"/>
        <v>0</v>
      </c>
      <c r="Y109" s="1">
        <f t="shared" si="192"/>
        <v>0</v>
      </c>
      <c r="Z109" s="1">
        <f t="shared" si="192"/>
        <v>1</v>
      </c>
      <c r="AA109" s="1">
        <f t="shared" si="192"/>
        <v>0</v>
      </c>
      <c r="AB109" s="1">
        <f t="shared" si="192"/>
        <v>0</v>
      </c>
      <c r="AC109" s="1">
        <f t="shared" si="192"/>
        <v>0</v>
      </c>
      <c r="AD109" s="1">
        <f t="shared" si="192"/>
        <v>0</v>
      </c>
      <c r="AE109" s="1">
        <f t="shared" si="192"/>
        <v>0</v>
      </c>
      <c r="AH109" s="3" t="s">
        <v>9</v>
      </c>
      <c r="AI109" s="1">
        <v>0.3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0.3</v>
      </c>
      <c r="BD109" s="1">
        <v>0.3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 x14ac:dyDescent="0.25">
      <c r="A110" s="3" t="s">
        <v>10</v>
      </c>
      <c r="B110" s="1">
        <f t="shared" ref="B110:AE110" si="193">IF(B76&gt;0.5,1,0)</f>
        <v>1</v>
      </c>
      <c r="C110" s="1">
        <f t="shared" si="193"/>
        <v>0</v>
      </c>
      <c r="D110" s="1">
        <f t="shared" si="193"/>
        <v>1</v>
      </c>
      <c r="E110" s="1">
        <f t="shared" si="193"/>
        <v>0</v>
      </c>
      <c r="F110" s="1">
        <f t="shared" si="193"/>
        <v>0</v>
      </c>
      <c r="G110" s="1">
        <f t="shared" si="193"/>
        <v>0</v>
      </c>
      <c r="H110" s="1">
        <f t="shared" si="193"/>
        <v>1</v>
      </c>
      <c r="I110" s="1">
        <f t="shared" si="193"/>
        <v>0</v>
      </c>
      <c r="J110" s="1">
        <f t="shared" si="193"/>
        <v>0</v>
      </c>
      <c r="K110" s="1">
        <f t="shared" si="193"/>
        <v>0</v>
      </c>
      <c r="L110" s="1">
        <f t="shared" si="193"/>
        <v>0</v>
      </c>
      <c r="M110" s="1">
        <f t="shared" si="193"/>
        <v>0</v>
      </c>
      <c r="N110" s="1">
        <f t="shared" si="193"/>
        <v>0</v>
      </c>
      <c r="O110" s="1">
        <f t="shared" si="193"/>
        <v>0</v>
      </c>
      <c r="P110" s="1">
        <f t="shared" si="193"/>
        <v>0</v>
      </c>
      <c r="Q110" s="1">
        <f t="shared" si="193"/>
        <v>0</v>
      </c>
      <c r="R110" s="1">
        <f t="shared" si="193"/>
        <v>0</v>
      </c>
      <c r="S110" s="1">
        <f t="shared" si="193"/>
        <v>1</v>
      </c>
      <c r="T110" s="1">
        <f t="shared" si="193"/>
        <v>0</v>
      </c>
      <c r="U110" s="1">
        <f t="shared" si="193"/>
        <v>0</v>
      </c>
      <c r="V110" s="1">
        <f t="shared" si="193"/>
        <v>0</v>
      </c>
      <c r="W110" s="1">
        <f t="shared" si="193"/>
        <v>1</v>
      </c>
      <c r="X110" s="1">
        <f t="shared" si="193"/>
        <v>0</v>
      </c>
      <c r="Y110" s="1">
        <f t="shared" si="193"/>
        <v>0</v>
      </c>
      <c r="Z110" s="1">
        <f t="shared" si="193"/>
        <v>0</v>
      </c>
      <c r="AA110" s="1">
        <f t="shared" si="193"/>
        <v>0</v>
      </c>
      <c r="AB110" s="1">
        <f t="shared" si="193"/>
        <v>0</v>
      </c>
      <c r="AC110" s="1">
        <f t="shared" si="193"/>
        <v>0</v>
      </c>
      <c r="AD110" s="1">
        <f t="shared" si="193"/>
        <v>0</v>
      </c>
      <c r="AE110" s="1">
        <f t="shared" si="193"/>
        <v>0</v>
      </c>
      <c r="AH110" s="3" t="s">
        <v>10</v>
      </c>
      <c r="AI110" s="1">
        <v>0.3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 x14ac:dyDescent="0.25">
      <c r="A111" s="3" t="s">
        <v>11</v>
      </c>
      <c r="B111" s="1">
        <f t="shared" ref="B111:AE111" si="194">IF(B77&gt;0.5,1,0)</f>
        <v>0</v>
      </c>
      <c r="C111" s="1">
        <f t="shared" si="194"/>
        <v>0</v>
      </c>
      <c r="D111" s="1">
        <f t="shared" si="194"/>
        <v>0</v>
      </c>
      <c r="E111" s="1">
        <f t="shared" si="194"/>
        <v>0</v>
      </c>
      <c r="F111" s="1">
        <f t="shared" si="194"/>
        <v>1</v>
      </c>
      <c r="G111" s="1">
        <f t="shared" si="194"/>
        <v>0</v>
      </c>
      <c r="H111" s="1">
        <f t="shared" si="194"/>
        <v>1</v>
      </c>
      <c r="I111" s="1">
        <f t="shared" si="194"/>
        <v>0</v>
      </c>
      <c r="J111" s="1">
        <f t="shared" si="194"/>
        <v>0</v>
      </c>
      <c r="K111" s="1">
        <f t="shared" si="194"/>
        <v>0</v>
      </c>
      <c r="L111" s="1">
        <f t="shared" si="194"/>
        <v>0</v>
      </c>
      <c r="M111" s="1">
        <f t="shared" si="194"/>
        <v>0</v>
      </c>
      <c r="N111" s="1">
        <f t="shared" si="194"/>
        <v>0</v>
      </c>
      <c r="O111" s="1">
        <f t="shared" si="194"/>
        <v>0</v>
      </c>
      <c r="P111" s="1">
        <f t="shared" si="194"/>
        <v>0</v>
      </c>
      <c r="Q111" s="1">
        <f t="shared" si="194"/>
        <v>0</v>
      </c>
      <c r="R111" s="1">
        <f t="shared" si="194"/>
        <v>0</v>
      </c>
      <c r="S111" s="1">
        <f t="shared" si="194"/>
        <v>0</v>
      </c>
      <c r="T111" s="1">
        <f t="shared" si="194"/>
        <v>0</v>
      </c>
      <c r="U111" s="1">
        <f t="shared" si="194"/>
        <v>1</v>
      </c>
      <c r="V111" s="1">
        <f t="shared" si="194"/>
        <v>0</v>
      </c>
      <c r="W111" s="1">
        <f t="shared" si="194"/>
        <v>0</v>
      </c>
      <c r="X111" s="1">
        <f t="shared" si="194"/>
        <v>0</v>
      </c>
      <c r="Y111" s="1">
        <f t="shared" si="194"/>
        <v>1</v>
      </c>
      <c r="Z111" s="1">
        <f t="shared" si="194"/>
        <v>1</v>
      </c>
      <c r="AA111" s="1">
        <f t="shared" si="194"/>
        <v>0</v>
      </c>
      <c r="AB111" s="1">
        <f t="shared" si="194"/>
        <v>0</v>
      </c>
      <c r="AC111" s="1">
        <f t="shared" si="194"/>
        <v>0</v>
      </c>
      <c r="AD111" s="1">
        <f t="shared" si="194"/>
        <v>0</v>
      </c>
      <c r="AE111" s="1">
        <f t="shared" si="194"/>
        <v>0</v>
      </c>
      <c r="AH111" s="3" t="s">
        <v>11</v>
      </c>
      <c r="AI111" s="1">
        <v>0.3</v>
      </c>
      <c r="AJ111" s="1">
        <v>0</v>
      </c>
      <c r="AK111" s="1">
        <v>0.3</v>
      </c>
      <c r="AL111" s="1">
        <v>0</v>
      </c>
      <c r="AM111" s="1">
        <v>0.3</v>
      </c>
      <c r="AN111" s="1">
        <v>0.3</v>
      </c>
      <c r="AO111" s="1">
        <v>0.3</v>
      </c>
      <c r="AP111" s="1">
        <v>0</v>
      </c>
      <c r="AQ111" s="1">
        <v>0</v>
      </c>
      <c r="AR111" s="1">
        <v>0</v>
      </c>
      <c r="AS111" s="1">
        <v>0.3</v>
      </c>
      <c r="AT111" s="1">
        <v>0</v>
      </c>
      <c r="AU111" s="1">
        <v>0</v>
      </c>
      <c r="AV111" s="1">
        <v>0</v>
      </c>
      <c r="AW111" s="1">
        <v>0.3</v>
      </c>
      <c r="AX111" s="1">
        <v>0.3</v>
      </c>
      <c r="AY111" s="1">
        <v>0.3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 x14ac:dyDescent="0.25">
      <c r="A112" s="3" t="s">
        <v>12</v>
      </c>
      <c r="B112" s="1">
        <f t="shared" ref="B112:AE112" si="195">IF(B78&gt;0.5,1,0)</f>
        <v>1</v>
      </c>
      <c r="C112" s="1">
        <f t="shared" si="195"/>
        <v>1</v>
      </c>
      <c r="D112" s="1">
        <f t="shared" si="195"/>
        <v>0</v>
      </c>
      <c r="E112" s="1">
        <f t="shared" si="195"/>
        <v>1</v>
      </c>
      <c r="F112" s="1">
        <f t="shared" si="195"/>
        <v>0</v>
      </c>
      <c r="G112" s="1">
        <f t="shared" si="195"/>
        <v>0</v>
      </c>
      <c r="H112" s="1">
        <f t="shared" si="195"/>
        <v>0</v>
      </c>
      <c r="I112" s="1">
        <f t="shared" si="195"/>
        <v>0</v>
      </c>
      <c r="J112" s="1">
        <f t="shared" si="195"/>
        <v>0</v>
      </c>
      <c r="K112" s="1">
        <f t="shared" si="195"/>
        <v>0</v>
      </c>
      <c r="L112" s="1">
        <f t="shared" si="195"/>
        <v>1</v>
      </c>
      <c r="M112" s="1">
        <f t="shared" si="195"/>
        <v>0</v>
      </c>
      <c r="N112" s="1">
        <f t="shared" si="195"/>
        <v>0</v>
      </c>
      <c r="O112" s="1">
        <f t="shared" si="195"/>
        <v>0</v>
      </c>
      <c r="P112" s="1">
        <f t="shared" si="195"/>
        <v>0</v>
      </c>
      <c r="Q112" s="1">
        <f t="shared" si="195"/>
        <v>1</v>
      </c>
      <c r="R112" s="1">
        <f t="shared" si="195"/>
        <v>0</v>
      </c>
      <c r="S112" s="1">
        <f t="shared" si="195"/>
        <v>0</v>
      </c>
      <c r="T112" s="1">
        <f t="shared" si="195"/>
        <v>0</v>
      </c>
      <c r="U112" s="1">
        <f t="shared" si="195"/>
        <v>0</v>
      </c>
      <c r="V112" s="1">
        <f t="shared" si="195"/>
        <v>0</v>
      </c>
      <c r="W112" s="1">
        <f t="shared" si="195"/>
        <v>0</v>
      </c>
      <c r="X112" s="1">
        <f t="shared" si="195"/>
        <v>0</v>
      </c>
      <c r="Y112" s="1">
        <f t="shared" si="195"/>
        <v>0</v>
      </c>
      <c r="Z112" s="1">
        <f t="shared" si="195"/>
        <v>0</v>
      </c>
      <c r="AA112" s="1">
        <f t="shared" si="195"/>
        <v>0</v>
      </c>
      <c r="AB112" s="1">
        <f t="shared" si="195"/>
        <v>0</v>
      </c>
      <c r="AC112" s="1">
        <f t="shared" si="195"/>
        <v>0</v>
      </c>
      <c r="AD112" s="1">
        <f t="shared" si="195"/>
        <v>0</v>
      </c>
      <c r="AE112" s="1">
        <f t="shared" si="195"/>
        <v>0</v>
      </c>
      <c r="AH112" s="3" t="s">
        <v>12</v>
      </c>
      <c r="AI112" s="1">
        <v>0.3</v>
      </c>
      <c r="AJ112" s="1">
        <v>0</v>
      </c>
      <c r="AK112" s="1">
        <v>0.3</v>
      </c>
      <c r="AL112" s="1">
        <v>0</v>
      </c>
      <c r="AM112" s="1">
        <v>0.3</v>
      </c>
      <c r="AN112" s="1">
        <v>0.3</v>
      </c>
      <c r="AO112" s="1">
        <v>0.3</v>
      </c>
      <c r="AP112" s="1">
        <v>0</v>
      </c>
      <c r="AQ112" s="1">
        <v>0</v>
      </c>
      <c r="AR112" s="1">
        <v>0.3</v>
      </c>
      <c r="AS112" s="1">
        <v>0</v>
      </c>
      <c r="AT112" s="1">
        <v>0</v>
      </c>
      <c r="AU112" s="1">
        <v>0</v>
      </c>
      <c r="AV112" s="1">
        <v>0</v>
      </c>
      <c r="AW112" s="1">
        <v>0.3</v>
      </c>
      <c r="AX112" s="1">
        <v>0</v>
      </c>
      <c r="AY112" s="1">
        <v>0.3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</row>
    <row r="113" spans="1:64" x14ac:dyDescent="0.25">
      <c r="A113" s="3" t="s">
        <v>13</v>
      </c>
      <c r="B113" s="1">
        <f t="shared" ref="B113:AE113" si="196">IF(B79&gt;0.5,1,0)</f>
        <v>0</v>
      </c>
      <c r="C113" s="1">
        <f t="shared" si="196"/>
        <v>0</v>
      </c>
      <c r="D113" s="1">
        <f t="shared" si="196"/>
        <v>0</v>
      </c>
      <c r="E113" s="1">
        <f t="shared" si="196"/>
        <v>1</v>
      </c>
      <c r="F113" s="1">
        <f t="shared" si="196"/>
        <v>0</v>
      </c>
      <c r="G113" s="1">
        <f t="shared" si="196"/>
        <v>0</v>
      </c>
      <c r="H113" s="1">
        <f t="shared" si="196"/>
        <v>0</v>
      </c>
      <c r="I113" s="1">
        <f t="shared" si="196"/>
        <v>0</v>
      </c>
      <c r="J113" s="1">
        <f t="shared" si="196"/>
        <v>0</v>
      </c>
      <c r="K113" s="1">
        <f t="shared" si="196"/>
        <v>1</v>
      </c>
      <c r="L113" s="1">
        <f t="shared" si="196"/>
        <v>0</v>
      </c>
      <c r="M113" s="1">
        <f t="shared" si="196"/>
        <v>0</v>
      </c>
      <c r="N113" s="1">
        <f t="shared" si="196"/>
        <v>0</v>
      </c>
      <c r="O113" s="1">
        <f t="shared" si="196"/>
        <v>0</v>
      </c>
      <c r="P113" s="1">
        <f t="shared" si="196"/>
        <v>0</v>
      </c>
      <c r="Q113" s="1">
        <f t="shared" si="196"/>
        <v>1</v>
      </c>
      <c r="R113" s="1">
        <f t="shared" si="196"/>
        <v>1</v>
      </c>
      <c r="S113" s="1">
        <f t="shared" si="196"/>
        <v>0</v>
      </c>
      <c r="T113" s="1">
        <f t="shared" si="196"/>
        <v>0</v>
      </c>
      <c r="U113" s="1">
        <f t="shared" si="196"/>
        <v>0</v>
      </c>
      <c r="V113" s="1">
        <f t="shared" si="196"/>
        <v>0</v>
      </c>
      <c r="W113" s="1">
        <f t="shared" si="196"/>
        <v>0</v>
      </c>
      <c r="X113" s="1">
        <f t="shared" si="196"/>
        <v>0</v>
      </c>
      <c r="Y113" s="1">
        <f t="shared" si="196"/>
        <v>0</v>
      </c>
      <c r="Z113" s="1">
        <f t="shared" si="196"/>
        <v>0</v>
      </c>
      <c r="AA113" s="1">
        <f t="shared" si="196"/>
        <v>0</v>
      </c>
      <c r="AB113" s="1">
        <f t="shared" si="196"/>
        <v>0</v>
      </c>
      <c r="AC113" s="1">
        <f t="shared" si="196"/>
        <v>0</v>
      </c>
      <c r="AD113" s="1">
        <f t="shared" si="196"/>
        <v>0</v>
      </c>
      <c r="AE113" s="1">
        <f t="shared" si="196"/>
        <v>0</v>
      </c>
      <c r="AH113" s="3" t="s">
        <v>13</v>
      </c>
      <c r="AI113" s="1">
        <v>0.3</v>
      </c>
      <c r="AJ113" s="1">
        <v>0</v>
      </c>
      <c r="AK113" s="1">
        <v>0.3</v>
      </c>
      <c r="AL113" s="1">
        <v>0</v>
      </c>
      <c r="AM113" s="1">
        <v>0.3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0.3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</row>
    <row r="114" spans="1:64" x14ac:dyDescent="0.25">
      <c r="A114" s="3" t="s">
        <v>14</v>
      </c>
      <c r="B114" s="1">
        <f t="shared" ref="B114:AE114" si="197">IF(B80&gt;0.5,1,0)</f>
        <v>0</v>
      </c>
      <c r="C114" s="1">
        <f t="shared" si="197"/>
        <v>0</v>
      </c>
      <c r="D114" s="1">
        <f t="shared" si="197"/>
        <v>1</v>
      </c>
      <c r="E114" s="1">
        <f t="shared" si="197"/>
        <v>0</v>
      </c>
      <c r="F114" s="1">
        <f t="shared" si="197"/>
        <v>0</v>
      </c>
      <c r="G114" s="1">
        <f t="shared" si="197"/>
        <v>0</v>
      </c>
      <c r="H114" s="1">
        <f t="shared" si="197"/>
        <v>0</v>
      </c>
      <c r="I114" s="1">
        <f t="shared" si="197"/>
        <v>0</v>
      </c>
      <c r="J114" s="1">
        <f t="shared" si="197"/>
        <v>0</v>
      </c>
      <c r="K114" s="1">
        <f t="shared" si="197"/>
        <v>0</v>
      </c>
      <c r="L114" s="1">
        <f t="shared" si="197"/>
        <v>0</v>
      </c>
      <c r="M114" s="1">
        <f t="shared" si="197"/>
        <v>0</v>
      </c>
      <c r="N114" s="1">
        <f t="shared" si="197"/>
        <v>1</v>
      </c>
      <c r="O114" s="1">
        <f t="shared" si="197"/>
        <v>0</v>
      </c>
      <c r="P114" s="1">
        <f t="shared" si="197"/>
        <v>0</v>
      </c>
      <c r="Q114" s="1">
        <f t="shared" si="197"/>
        <v>0</v>
      </c>
      <c r="R114" s="1">
        <f t="shared" si="197"/>
        <v>0</v>
      </c>
      <c r="S114" s="1">
        <f t="shared" si="197"/>
        <v>0</v>
      </c>
      <c r="T114" s="1">
        <f t="shared" si="197"/>
        <v>0</v>
      </c>
      <c r="U114" s="1">
        <f t="shared" si="197"/>
        <v>0</v>
      </c>
      <c r="V114" s="1">
        <f t="shared" si="197"/>
        <v>0</v>
      </c>
      <c r="W114" s="1">
        <f t="shared" si="197"/>
        <v>0</v>
      </c>
      <c r="X114" s="1">
        <f t="shared" si="197"/>
        <v>1</v>
      </c>
      <c r="Y114" s="1">
        <f t="shared" si="197"/>
        <v>0</v>
      </c>
      <c r="Z114" s="1">
        <f t="shared" si="197"/>
        <v>0</v>
      </c>
      <c r="AA114" s="1">
        <f t="shared" si="197"/>
        <v>0</v>
      </c>
      <c r="AB114" s="1">
        <f t="shared" si="197"/>
        <v>0</v>
      </c>
      <c r="AC114" s="1">
        <f t="shared" si="197"/>
        <v>0</v>
      </c>
      <c r="AD114" s="1">
        <f t="shared" si="197"/>
        <v>0</v>
      </c>
      <c r="AE114" s="1">
        <f t="shared" si="197"/>
        <v>0</v>
      </c>
      <c r="AH114" s="3" t="s">
        <v>14</v>
      </c>
      <c r="AI114" s="1">
        <v>0.3</v>
      </c>
      <c r="AJ114" s="1">
        <v>0</v>
      </c>
      <c r="AK114" s="1">
        <v>0</v>
      </c>
      <c r="AL114" s="1">
        <v>0.3</v>
      </c>
      <c r="AM114" s="1">
        <v>0.3</v>
      </c>
      <c r="AN114" s="1">
        <v>0.3</v>
      </c>
      <c r="AO114" s="1">
        <v>0.3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0.3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0.3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</row>
    <row r="115" spans="1:64" x14ac:dyDescent="0.25">
      <c r="A115" s="3" t="s">
        <v>15</v>
      </c>
      <c r="B115" s="1">
        <f t="shared" ref="B115:AE115" si="198">IF(B81&gt;0.5,1,0)</f>
        <v>0</v>
      </c>
      <c r="C115" s="1">
        <f t="shared" si="198"/>
        <v>0</v>
      </c>
      <c r="D115" s="1">
        <f t="shared" si="198"/>
        <v>1</v>
      </c>
      <c r="E115" s="1">
        <f t="shared" si="198"/>
        <v>1</v>
      </c>
      <c r="F115" s="1">
        <f t="shared" si="198"/>
        <v>0</v>
      </c>
      <c r="G115" s="1">
        <f t="shared" si="198"/>
        <v>0</v>
      </c>
      <c r="H115" s="1">
        <f t="shared" si="198"/>
        <v>0</v>
      </c>
      <c r="I115" s="1">
        <f t="shared" si="198"/>
        <v>0</v>
      </c>
      <c r="J115" s="1">
        <f t="shared" si="198"/>
        <v>0</v>
      </c>
      <c r="K115" s="1">
        <f t="shared" si="198"/>
        <v>0</v>
      </c>
      <c r="L115" s="1">
        <f t="shared" si="198"/>
        <v>0</v>
      </c>
      <c r="M115" s="1">
        <f t="shared" si="198"/>
        <v>1</v>
      </c>
      <c r="N115" s="1">
        <f t="shared" si="198"/>
        <v>0</v>
      </c>
      <c r="O115" s="1">
        <f t="shared" si="198"/>
        <v>0</v>
      </c>
      <c r="P115" s="1">
        <f t="shared" si="198"/>
        <v>1</v>
      </c>
      <c r="Q115" s="1">
        <f t="shared" si="198"/>
        <v>0</v>
      </c>
      <c r="R115" s="1">
        <f t="shared" si="198"/>
        <v>1</v>
      </c>
      <c r="S115" s="1">
        <f t="shared" si="198"/>
        <v>0</v>
      </c>
      <c r="T115" s="1">
        <f t="shared" si="198"/>
        <v>0</v>
      </c>
      <c r="U115" s="1">
        <f t="shared" si="198"/>
        <v>0</v>
      </c>
      <c r="V115" s="1">
        <f t="shared" si="198"/>
        <v>0</v>
      </c>
      <c r="W115" s="1">
        <f t="shared" si="198"/>
        <v>0</v>
      </c>
      <c r="X115" s="1">
        <f t="shared" si="198"/>
        <v>0</v>
      </c>
      <c r="Y115" s="1">
        <f t="shared" si="198"/>
        <v>0</v>
      </c>
      <c r="Z115" s="1">
        <f t="shared" si="198"/>
        <v>0</v>
      </c>
      <c r="AA115" s="1">
        <f t="shared" si="198"/>
        <v>0</v>
      </c>
      <c r="AB115" s="1">
        <f t="shared" si="198"/>
        <v>0</v>
      </c>
      <c r="AC115" s="1">
        <f t="shared" si="198"/>
        <v>0</v>
      </c>
      <c r="AD115" s="1">
        <f t="shared" si="198"/>
        <v>0</v>
      </c>
      <c r="AE115" s="1">
        <f t="shared" si="198"/>
        <v>0</v>
      </c>
      <c r="AH115" s="3" t="s">
        <v>15</v>
      </c>
      <c r="AI115" s="1">
        <v>0.3</v>
      </c>
      <c r="AJ115" s="1">
        <v>0.3</v>
      </c>
      <c r="AK115" s="1">
        <v>0.3</v>
      </c>
      <c r="AL115" s="1">
        <v>0.3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0.3</v>
      </c>
      <c r="AU115" s="1">
        <v>0.3</v>
      </c>
      <c r="AV115" s="1">
        <v>0</v>
      </c>
      <c r="AW115" s="1">
        <v>0.3</v>
      </c>
      <c r="AX115" s="1">
        <v>0</v>
      </c>
      <c r="AY115" s="1">
        <v>0.3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0.3</v>
      </c>
      <c r="BJ115" s="1">
        <v>0</v>
      </c>
      <c r="BK115" s="1">
        <v>0.3</v>
      </c>
      <c r="BL115" s="1">
        <v>0.3</v>
      </c>
    </row>
    <row r="116" spans="1:64" x14ac:dyDescent="0.25">
      <c r="A116" s="3" t="s">
        <v>16</v>
      </c>
      <c r="B116" s="1">
        <f t="shared" ref="B116:AE116" si="199">IF(B82&gt;0.5,1,0)</f>
        <v>0</v>
      </c>
      <c r="C116" s="1">
        <f t="shared" si="199"/>
        <v>1</v>
      </c>
      <c r="D116" s="1">
        <f t="shared" si="199"/>
        <v>0</v>
      </c>
      <c r="E116" s="1">
        <f t="shared" si="199"/>
        <v>0</v>
      </c>
      <c r="F116" s="1">
        <f t="shared" si="199"/>
        <v>0</v>
      </c>
      <c r="G116" s="1">
        <f t="shared" si="199"/>
        <v>0</v>
      </c>
      <c r="H116" s="1">
        <f t="shared" si="199"/>
        <v>0</v>
      </c>
      <c r="I116" s="1">
        <f t="shared" si="199"/>
        <v>0</v>
      </c>
      <c r="J116" s="1">
        <f t="shared" si="199"/>
        <v>0</v>
      </c>
      <c r="K116" s="1">
        <f t="shared" si="199"/>
        <v>0</v>
      </c>
      <c r="L116" s="1">
        <f t="shared" si="199"/>
        <v>0</v>
      </c>
      <c r="M116" s="1">
        <f t="shared" si="199"/>
        <v>0</v>
      </c>
      <c r="N116" s="1">
        <f t="shared" si="199"/>
        <v>0</v>
      </c>
      <c r="O116" s="1">
        <f t="shared" si="199"/>
        <v>0</v>
      </c>
      <c r="P116" s="1">
        <f t="shared" si="199"/>
        <v>0</v>
      </c>
      <c r="Q116" s="1">
        <f t="shared" si="199"/>
        <v>1</v>
      </c>
      <c r="R116" s="1">
        <f t="shared" si="199"/>
        <v>0</v>
      </c>
      <c r="S116" s="1">
        <f t="shared" si="199"/>
        <v>0</v>
      </c>
      <c r="T116" s="1">
        <f t="shared" si="199"/>
        <v>0</v>
      </c>
      <c r="U116" s="1">
        <f t="shared" si="199"/>
        <v>0</v>
      </c>
      <c r="V116" s="1">
        <f t="shared" si="199"/>
        <v>0</v>
      </c>
      <c r="W116" s="1">
        <f t="shared" si="199"/>
        <v>0</v>
      </c>
      <c r="X116" s="1">
        <f t="shared" si="199"/>
        <v>0</v>
      </c>
      <c r="Y116" s="1">
        <f t="shared" si="199"/>
        <v>0</v>
      </c>
      <c r="Z116" s="1">
        <f t="shared" si="199"/>
        <v>1</v>
      </c>
      <c r="AA116" s="1">
        <f t="shared" si="199"/>
        <v>1</v>
      </c>
      <c r="AB116" s="1">
        <f t="shared" si="199"/>
        <v>1</v>
      </c>
      <c r="AC116" s="1">
        <f t="shared" si="199"/>
        <v>1</v>
      </c>
      <c r="AD116" s="1">
        <f t="shared" si="199"/>
        <v>0</v>
      </c>
      <c r="AE116" s="1">
        <f t="shared" si="199"/>
        <v>0</v>
      </c>
      <c r="AH116" s="3" t="s">
        <v>16</v>
      </c>
      <c r="AI116" s="1">
        <v>0.3</v>
      </c>
      <c r="AJ116" s="1">
        <v>0</v>
      </c>
      <c r="AK116" s="1">
        <v>0.3</v>
      </c>
      <c r="AL116" s="1">
        <v>0</v>
      </c>
      <c r="AM116" s="1">
        <v>0.3</v>
      </c>
      <c r="AN116" s="1">
        <v>0.3</v>
      </c>
      <c r="AO116" s="1">
        <v>0.3</v>
      </c>
      <c r="AP116" s="1">
        <v>0</v>
      </c>
      <c r="AQ116" s="1">
        <v>0</v>
      </c>
      <c r="AR116" s="1">
        <v>0.3</v>
      </c>
      <c r="AS116" s="1">
        <v>0.3</v>
      </c>
      <c r="AT116" s="1">
        <v>0</v>
      </c>
      <c r="AU116" s="1">
        <v>0</v>
      </c>
      <c r="AV116" s="1">
        <v>0.3</v>
      </c>
      <c r="AW116" s="1">
        <v>0</v>
      </c>
      <c r="AX116" s="1">
        <v>0</v>
      </c>
      <c r="AY116" s="1">
        <v>0.3</v>
      </c>
      <c r="AZ116" s="1">
        <v>0</v>
      </c>
      <c r="BA116" s="1">
        <v>0.3</v>
      </c>
      <c r="BB116" s="1">
        <v>0.3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</row>
    <row r="117" spans="1:64" x14ac:dyDescent="0.25">
      <c r="A117" s="3" t="s">
        <v>17</v>
      </c>
      <c r="B117" s="1">
        <f t="shared" ref="B117:AE117" si="200">IF(B83&gt;0.5,1,0)</f>
        <v>0</v>
      </c>
      <c r="C117" s="1">
        <f t="shared" si="200"/>
        <v>0</v>
      </c>
      <c r="D117" s="1">
        <f t="shared" si="200"/>
        <v>0</v>
      </c>
      <c r="E117" s="1">
        <f t="shared" si="200"/>
        <v>0</v>
      </c>
      <c r="F117" s="1">
        <f t="shared" si="200"/>
        <v>0</v>
      </c>
      <c r="G117" s="1">
        <f t="shared" si="200"/>
        <v>0</v>
      </c>
      <c r="H117" s="1">
        <f t="shared" si="200"/>
        <v>0</v>
      </c>
      <c r="I117" s="1">
        <f t="shared" si="200"/>
        <v>0</v>
      </c>
      <c r="J117" s="1">
        <f t="shared" si="200"/>
        <v>0</v>
      </c>
      <c r="K117" s="1">
        <f t="shared" si="200"/>
        <v>0</v>
      </c>
      <c r="L117" s="1">
        <f t="shared" si="200"/>
        <v>0</v>
      </c>
      <c r="M117" s="1">
        <f t="shared" si="200"/>
        <v>0</v>
      </c>
      <c r="N117" s="1">
        <f t="shared" si="200"/>
        <v>1</v>
      </c>
      <c r="O117" s="1">
        <f t="shared" si="200"/>
        <v>0</v>
      </c>
      <c r="P117" s="1">
        <f t="shared" si="200"/>
        <v>0</v>
      </c>
      <c r="Q117" s="1">
        <f t="shared" si="200"/>
        <v>0</v>
      </c>
      <c r="R117" s="1">
        <f t="shared" si="200"/>
        <v>1</v>
      </c>
      <c r="S117" s="1">
        <f t="shared" si="200"/>
        <v>0</v>
      </c>
      <c r="T117" s="1">
        <f t="shared" si="200"/>
        <v>0</v>
      </c>
      <c r="U117" s="1">
        <f t="shared" si="200"/>
        <v>0</v>
      </c>
      <c r="V117" s="1">
        <f t="shared" si="200"/>
        <v>0</v>
      </c>
      <c r="W117" s="1">
        <f t="shared" si="200"/>
        <v>0</v>
      </c>
      <c r="X117" s="1">
        <f t="shared" si="200"/>
        <v>0</v>
      </c>
      <c r="Y117" s="1">
        <f t="shared" si="200"/>
        <v>0</v>
      </c>
      <c r="Z117" s="1">
        <f t="shared" si="200"/>
        <v>0</v>
      </c>
      <c r="AA117" s="1">
        <f t="shared" si="200"/>
        <v>0</v>
      </c>
      <c r="AB117" s="1">
        <f t="shared" si="200"/>
        <v>0</v>
      </c>
      <c r="AC117" s="1">
        <f t="shared" si="200"/>
        <v>0</v>
      </c>
      <c r="AD117" s="1">
        <f t="shared" si="200"/>
        <v>0</v>
      </c>
      <c r="AE117" s="1">
        <f t="shared" si="200"/>
        <v>1</v>
      </c>
      <c r="AH117" s="3" t="s">
        <v>17</v>
      </c>
      <c r="AI117" s="1">
        <v>0.3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0.3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0.3</v>
      </c>
    </row>
    <row r="118" spans="1:64" x14ac:dyDescent="0.25">
      <c r="A118" s="3" t="s">
        <v>18</v>
      </c>
      <c r="B118" s="1">
        <f t="shared" ref="B118:AE118" si="201">IF(B84&gt;0.5,1,0)</f>
        <v>0</v>
      </c>
      <c r="C118" s="1">
        <f t="shared" si="201"/>
        <v>1</v>
      </c>
      <c r="D118" s="1">
        <f t="shared" si="201"/>
        <v>0</v>
      </c>
      <c r="E118" s="1">
        <f t="shared" si="201"/>
        <v>0</v>
      </c>
      <c r="F118" s="1">
        <f t="shared" si="201"/>
        <v>0</v>
      </c>
      <c r="G118" s="1">
        <f t="shared" si="201"/>
        <v>0</v>
      </c>
      <c r="H118" s="1">
        <f t="shared" si="201"/>
        <v>0</v>
      </c>
      <c r="I118" s="1">
        <f t="shared" si="201"/>
        <v>0</v>
      </c>
      <c r="J118" s="1">
        <f t="shared" si="201"/>
        <v>0</v>
      </c>
      <c r="K118" s="1">
        <f t="shared" si="201"/>
        <v>1</v>
      </c>
      <c r="L118" s="1">
        <f t="shared" si="201"/>
        <v>1</v>
      </c>
      <c r="M118" s="1">
        <f t="shared" si="201"/>
        <v>0</v>
      </c>
      <c r="N118" s="1">
        <f t="shared" si="201"/>
        <v>0</v>
      </c>
      <c r="O118" s="1">
        <f t="shared" si="201"/>
        <v>1</v>
      </c>
      <c r="P118" s="1">
        <f t="shared" si="201"/>
        <v>0</v>
      </c>
      <c r="Q118" s="1">
        <f t="shared" si="201"/>
        <v>0</v>
      </c>
      <c r="R118" s="1">
        <f t="shared" si="201"/>
        <v>1</v>
      </c>
      <c r="S118" s="1">
        <f t="shared" si="201"/>
        <v>0</v>
      </c>
      <c r="T118" s="1">
        <f t="shared" si="201"/>
        <v>0</v>
      </c>
      <c r="U118" s="1">
        <f t="shared" si="201"/>
        <v>0</v>
      </c>
      <c r="V118" s="1">
        <f t="shared" si="201"/>
        <v>0</v>
      </c>
      <c r="W118" s="1">
        <f t="shared" si="201"/>
        <v>0</v>
      </c>
      <c r="X118" s="1">
        <f t="shared" si="201"/>
        <v>0</v>
      </c>
      <c r="Y118" s="1">
        <f t="shared" si="201"/>
        <v>0</v>
      </c>
      <c r="Z118" s="1">
        <f t="shared" si="201"/>
        <v>0</v>
      </c>
      <c r="AA118" s="1">
        <f t="shared" si="201"/>
        <v>0</v>
      </c>
      <c r="AB118" s="1">
        <f t="shared" si="201"/>
        <v>1</v>
      </c>
      <c r="AC118" s="1">
        <f t="shared" si="201"/>
        <v>0</v>
      </c>
      <c r="AD118" s="1">
        <f t="shared" si="201"/>
        <v>0</v>
      </c>
      <c r="AE118" s="1">
        <f t="shared" si="201"/>
        <v>1</v>
      </c>
      <c r="AH118" s="3" t="s">
        <v>18</v>
      </c>
      <c r="AI118" s="1">
        <v>0.3</v>
      </c>
      <c r="AJ118" s="1">
        <v>0</v>
      </c>
      <c r="AK118" s="1">
        <v>0.3</v>
      </c>
      <c r="AL118" s="1">
        <v>0</v>
      </c>
      <c r="AM118" s="1">
        <v>0.3</v>
      </c>
      <c r="AN118" s="1">
        <v>0.3</v>
      </c>
      <c r="AO118" s="1">
        <v>0.3</v>
      </c>
      <c r="AP118" s="1">
        <v>0</v>
      </c>
      <c r="AQ118" s="1">
        <v>0</v>
      </c>
      <c r="AR118" s="1">
        <v>0.3</v>
      </c>
      <c r="AS118" s="1">
        <v>0.3</v>
      </c>
      <c r="AT118" s="1">
        <v>0</v>
      </c>
      <c r="AU118" s="1">
        <v>0</v>
      </c>
      <c r="AV118" s="1">
        <v>0.3</v>
      </c>
      <c r="AW118" s="1">
        <v>0.3</v>
      </c>
      <c r="AX118" s="1">
        <v>0</v>
      </c>
      <c r="AY118" s="1">
        <v>0</v>
      </c>
      <c r="AZ118" s="1">
        <v>0</v>
      </c>
      <c r="BA118" s="1">
        <v>0.3</v>
      </c>
      <c r="BB118" s="1">
        <v>0.3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</row>
    <row r="119" spans="1:64" x14ac:dyDescent="0.25">
      <c r="A119" s="3" t="s">
        <v>19</v>
      </c>
      <c r="B119" s="1">
        <f t="shared" ref="B119:AE119" si="202">IF(B85&gt;0.5,1,0)</f>
        <v>0</v>
      </c>
      <c r="C119" s="1">
        <f t="shared" si="202"/>
        <v>0</v>
      </c>
      <c r="D119" s="1">
        <f t="shared" si="202"/>
        <v>0</v>
      </c>
      <c r="E119" s="1">
        <f t="shared" si="202"/>
        <v>1</v>
      </c>
      <c r="F119" s="1">
        <f t="shared" si="202"/>
        <v>0</v>
      </c>
      <c r="G119" s="1">
        <f t="shared" si="202"/>
        <v>0</v>
      </c>
      <c r="H119" s="1">
        <f t="shared" si="202"/>
        <v>0</v>
      </c>
      <c r="I119" s="1">
        <f t="shared" si="202"/>
        <v>0</v>
      </c>
      <c r="J119" s="1">
        <f t="shared" si="202"/>
        <v>0</v>
      </c>
      <c r="K119" s="1">
        <f t="shared" si="202"/>
        <v>0</v>
      </c>
      <c r="L119" s="1">
        <f t="shared" si="202"/>
        <v>1</v>
      </c>
      <c r="M119" s="1">
        <f t="shared" si="202"/>
        <v>0</v>
      </c>
      <c r="N119" s="1">
        <f t="shared" si="202"/>
        <v>1</v>
      </c>
      <c r="O119" s="1">
        <f t="shared" si="202"/>
        <v>0</v>
      </c>
      <c r="P119" s="1">
        <f t="shared" si="202"/>
        <v>1</v>
      </c>
      <c r="Q119" s="1">
        <f t="shared" si="202"/>
        <v>1</v>
      </c>
      <c r="R119" s="1">
        <f t="shared" si="202"/>
        <v>0</v>
      </c>
      <c r="S119" s="1">
        <f t="shared" si="202"/>
        <v>0</v>
      </c>
      <c r="T119" s="1">
        <f t="shared" si="202"/>
        <v>0</v>
      </c>
      <c r="U119" s="1">
        <f t="shared" si="202"/>
        <v>0</v>
      </c>
      <c r="V119" s="1">
        <f t="shared" si="202"/>
        <v>0</v>
      </c>
      <c r="W119" s="1">
        <f t="shared" si="202"/>
        <v>0</v>
      </c>
      <c r="X119" s="1">
        <f t="shared" si="202"/>
        <v>0</v>
      </c>
      <c r="Y119" s="1">
        <f t="shared" si="202"/>
        <v>0</v>
      </c>
      <c r="Z119" s="1">
        <f t="shared" si="202"/>
        <v>0</v>
      </c>
      <c r="AA119" s="1">
        <f t="shared" si="202"/>
        <v>0</v>
      </c>
      <c r="AB119" s="1">
        <f t="shared" si="202"/>
        <v>0</v>
      </c>
      <c r="AC119" s="1">
        <f t="shared" si="202"/>
        <v>0</v>
      </c>
      <c r="AD119" s="1">
        <f t="shared" si="202"/>
        <v>0</v>
      </c>
      <c r="AE119" s="1">
        <f t="shared" si="202"/>
        <v>1</v>
      </c>
      <c r="AH119" s="3" t="s">
        <v>19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</row>
    <row r="120" spans="1:64" x14ac:dyDescent="0.25">
      <c r="A120" s="3" t="s">
        <v>20</v>
      </c>
      <c r="B120" s="1">
        <f t="shared" ref="B120:AE120" si="203">IF(B86&gt;0.5,1,0)</f>
        <v>0</v>
      </c>
      <c r="C120" s="1">
        <f t="shared" si="203"/>
        <v>0</v>
      </c>
      <c r="D120" s="1">
        <f t="shared" si="203"/>
        <v>1</v>
      </c>
      <c r="E120" s="1">
        <f t="shared" si="203"/>
        <v>0</v>
      </c>
      <c r="F120" s="1">
        <f t="shared" si="203"/>
        <v>0</v>
      </c>
      <c r="G120" s="1">
        <f t="shared" si="203"/>
        <v>0</v>
      </c>
      <c r="H120" s="1">
        <f t="shared" si="203"/>
        <v>0</v>
      </c>
      <c r="I120" s="1">
        <f t="shared" si="203"/>
        <v>1</v>
      </c>
      <c r="J120" s="1">
        <f t="shared" si="203"/>
        <v>0</v>
      </c>
      <c r="K120" s="1">
        <f t="shared" si="203"/>
        <v>0</v>
      </c>
      <c r="L120" s="1">
        <f t="shared" si="203"/>
        <v>0</v>
      </c>
      <c r="M120" s="1">
        <f t="shared" si="203"/>
        <v>0</v>
      </c>
      <c r="N120" s="1">
        <f t="shared" si="203"/>
        <v>0</v>
      </c>
      <c r="O120" s="1">
        <f t="shared" si="203"/>
        <v>0</v>
      </c>
      <c r="P120" s="1">
        <f t="shared" si="203"/>
        <v>0</v>
      </c>
      <c r="Q120" s="1">
        <f t="shared" si="203"/>
        <v>0</v>
      </c>
      <c r="R120" s="1">
        <f t="shared" si="203"/>
        <v>0</v>
      </c>
      <c r="S120" s="1">
        <f t="shared" si="203"/>
        <v>0</v>
      </c>
      <c r="T120" s="1">
        <f t="shared" si="203"/>
        <v>0</v>
      </c>
      <c r="U120" s="1">
        <f t="shared" si="203"/>
        <v>0</v>
      </c>
      <c r="V120" s="1">
        <f t="shared" si="203"/>
        <v>0</v>
      </c>
      <c r="W120" s="1">
        <f t="shared" si="203"/>
        <v>1</v>
      </c>
      <c r="X120" s="1">
        <f t="shared" si="203"/>
        <v>1</v>
      </c>
      <c r="Y120" s="1">
        <f t="shared" si="203"/>
        <v>0</v>
      </c>
      <c r="Z120" s="1">
        <f t="shared" si="203"/>
        <v>0</v>
      </c>
      <c r="AA120" s="1">
        <f t="shared" si="203"/>
        <v>0</v>
      </c>
      <c r="AB120" s="1">
        <f t="shared" si="203"/>
        <v>0</v>
      </c>
      <c r="AC120" s="1">
        <f t="shared" si="203"/>
        <v>0</v>
      </c>
      <c r="AD120" s="1">
        <f t="shared" si="203"/>
        <v>0</v>
      </c>
      <c r="AE120" s="1">
        <f t="shared" si="203"/>
        <v>0</v>
      </c>
      <c r="AH120" s="3" t="s">
        <v>20</v>
      </c>
      <c r="AI120" s="1">
        <v>0.3</v>
      </c>
      <c r="AJ120" s="1">
        <v>0</v>
      </c>
      <c r="AK120" s="1">
        <v>0.3</v>
      </c>
      <c r="AL120" s="1">
        <v>0</v>
      </c>
      <c r="AM120" s="1">
        <v>0.3</v>
      </c>
      <c r="AN120" s="1">
        <v>0.3</v>
      </c>
      <c r="AO120" s="1">
        <v>0.3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0.3</v>
      </c>
      <c r="AX120" s="1">
        <v>0</v>
      </c>
      <c r="AY120" s="1">
        <v>0.3</v>
      </c>
      <c r="AZ120" s="1">
        <v>0</v>
      </c>
      <c r="BA120" s="1">
        <v>0</v>
      </c>
      <c r="BB120" s="1">
        <v>0.3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</row>
    <row r="121" spans="1:64" x14ac:dyDescent="0.25">
      <c r="A121" s="3" t="s">
        <v>21</v>
      </c>
      <c r="B121" s="1">
        <f t="shared" ref="B121:AE121" si="204">IF(B87&gt;0.5,1,0)</f>
        <v>0</v>
      </c>
      <c r="C121" s="1">
        <f t="shared" si="204"/>
        <v>0</v>
      </c>
      <c r="D121" s="1">
        <f t="shared" si="204"/>
        <v>0</v>
      </c>
      <c r="E121" s="1">
        <f t="shared" si="204"/>
        <v>0</v>
      </c>
      <c r="F121" s="1">
        <f t="shared" si="204"/>
        <v>0</v>
      </c>
      <c r="G121" s="1">
        <f t="shared" si="204"/>
        <v>0</v>
      </c>
      <c r="H121" s="1">
        <f t="shared" si="204"/>
        <v>0</v>
      </c>
      <c r="I121" s="1">
        <f t="shared" si="204"/>
        <v>0</v>
      </c>
      <c r="J121" s="1">
        <f t="shared" si="204"/>
        <v>0</v>
      </c>
      <c r="K121" s="1">
        <f t="shared" si="204"/>
        <v>0</v>
      </c>
      <c r="L121" s="1">
        <f t="shared" si="204"/>
        <v>0</v>
      </c>
      <c r="M121" s="1">
        <f t="shared" si="204"/>
        <v>0</v>
      </c>
      <c r="N121" s="1">
        <f t="shared" si="204"/>
        <v>0</v>
      </c>
      <c r="O121" s="1">
        <f t="shared" si="204"/>
        <v>0</v>
      </c>
      <c r="P121" s="1">
        <f t="shared" si="204"/>
        <v>0</v>
      </c>
      <c r="Q121" s="1">
        <f t="shared" si="204"/>
        <v>0</v>
      </c>
      <c r="R121" s="1">
        <f t="shared" si="204"/>
        <v>0</v>
      </c>
      <c r="S121" s="1">
        <f t="shared" si="204"/>
        <v>0</v>
      </c>
      <c r="T121" s="1">
        <f t="shared" si="204"/>
        <v>0</v>
      </c>
      <c r="U121" s="1">
        <f t="shared" si="204"/>
        <v>1</v>
      </c>
      <c r="V121" s="1">
        <f t="shared" si="204"/>
        <v>0</v>
      </c>
      <c r="W121" s="1">
        <f t="shared" si="204"/>
        <v>0</v>
      </c>
      <c r="X121" s="1">
        <f t="shared" si="204"/>
        <v>0</v>
      </c>
      <c r="Y121" s="1">
        <f t="shared" si="204"/>
        <v>1</v>
      </c>
      <c r="Z121" s="1">
        <f t="shared" si="204"/>
        <v>0</v>
      </c>
      <c r="AA121" s="1">
        <f t="shared" si="204"/>
        <v>0</v>
      </c>
      <c r="AB121" s="1">
        <f t="shared" si="204"/>
        <v>0</v>
      </c>
      <c r="AC121" s="1">
        <f t="shared" si="204"/>
        <v>0</v>
      </c>
      <c r="AD121" s="1">
        <f t="shared" si="204"/>
        <v>0</v>
      </c>
      <c r="AE121" s="1">
        <f t="shared" si="204"/>
        <v>0</v>
      </c>
      <c r="AH121" s="3" t="s">
        <v>21</v>
      </c>
      <c r="AI121" s="1">
        <v>0.3</v>
      </c>
      <c r="AJ121" s="1">
        <v>0</v>
      </c>
      <c r="AK121" s="1">
        <v>0.3</v>
      </c>
      <c r="AL121" s="1">
        <v>0.3</v>
      </c>
      <c r="AM121" s="1">
        <v>0.3</v>
      </c>
      <c r="AN121" s="1">
        <v>0.3</v>
      </c>
      <c r="AO121" s="1">
        <v>0.3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0.3</v>
      </c>
      <c r="AV121" s="1">
        <v>0</v>
      </c>
      <c r="AW121" s="1">
        <v>0.3</v>
      </c>
      <c r="AX121" s="1">
        <v>0</v>
      </c>
      <c r="AY121" s="1">
        <v>0.3</v>
      </c>
      <c r="AZ121" s="1">
        <v>0</v>
      </c>
      <c r="BA121" s="1">
        <v>0.3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 x14ac:dyDescent="0.25">
      <c r="A122" s="3" t="s">
        <v>22</v>
      </c>
      <c r="B122" s="1">
        <f t="shared" ref="B122:AE122" si="205">IF(B88&gt;0.5,1,0)</f>
        <v>0</v>
      </c>
      <c r="C122" s="1">
        <f t="shared" si="205"/>
        <v>0</v>
      </c>
      <c r="D122" s="1">
        <f t="shared" si="205"/>
        <v>0</v>
      </c>
      <c r="E122" s="1">
        <f t="shared" si="205"/>
        <v>0</v>
      </c>
      <c r="F122" s="1">
        <f t="shared" si="205"/>
        <v>1</v>
      </c>
      <c r="G122" s="1">
        <f t="shared" si="205"/>
        <v>0</v>
      </c>
      <c r="H122" s="1">
        <f t="shared" si="205"/>
        <v>0</v>
      </c>
      <c r="I122" s="1">
        <f t="shared" si="205"/>
        <v>0</v>
      </c>
      <c r="J122" s="1">
        <f t="shared" si="205"/>
        <v>1</v>
      </c>
      <c r="K122" s="1">
        <f t="shared" si="205"/>
        <v>0</v>
      </c>
      <c r="L122" s="1">
        <f t="shared" si="205"/>
        <v>0</v>
      </c>
      <c r="M122" s="1">
        <f t="shared" si="205"/>
        <v>0</v>
      </c>
      <c r="N122" s="1">
        <f t="shared" si="205"/>
        <v>0</v>
      </c>
      <c r="O122" s="1">
        <f t="shared" si="205"/>
        <v>0</v>
      </c>
      <c r="P122" s="1">
        <f t="shared" si="205"/>
        <v>0</v>
      </c>
      <c r="Q122" s="1">
        <f t="shared" si="205"/>
        <v>0</v>
      </c>
      <c r="R122" s="1">
        <f t="shared" si="205"/>
        <v>0</v>
      </c>
      <c r="S122" s="1">
        <f t="shared" si="205"/>
        <v>0</v>
      </c>
      <c r="T122" s="1">
        <f t="shared" si="205"/>
        <v>1</v>
      </c>
      <c r="U122" s="1">
        <f t="shared" si="205"/>
        <v>0</v>
      </c>
      <c r="V122" s="1">
        <f t="shared" si="205"/>
        <v>1</v>
      </c>
      <c r="W122" s="1">
        <f t="shared" si="205"/>
        <v>0</v>
      </c>
      <c r="X122" s="1">
        <f t="shared" si="205"/>
        <v>0</v>
      </c>
      <c r="Y122" s="1">
        <f t="shared" si="205"/>
        <v>1</v>
      </c>
      <c r="Z122" s="1">
        <f t="shared" si="205"/>
        <v>0</v>
      </c>
      <c r="AA122" s="1">
        <f t="shared" si="205"/>
        <v>0</v>
      </c>
      <c r="AB122" s="1">
        <f t="shared" si="205"/>
        <v>0</v>
      </c>
      <c r="AC122" s="1">
        <f t="shared" si="205"/>
        <v>0</v>
      </c>
      <c r="AD122" s="1">
        <f t="shared" si="205"/>
        <v>0</v>
      </c>
      <c r="AE122" s="1">
        <f t="shared" si="205"/>
        <v>0</v>
      </c>
      <c r="AH122" s="3" t="s">
        <v>22</v>
      </c>
      <c r="AI122" s="1">
        <v>0.3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0.3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0.3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 x14ac:dyDescent="0.25">
      <c r="A123" s="3" t="s">
        <v>23</v>
      </c>
      <c r="B123" s="1">
        <f t="shared" ref="B123:AE123" si="206">IF(B89&gt;0.5,1,0)</f>
        <v>0</v>
      </c>
      <c r="C123" s="1">
        <f t="shared" si="206"/>
        <v>0</v>
      </c>
      <c r="D123" s="1">
        <f t="shared" si="206"/>
        <v>0</v>
      </c>
      <c r="E123" s="1">
        <f t="shared" si="206"/>
        <v>0</v>
      </c>
      <c r="F123" s="1">
        <f t="shared" si="206"/>
        <v>1</v>
      </c>
      <c r="G123" s="1">
        <f t="shared" si="206"/>
        <v>0</v>
      </c>
      <c r="H123" s="1">
        <f t="shared" si="206"/>
        <v>1</v>
      </c>
      <c r="I123" s="1">
        <f t="shared" si="206"/>
        <v>0</v>
      </c>
      <c r="J123" s="1">
        <f t="shared" si="206"/>
        <v>0</v>
      </c>
      <c r="K123" s="1">
        <f t="shared" si="206"/>
        <v>0</v>
      </c>
      <c r="L123" s="1">
        <f t="shared" si="206"/>
        <v>0</v>
      </c>
      <c r="M123" s="1">
        <f t="shared" si="206"/>
        <v>0</v>
      </c>
      <c r="N123" s="1">
        <f t="shared" si="206"/>
        <v>0</v>
      </c>
      <c r="O123" s="1">
        <f t="shared" si="206"/>
        <v>0</v>
      </c>
      <c r="P123" s="1">
        <f t="shared" si="206"/>
        <v>0</v>
      </c>
      <c r="Q123" s="1">
        <f t="shared" si="206"/>
        <v>0</v>
      </c>
      <c r="R123" s="1">
        <f t="shared" si="206"/>
        <v>0</v>
      </c>
      <c r="S123" s="1">
        <f t="shared" si="206"/>
        <v>0</v>
      </c>
      <c r="T123" s="1">
        <f t="shared" si="206"/>
        <v>0</v>
      </c>
      <c r="U123" s="1">
        <f t="shared" si="206"/>
        <v>1</v>
      </c>
      <c r="V123" s="1">
        <f t="shared" si="206"/>
        <v>0</v>
      </c>
      <c r="W123" s="1">
        <f t="shared" si="206"/>
        <v>1</v>
      </c>
      <c r="X123" s="1">
        <f t="shared" si="206"/>
        <v>0</v>
      </c>
      <c r="Y123" s="1">
        <f t="shared" si="206"/>
        <v>0</v>
      </c>
      <c r="Z123" s="1">
        <f t="shared" si="206"/>
        <v>0</v>
      </c>
      <c r="AA123" s="1">
        <f t="shared" si="206"/>
        <v>0</v>
      </c>
      <c r="AB123" s="1">
        <f t="shared" si="206"/>
        <v>0</v>
      </c>
      <c r="AC123" s="1">
        <f t="shared" si="206"/>
        <v>0</v>
      </c>
      <c r="AD123" s="1">
        <f t="shared" si="206"/>
        <v>0</v>
      </c>
      <c r="AE123" s="1">
        <f t="shared" si="206"/>
        <v>0</v>
      </c>
      <c r="AH123" s="3" t="s">
        <v>23</v>
      </c>
      <c r="AI123" s="1">
        <v>0.3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0.3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0.3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 x14ac:dyDescent="0.25">
      <c r="A124" s="3" t="s">
        <v>24</v>
      </c>
      <c r="B124" s="1">
        <f t="shared" ref="B124:AE124" si="207">IF(B90&gt;0.5,1,0)</f>
        <v>0</v>
      </c>
      <c r="C124" s="1">
        <f t="shared" si="207"/>
        <v>0</v>
      </c>
      <c r="D124" s="1">
        <f t="shared" si="207"/>
        <v>0</v>
      </c>
      <c r="E124" s="1">
        <f t="shared" si="207"/>
        <v>0</v>
      </c>
      <c r="F124" s="1">
        <f t="shared" si="207"/>
        <v>0</v>
      </c>
      <c r="G124" s="1">
        <f t="shared" si="207"/>
        <v>0</v>
      </c>
      <c r="H124" s="1">
        <f t="shared" si="207"/>
        <v>1</v>
      </c>
      <c r="I124" s="1">
        <f t="shared" si="207"/>
        <v>1</v>
      </c>
      <c r="J124" s="1">
        <f t="shared" si="207"/>
        <v>0</v>
      </c>
      <c r="K124" s="1">
        <f t="shared" si="207"/>
        <v>0</v>
      </c>
      <c r="L124" s="1">
        <f t="shared" si="207"/>
        <v>0</v>
      </c>
      <c r="M124" s="1">
        <f t="shared" si="207"/>
        <v>0</v>
      </c>
      <c r="N124" s="1">
        <f t="shared" si="207"/>
        <v>0</v>
      </c>
      <c r="O124" s="1">
        <f t="shared" si="207"/>
        <v>0</v>
      </c>
      <c r="P124" s="1">
        <f t="shared" si="207"/>
        <v>0</v>
      </c>
      <c r="Q124" s="1">
        <f t="shared" si="207"/>
        <v>0</v>
      </c>
      <c r="R124" s="1">
        <f t="shared" si="207"/>
        <v>0</v>
      </c>
      <c r="S124" s="1">
        <f t="shared" si="207"/>
        <v>1</v>
      </c>
      <c r="T124" s="1">
        <f t="shared" si="207"/>
        <v>0</v>
      </c>
      <c r="U124" s="1">
        <f t="shared" si="207"/>
        <v>0</v>
      </c>
      <c r="V124" s="1">
        <f t="shared" si="207"/>
        <v>1</v>
      </c>
      <c r="W124" s="1">
        <f t="shared" si="207"/>
        <v>0</v>
      </c>
      <c r="X124" s="1">
        <f t="shared" si="207"/>
        <v>1</v>
      </c>
      <c r="Y124" s="1">
        <f t="shared" si="207"/>
        <v>0</v>
      </c>
      <c r="Z124" s="1">
        <f t="shared" si="207"/>
        <v>0</v>
      </c>
      <c r="AA124" s="1">
        <f t="shared" si="207"/>
        <v>0</v>
      </c>
      <c r="AB124" s="1">
        <f t="shared" si="207"/>
        <v>0</v>
      </c>
      <c r="AC124" s="1">
        <f t="shared" si="207"/>
        <v>0</v>
      </c>
      <c r="AD124" s="1">
        <f t="shared" si="207"/>
        <v>0</v>
      </c>
      <c r="AE124" s="1">
        <f t="shared" si="207"/>
        <v>0</v>
      </c>
      <c r="AH124" s="3" t="s">
        <v>24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 x14ac:dyDescent="0.25">
      <c r="A125" s="3" t="s">
        <v>25</v>
      </c>
      <c r="B125" s="1">
        <f t="shared" ref="B125:AE125" si="208">IF(B91&gt;0.5,1,0)</f>
        <v>0</v>
      </c>
      <c r="C125" s="1">
        <f t="shared" si="208"/>
        <v>0</v>
      </c>
      <c r="D125" s="1">
        <f t="shared" si="208"/>
        <v>1</v>
      </c>
      <c r="E125" s="1">
        <f t="shared" si="208"/>
        <v>0</v>
      </c>
      <c r="F125" s="1">
        <f t="shared" si="208"/>
        <v>0</v>
      </c>
      <c r="G125" s="1">
        <f t="shared" si="208"/>
        <v>0</v>
      </c>
      <c r="H125" s="1">
        <f t="shared" si="208"/>
        <v>0</v>
      </c>
      <c r="I125" s="1">
        <f t="shared" si="208"/>
        <v>0</v>
      </c>
      <c r="J125" s="1">
        <f t="shared" si="208"/>
        <v>0</v>
      </c>
      <c r="K125" s="1">
        <f t="shared" si="208"/>
        <v>0</v>
      </c>
      <c r="L125" s="1">
        <f t="shared" si="208"/>
        <v>0</v>
      </c>
      <c r="M125" s="1">
        <f t="shared" si="208"/>
        <v>1</v>
      </c>
      <c r="N125" s="1">
        <f t="shared" si="208"/>
        <v>0</v>
      </c>
      <c r="O125" s="1">
        <f t="shared" si="208"/>
        <v>0</v>
      </c>
      <c r="P125" s="1">
        <f t="shared" si="208"/>
        <v>0</v>
      </c>
      <c r="Q125" s="1">
        <f t="shared" si="208"/>
        <v>0</v>
      </c>
      <c r="R125" s="1">
        <f t="shared" si="208"/>
        <v>0</v>
      </c>
      <c r="S125" s="1">
        <f t="shared" si="208"/>
        <v>1</v>
      </c>
      <c r="T125" s="1">
        <f t="shared" si="208"/>
        <v>0</v>
      </c>
      <c r="U125" s="1">
        <f t="shared" si="208"/>
        <v>0</v>
      </c>
      <c r="V125" s="1">
        <f t="shared" si="208"/>
        <v>0</v>
      </c>
      <c r="W125" s="1">
        <f t="shared" si="208"/>
        <v>1</v>
      </c>
      <c r="X125" s="1">
        <f t="shared" si="208"/>
        <v>0</v>
      </c>
      <c r="Y125" s="1">
        <f t="shared" si="208"/>
        <v>0</v>
      </c>
      <c r="Z125" s="1">
        <f t="shared" si="208"/>
        <v>0</v>
      </c>
      <c r="AA125" s="1">
        <f t="shared" si="208"/>
        <v>0</v>
      </c>
      <c r="AB125" s="1">
        <f t="shared" si="208"/>
        <v>0</v>
      </c>
      <c r="AC125" s="1">
        <f t="shared" si="208"/>
        <v>0</v>
      </c>
      <c r="AD125" s="1">
        <f t="shared" si="208"/>
        <v>0</v>
      </c>
      <c r="AE125" s="1">
        <f t="shared" si="208"/>
        <v>0</v>
      </c>
      <c r="AH125" s="3" t="s">
        <v>25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</row>
    <row r="126" spans="1:64" x14ac:dyDescent="0.25">
      <c r="A126" s="3" t="s">
        <v>26</v>
      </c>
      <c r="B126" s="1">
        <f t="shared" ref="B126:AE126" si="209">IF(B92&gt;0.5,1,0)</f>
        <v>0</v>
      </c>
      <c r="C126" s="1">
        <f t="shared" si="209"/>
        <v>0</v>
      </c>
      <c r="D126" s="1">
        <f t="shared" si="209"/>
        <v>0</v>
      </c>
      <c r="E126" s="1">
        <f t="shared" si="209"/>
        <v>0</v>
      </c>
      <c r="F126" s="1">
        <f t="shared" si="209"/>
        <v>0</v>
      </c>
      <c r="G126" s="1">
        <f t="shared" si="209"/>
        <v>0</v>
      </c>
      <c r="H126" s="1">
        <f t="shared" si="209"/>
        <v>0</v>
      </c>
      <c r="I126" s="1">
        <f t="shared" si="209"/>
        <v>0</v>
      </c>
      <c r="J126" s="1">
        <f t="shared" si="209"/>
        <v>1</v>
      </c>
      <c r="K126" s="1">
        <f t="shared" si="209"/>
        <v>0</v>
      </c>
      <c r="L126" s="1">
        <f t="shared" si="209"/>
        <v>0</v>
      </c>
      <c r="M126" s="1">
        <f t="shared" si="209"/>
        <v>0</v>
      </c>
      <c r="N126" s="1">
        <f t="shared" si="209"/>
        <v>0</v>
      </c>
      <c r="O126" s="1">
        <f t="shared" si="209"/>
        <v>0</v>
      </c>
      <c r="P126" s="1">
        <f t="shared" si="209"/>
        <v>0</v>
      </c>
      <c r="Q126" s="1">
        <f t="shared" si="209"/>
        <v>0</v>
      </c>
      <c r="R126" s="1">
        <f t="shared" si="209"/>
        <v>0</v>
      </c>
      <c r="S126" s="1">
        <f t="shared" si="209"/>
        <v>0</v>
      </c>
      <c r="T126" s="1">
        <f t="shared" si="209"/>
        <v>1</v>
      </c>
      <c r="U126" s="1">
        <f t="shared" si="209"/>
        <v>1</v>
      </c>
      <c r="V126" s="1">
        <f t="shared" si="209"/>
        <v>0</v>
      </c>
      <c r="W126" s="1">
        <f t="shared" si="209"/>
        <v>0</v>
      </c>
      <c r="X126" s="1">
        <f t="shared" si="209"/>
        <v>0</v>
      </c>
      <c r="Y126" s="1">
        <f t="shared" si="209"/>
        <v>0</v>
      </c>
      <c r="Z126" s="1">
        <f t="shared" si="209"/>
        <v>0</v>
      </c>
      <c r="AA126" s="1">
        <f t="shared" si="209"/>
        <v>0</v>
      </c>
      <c r="AB126" s="1">
        <f t="shared" si="209"/>
        <v>0</v>
      </c>
      <c r="AC126" s="1">
        <f t="shared" si="209"/>
        <v>0</v>
      </c>
      <c r="AD126" s="1">
        <f t="shared" si="209"/>
        <v>0</v>
      </c>
      <c r="AE126" s="1">
        <f t="shared" si="209"/>
        <v>0</v>
      </c>
      <c r="AH126" s="3" t="s">
        <v>26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 x14ac:dyDescent="0.25">
      <c r="A127" s="3" t="s">
        <v>27</v>
      </c>
      <c r="B127" s="1">
        <f t="shared" ref="B127:AE127" si="210">IF(B93&gt;0.5,1,0)</f>
        <v>0</v>
      </c>
      <c r="C127" s="1">
        <f t="shared" si="210"/>
        <v>1</v>
      </c>
      <c r="D127" s="1">
        <f t="shared" si="210"/>
        <v>0</v>
      </c>
      <c r="E127" s="1">
        <f t="shared" si="210"/>
        <v>0</v>
      </c>
      <c r="F127" s="1">
        <f t="shared" si="210"/>
        <v>0</v>
      </c>
      <c r="G127" s="1">
        <f t="shared" si="210"/>
        <v>0</v>
      </c>
      <c r="H127" s="1">
        <f t="shared" si="210"/>
        <v>1</v>
      </c>
      <c r="I127" s="1">
        <f t="shared" si="210"/>
        <v>0</v>
      </c>
      <c r="J127" s="1">
        <f t="shared" si="210"/>
        <v>1</v>
      </c>
      <c r="K127" s="1">
        <f t="shared" si="210"/>
        <v>0</v>
      </c>
      <c r="L127" s="1">
        <f t="shared" si="210"/>
        <v>0</v>
      </c>
      <c r="M127" s="1">
        <f t="shared" si="210"/>
        <v>0</v>
      </c>
      <c r="N127" s="1">
        <f t="shared" si="210"/>
        <v>0</v>
      </c>
      <c r="O127" s="1">
        <f t="shared" si="210"/>
        <v>1</v>
      </c>
      <c r="P127" s="1">
        <f t="shared" si="210"/>
        <v>0</v>
      </c>
      <c r="Q127" s="1">
        <f t="shared" si="210"/>
        <v>0</v>
      </c>
      <c r="R127" s="1">
        <f t="shared" si="210"/>
        <v>0</v>
      </c>
      <c r="S127" s="1">
        <f t="shared" si="210"/>
        <v>0</v>
      </c>
      <c r="T127" s="1">
        <f t="shared" si="210"/>
        <v>0</v>
      </c>
      <c r="U127" s="1">
        <f t="shared" si="210"/>
        <v>0</v>
      </c>
      <c r="V127" s="1">
        <f t="shared" si="210"/>
        <v>0</v>
      </c>
      <c r="W127" s="1">
        <f t="shared" si="210"/>
        <v>0</v>
      </c>
      <c r="X127" s="1">
        <f t="shared" si="210"/>
        <v>0</v>
      </c>
      <c r="Y127" s="1">
        <f t="shared" si="210"/>
        <v>0</v>
      </c>
      <c r="Z127" s="1">
        <f t="shared" si="210"/>
        <v>0</v>
      </c>
      <c r="AA127" s="1">
        <f t="shared" si="210"/>
        <v>0</v>
      </c>
      <c r="AB127" s="1">
        <f t="shared" si="210"/>
        <v>0</v>
      </c>
      <c r="AC127" s="1">
        <f t="shared" si="210"/>
        <v>1</v>
      </c>
      <c r="AD127" s="1">
        <f t="shared" si="210"/>
        <v>0</v>
      </c>
      <c r="AE127" s="1">
        <f t="shared" si="210"/>
        <v>0</v>
      </c>
      <c r="AH127" s="3" t="s">
        <v>27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0.3</v>
      </c>
      <c r="BL127" s="1">
        <v>0</v>
      </c>
    </row>
    <row r="128" spans="1:64" x14ac:dyDescent="0.25">
      <c r="A128" s="3" t="s">
        <v>28</v>
      </c>
      <c r="B128" s="1">
        <f t="shared" ref="B128:AE128" si="211">IF(B94&gt;0.5,1,0)</f>
        <v>0</v>
      </c>
      <c r="C128" s="1">
        <f t="shared" si="211"/>
        <v>0</v>
      </c>
      <c r="D128" s="1">
        <f t="shared" si="211"/>
        <v>0</v>
      </c>
      <c r="E128" s="1">
        <f t="shared" si="211"/>
        <v>0</v>
      </c>
      <c r="F128" s="1">
        <f t="shared" si="211"/>
        <v>0</v>
      </c>
      <c r="G128" s="1">
        <f t="shared" si="211"/>
        <v>0</v>
      </c>
      <c r="H128" s="1">
        <f t="shared" si="211"/>
        <v>0</v>
      </c>
      <c r="I128" s="1">
        <f t="shared" si="211"/>
        <v>0</v>
      </c>
      <c r="J128" s="1">
        <f t="shared" si="211"/>
        <v>0</v>
      </c>
      <c r="K128" s="1">
        <f t="shared" si="211"/>
        <v>0</v>
      </c>
      <c r="L128" s="1">
        <f t="shared" si="211"/>
        <v>0</v>
      </c>
      <c r="M128" s="1">
        <f t="shared" si="211"/>
        <v>0</v>
      </c>
      <c r="N128" s="1">
        <f t="shared" si="211"/>
        <v>0</v>
      </c>
      <c r="O128" s="1">
        <f t="shared" si="211"/>
        <v>1</v>
      </c>
      <c r="P128" s="1">
        <f t="shared" si="211"/>
        <v>0</v>
      </c>
      <c r="Q128" s="1">
        <f t="shared" si="211"/>
        <v>0</v>
      </c>
      <c r="R128" s="1">
        <f t="shared" si="211"/>
        <v>0</v>
      </c>
      <c r="S128" s="1">
        <f t="shared" si="211"/>
        <v>0</v>
      </c>
      <c r="T128" s="1">
        <f t="shared" si="211"/>
        <v>0</v>
      </c>
      <c r="U128" s="1">
        <f t="shared" si="211"/>
        <v>0</v>
      </c>
      <c r="V128" s="1">
        <f t="shared" si="211"/>
        <v>0</v>
      </c>
      <c r="W128" s="1">
        <f t="shared" si="211"/>
        <v>0</v>
      </c>
      <c r="X128" s="1">
        <f t="shared" si="211"/>
        <v>0</v>
      </c>
      <c r="Y128" s="1">
        <f t="shared" si="211"/>
        <v>0</v>
      </c>
      <c r="Z128" s="1">
        <f t="shared" si="211"/>
        <v>0</v>
      </c>
      <c r="AA128" s="1">
        <f t="shared" si="211"/>
        <v>0</v>
      </c>
      <c r="AB128" s="1">
        <f t="shared" si="211"/>
        <v>1</v>
      </c>
      <c r="AC128" s="1">
        <f t="shared" si="211"/>
        <v>1</v>
      </c>
      <c r="AD128" s="1">
        <f t="shared" si="211"/>
        <v>1</v>
      </c>
      <c r="AE128" s="1">
        <f t="shared" si="211"/>
        <v>0</v>
      </c>
      <c r="AH128" s="3" t="s">
        <v>28</v>
      </c>
      <c r="AI128" s="1">
        <v>0.3</v>
      </c>
      <c r="AJ128" s="1">
        <v>0.3</v>
      </c>
      <c r="AK128" s="1">
        <v>0.3</v>
      </c>
      <c r="AL128" s="1">
        <v>0</v>
      </c>
      <c r="AM128" s="1">
        <v>0.3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0.3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0.3</v>
      </c>
    </row>
    <row r="129" spans="1:64" x14ac:dyDescent="0.25">
      <c r="A129" s="3" t="s">
        <v>29</v>
      </c>
      <c r="B129" s="1">
        <f t="shared" ref="B129:AE129" si="212">IF(B95&gt;0.5,1,0)</f>
        <v>0</v>
      </c>
      <c r="C129" s="1">
        <f t="shared" si="212"/>
        <v>0</v>
      </c>
      <c r="D129" s="1">
        <f t="shared" si="212"/>
        <v>0</v>
      </c>
      <c r="E129" s="1">
        <f t="shared" si="212"/>
        <v>0</v>
      </c>
      <c r="F129" s="1">
        <f t="shared" si="212"/>
        <v>0</v>
      </c>
      <c r="G129" s="1">
        <f t="shared" si="212"/>
        <v>0</v>
      </c>
      <c r="H129" s="1">
        <f t="shared" si="212"/>
        <v>0</v>
      </c>
      <c r="I129" s="1">
        <f t="shared" si="212"/>
        <v>0</v>
      </c>
      <c r="J129" s="1">
        <f t="shared" si="212"/>
        <v>0</v>
      </c>
      <c r="K129" s="1">
        <f t="shared" si="212"/>
        <v>0</v>
      </c>
      <c r="L129" s="1">
        <f t="shared" si="212"/>
        <v>0</v>
      </c>
      <c r="M129" s="1">
        <f t="shared" si="212"/>
        <v>0</v>
      </c>
      <c r="N129" s="1">
        <f t="shared" si="212"/>
        <v>0</v>
      </c>
      <c r="O129" s="1">
        <f t="shared" si="212"/>
        <v>1</v>
      </c>
      <c r="P129" s="1">
        <f t="shared" si="212"/>
        <v>0</v>
      </c>
      <c r="Q129" s="1">
        <f t="shared" si="212"/>
        <v>1</v>
      </c>
      <c r="R129" s="1">
        <f t="shared" si="212"/>
        <v>0</v>
      </c>
      <c r="S129" s="1">
        <f t="shared" si="212"/>
        <v>0</v>
      </c>
      <c r="T129" s="1">
        <f t="shared" si="212"/>
        <v>0</v>
      </c>
      <c r="U129" s="1">
        <f t="shared" si="212"/>
        <v>0</v>
      </c>
      <c r="V129" s="1">
        <f t="shared" si="212"/>
        <v>0</v>
      </c>
      <c r="W129" s="1">
        <f t="shared" si="212"/>
        <v>0</v>
      </c>
      <c r="X129" s="1">
        <f t="shared" si="212"/>
        <v>0</v>
      </c>
      <c r="Y129" s="1">
        <f t="shared" si="212"/>
        <v>0</v>
      </c>
      <c r="Z129" s="1">
        <f t="shared" si="212"/>
        <v>0</v>
      </c>
      <c r="AA129" s="1">
        <f t="shared" si="212"/>
        <v>1</v>
      </c>
      <c r="AB129" s="1">
        <f t="shared" si="212"/>
        <v>0</v>
      </c>
      <c r="AC129" s="1">
        <f t="shared" si="212"/>
        <v>0</v>
      </c>
      <c r="AD129" s="1">
        <f t="shared" si="212"/>
        <v>1</v>
      </c>
      <c r="AE129" s="1">
        <f t="shared" si="212"/>
        <v>1</v>
      </c>
      <c r="AH129" s="3" t="s">
        <v>29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0.3</v>
      </c>
      <c r="BL129" s="1">
        <v>0</v>
      </c>
    </row>
    <row r="130" spans="1:64" x14ac:dyDescent="0.25">
      <c r="A130" s="3" t="s">
        <v>30</v>
      </c>
      <c r="B130" s="1">
        <f t="shared" ref="B130:AE130" si="213">IF(B96&gt;0.5,1,0)</f>
        <v>0</v>
      </c>
      <c r="C130" s="1">
        <f t="shared" si="213"/>
        <v>0</v>
      </c>
      <c r="D130" s="1">
        <f t="shared" si="213"/>
        <v>0</v>
      </c>
      <c r="E130" s="1">
        <f t="shared" si="213"/>
        <v>0</v>
      </c>
      <c r="F130" s="1">
        <f t="shared" si="213"/>
        <v>0</v>
      </c>
      <c r="G130" s="1">
        <f t="shared" si="213"/>
        <v>0</v>
      </c>
      <c r="H130" s="1">
        <f t="shared" si="213"/>
        <v>0</v>
      </c>
      <c r="I130" s="1">
        <f t="shared" si="213"/>
        <v>0</v>
      </c>
      <c r="J130" s="1">
        <f t="shared" si="213"/>
        <v>0</v>
      </c>
      <c r="K130" s="1">
        <f t="shared" si="213"/>
        <v>0</v>
      </c>
      <c r="L130" s="1">
        <f t="shared" si="213"/>
        <v>0</v>
      </c>
      <c r="M130" s="1">
        <f t="shared" si="213"/>
        <v>0</v>
      </c>
      <c r="N130" s="1">
        <f t="shared" si="213"/>
        <v>0</v>
      </c>
      <c r="O130" s="1">
        <f t="shared" si="213"/>
        <v>1</v>
      </c>
      <c r="P130" s="1">
        <f t="shared" si="213"/>
        <v>0</v>
      </c>
      <c r="Q130" s="1">
        <f t="shared" si="213"/>
        <v>0</v>
      </c>
      <c r="R130" s="1">
        <f t="shared" si="213"/>
        <v>0</v>
      </c>
      <c r="S130" s="1">
        <f t="shared" si="213"/>
        <v>0</v>
      </c>
      <c r="T130" s="1">
        <f t="shared" si="213"/>
        <v>0</v>
      </c>
      <c r="U130" s="1">
        <f t="shared" si="213"/>
        <v>0</v>
      </c>
      <c r="V130" s="1">
        <f t="shared" si="213"/>
        <v>0</v>
      </c>
      <c r="W130" s="1">
        <f t="shared" si="213"/>
        <v>0</v>
      </c>
      <c r="X130" s="1">
        <f t="shared" si="213"/>
        <v>0</v>
      </c>
      <c r="Y130" s="1">
        <f t="shared" si="213"/>
        <v>0</v>
      </c>
      <c r="Z130" s="1">
        <f t="shared" si="213"/>
        <v>1</v>
      </c>
      <c r="AA130" s="1">
        <f t="shared" si="213"/>
        <v>1</v>
      </c>
      <c r="AB130" s="1">
        <f t="shared" si="213"/>
        <v>0</v>
      </c>
      <c r="AC130" s="1">
        <f t="shared" si="213"/>
        <v>0</v>
      </c>
      <c r="AD130" s="1">
        <f t="shared" si="213"/>
        <v>1</v>
      </c>
      <c r="AE130" s="1">
        <f t="shared" si="213"/>
        <v>0</v>
      </c>
      <c r="AH130" s="3" t="s">
        <v>30</v>
      </c>
      <c r="AI130" s="1">
        <v>0.3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0.3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0.3</v>
      </c>
      <c r="BI130" s="1">
        <v>0</v>
      </c>
      <c r="BJ130" s="1">
        <v>0.3</v>
      </c>
      <c r="BK130" s="1">
        <v>0</v>
      </c>
      <c r="BL130" s="1">
        <v>0</v>
      </c>
    </row>
    <row r="131" spans="1:64" x14ac:dyDescent="0.25">
      <c r="A131" s="3" t="s">
        <v>31</v>
      </c>
      <c r="B131" s="1">
        <f t="shared" ref="B131:AE131" si="214">IF(B97&gt;0.5,1,0)</f>
        <v>0</v>
      </c>
      <c r="C131" s="1">
        <f t="shared" si="214"/>
        <v>0</v>
      </c>
      <c r="D131" s="1">
        <f t="shared" si="214"/>
        <v>0</v>
      </c>
      <c r="E131" s="1">
        <f t="shared" si="214"/>
        <v>0</v>
      </c>
      <c r="F131" s="1">
        <f t="shared" si="214"/>
        <v>0</v>
      </c>
      <c r="G131" s="1">
        <f t="shared" si="214"/>
        <v>0</v>
      </c>
      <c r="H131" s="1">
        <f t="shared" si="214"/>
        <v>0</v>
      </c>
      <c r="I131" s="1">
        <f t="shared" si="214"/>
        <v>0</v>
      </c>
      <c r="J131" s="1">
        <f t="shared" si="214"/>
        <v>0</v>
      </c>
      <c r="K131" s="1">
        <f t="shared" si="214"/>
        <v>0</v>
      </c>
      <c r="L131" s="1">
        <f t="shared" si="214"/>
        <v>0</v>
      </c>
      <c r="M131" s="1">
        <f t="shared" si="214"/>
        <v>0</v>
      </c>
      <c r="N131" s="1">
        <f t="shared" si="214"/>
        <v>0</v>
      </c>
      <c r="O131" s="1">
        <f t="shared" si="214"/>
        <v>0</v>
      </c>
      <c r="P131" s="1">
        <f t="shared" si="214"/>
        <v>0</v>
      </c>
      <c r="Q131" s="1">
        <f t="shared" si="214"/>
        <v>0</v>
      </c>
      <c r="R131" s="1">
        <f t="shared" si="214"/>
        <v>0</v>
      </c>
      <c r="S131" s="1">
        <f t="shared" si="214"/>
        <v>0</v>
      </c>
      <c r="T131" s="1">
        <f t="shared" si="214"/>
        <v>0</v>
      </c>
      <c r="U131" s="1">
        <f t="shared" si="214"/>
        <v>0</v>
      </c>
      <c r="V131" s="1">
        <f t="shared" si="214"/>
        <v>0</v>
      </c>
      <c r="W131" s="1">
        <f t="shared" si="214"/>
        <v>0</v>
      </c>
      <c r="X131" s="1">
        <f t="shared" si="214"/>
        <v>0</v>
      </c>
      <c r="Y131" s="1">
        <f t="shared" si="214"/>
        <v>0</v>
      </c>
      <c r="Z131" s="1">
        <f t="shared" si="214"/>
        <v>0</v>
      </c>
      <c r="AA131" s="1">
        <f t="shared" si="214"/>
        <v>1</v>
      </c>
      <c r="AB131" s="1">
        <f t="shared" si="214"/>
        <v>1</v>
      </c>
      <c r="AC131" s="1">
        <f t="shared" si="214"/>
        <v>1</v>
      </c>
      <c r="AD131" s="1">
        <f t="shared" si="214"/>
        <v>0</v>
      </c>
      <c r="AE131" s="1">
        <f t="shared" si="214"/>
        <v>0</v>
      </c>
      <c r="AH131" s="3" t="s">
        <v>31</v>
      </c>
      <c r="AI131" s="1">
        <v>0.3</v>
      </c>
      <c r="AJ131" s="1">
        <v>0.3</v>
      </c>
      <c r="AK131" s="1">
        <v>0.3</v>
      </c>
      <c r="AL131" s="1">
        <v>0</v>
      </c>
      <c r="AM131" s="1">
        <v>0.3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0.3</v>
      </c>
      <c r="AW131" s="1">
        <v>0</v>
      </c>
      <c r="AX131" s="1">
        <v>0.3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0.3</v>
      </c>
      <c r="BJ131" s="1">
        <v>0</v>
      </c>
      <c r="BK131" s="1">
        <v>0</v>
      </c>
      <c r="BL131" s="1">
        <v>0</v>
      </c>
    </row>
    <row r="135" spans="1:64" x14ac:dyDescent="0.25">
      <c r="AH135" s="1" t="s">
        <v>40</v>
      </c>
      <c r="AI135" s="3" t="s">
        <v>2</v>
      </c>
      <c r="AJ135" s="3" t="s">
        <v>3</v>
      </c>
      <c r="AK135" s="3" t="s">
        <v>4</v>
      </c>
      <c r="AL135" s="3" t="s">
        <v>5</v>
      </c>
      <c r="AM135" s="3" t="s">
        <v>6</v>
      </c>
      <c r="AN135" s="3" t="s">
        <v>7</v>
      </c>
      <c r="AO135" s="3" t="s">
        <v>8</v>
      </c>
      <c r="AP135" s="3" t="s">
        <v>9</v>
      </c>
      <c r="AQ135" s="3" t="s">
        <v>10</v>
      </c>
      <c r="AR135" s="3" t="s">
        <v>11</v>
      </c>
      <c r="AS135" s="3" t="s">
        <v>12</v>
      </c>
      <c r="AT135" s="3" t="s">
        <v>13</v>
      </c>
      <c r="AU135" s="3" t="s">
        <v>14</v>
      </c>
      <c r="AV135" s="3" t="s">
        <v>15</v>
      </c>
      <c r="AW135" s="3" t="s">
        <v>16</v>
      </c>
      <c r="AX135" s="3" t="s">
        <v>17</v>
      </c>
      <c r="AY135" s="3" t="s">
        <v>18</v>
      </c>
      <c r="AZ135" s="3" t="s">
        <v>19</v>
      </c>
      <c r="BA135" s="3" t="s">
        <v>20</v>
      </c>
      <c r="BB135" s="3" t="s">
        <v>21</v>
      </c>
      <c r="BC135" s="3" t="s">
        <v>22</v>
      </c>
      <c r="BD135" s="3" t="s">
        <v>23</v>
      </c>
      <c r="BE135" s="3" t="s">
        <v>24</v>
      </c>
      <c r="BF135" s="3" t="s">
        <v>25</v>
      </c>
      <c r="BG135" s="3" t="s">
        <v>26</v>
      </c>
      <c r="BH135" s="3" t="s">
        <v>27</v>
      </c>
      <c r="BI135" s="3" t="s">
        <v>28</v>
      </c>
      <c r="BJ135" s="3" t="s">
        <v>29</v>
      </c>
      <c r="BK135" s="3" t="s">
        <v>30</v>
      </c>
      <c r="BL135" s="3" t="s">
        <v>31</v>
      </c>
    </row>
    <row r="136" spans="1:64" x14ac:dyDescent="0.25">
      <c r="AH136" s="3" t="s">
        <v>2</v>
      </c>
      <c r="AI136" s="1">
        <v>0</v>
      </c>
      <c r="AJ136" s="1">
        <v>0.3</v>
      </c>
      <c r="AK136" s="1">
        <v>0.3</v>
      </c>
      <c r="AL136" s="1">
        <v>0.3</v>
      </c>
      <c r="AM136" s="1">
        <v>0.3</v>
      </c>
      <c r="AN136" s="1">
        <v>0.3</v>
      </c>
      <c r="AO136" s="1">
        <v>0.3</v>
      </c>
      <c r="AP136" s="1">
        <v>0</v>
      </c>
      <c r="AQ136" s="1">
        <v>0</v>
      </c>
      <c r="AR136" s="1">
        <v>0.3</v>
      </c>
      <c r="AS136" s="1">
        <v>0.3</v>
      </c>
      <c r="AT136" s="1">
        <v>0.3</v>
      </c>
      <c r="AU136" s="1">
        <v>0.3</v>
      </c>
      <c r="AV136" s="1">
        <v>0.3</v>
      </c>
      <c r="AW136" s="1">
        <v>0.3</v>
      </c>
      <c r="AX136" s="1">
        <v>0</v>
      </c>
      <c r="AY136" s="1">
        <v>0.3</v>
      </c>
      <c r="AZ136" s="1">
        <v>0</v>
      </c>
      <c r="BA136" s="1">
        <v>0.3</v>
      </c>
      <c r="BB136" s="1">
        <v>0.3</v>
      </c>
      <c r="BC136" s="1">
        <v>0</v>
      </c>
      <c r="BD136" s="1">
        <v>0</v>
      </c>
      <c r="BE136" s="1">
        <v>0</v>
      </c>
      <c r="BF136" s="1">
        <v>0.3</v>
      </c>
      <c r="BG136" s="1">
        <v>0.3</v>
      </c>
      <c r="BH136" s="1">
        <v>0</v>
      </c>
      <c r="BI136" s="1">
        <v>0.3</v>
      </c>
      <c r="BJ136" s="1">
        <v>0.3</v>
      </c>
      <c r="BK136" s="1">
        <v>0.3</v>
      </c>
      <c r="BL136" s="1">
        <v>0.3</v>
      </c>
    </row>
    <row r="137" spans="1:64" x14ac:dyDescent="0.25">
      <c r="AH137" s="3" t="s">
        <v>3</v>
      </c>
      <c r="AI137" s="1">
        <v>0.3</v>
      </c>
      <c r="AJ137" s="1">
        <v>0</v>
      </c>
      <c r="AK137" s="1">
        <v>0.3</v>
      </c>
      <c r="AL137" s="1">
        <v>0</v>
      </c>
      <c r="AM137" s="1">
        <v>0</v>
      </c>
      <c r="AN137" s="1">
        <v>0</v>
      </c>
      <c r="AO137" s="1">
        <v>0.3</v>
      </c>
      <c r="AP137" s="1">
        <v>0</v>
      </c>
      <c r="AQ137" s="1">
        <v>0</v>
      </c>
      <c r="AR137" s="1">
        <v>0</v>
      </c>
      <c r="AS137" s="1">
        <v>0</v>
      </c>
      <c r="AT137" s="1">
        <v>0.3</v>
      </c>
      <c r="AU137" s="1">
        <v>0</v>
      </c>
      <c r="AV137" s="1">
        <v>0.3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0.3</v>
      </c>
      <c r="BG137" s="1">
        <v>0.3</v>
      </c>
      <c r="BH137" s="1">
        <v>0</v>
      </c>
      <c r="BI137" s="1">
        <v>0</v>
      </c>
      <c r="BJ137" s="1">
        <v>0</v>
      </c>
      <c r="BK137" s="1">
        <v>0.3</v>
      </c>
      <c r="BL137" s="1">
        <v>0.3</v>
      </c>
    </row>
    <row r="138" spans="1:64" x14ac:dyDescent="0.25">
      <c r="AH138" s="3" t="s">
        <v>4</v>
      </c>
      <c r="AI138" s="1">
        <v>0.3</v>
      </c>
      <c r="AJ138" s="1">
        <v>0.3</v>
      </c>
      <c r="AK138" s="1">
        <v>0</v>
      </c>
      <c r="AL138" s="1">
        <v>0.3</v>
      </c>
      <c r="AM138" s="1">
        <v>0.3</v>
      </c>
      <c r="AN138" s="1">
        <v>0.3</v>
      </c>
      <c r="AO138" s="1">
        <v>0.3</v>
      </c>
      <c r="AP138" s="1">
        <v>0</v>
      </c>
      <c r="AQ138" s="1">
        <v>0</v>
      </c>
      <c r="AR138" s="1">
        <v>0</v>
      </c>
      <c r="AS138" s="1">
        <v>0.3</v>
      </c>
      <c r="AT138" s="1">
        <v>0.3</v>
      </c>
      <c r="AU138" s="1">
        <v>0.3</v>
      </c>
      <c r="AV138" s="1">
        <v>0.3</v>
      </c>
      <c r="AW138" s="1">
        <v>0.3</v>
      </c>
      <c r="AX138" s="1">
        <v>0</v>
      </c>
      <c r="AY138" s="1">
        <v>0.3</v>
      </c>
      <c r="AZ138" s="1">
        <v>0</v>
      </c>
      <c r="BA138" s="1">
        <v>0.3</v>
      </c>
      <c r="BB138" s="1">
        <v>0.3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0.3</v>
      </c>
      <c r="BJ138" s="1">
        <v>0</v>
      </c>
      <c r="BK138" s="1">
        <v>0.3</v>
      </c>
      <c r="BL138" s="1">
        <v>0.3</v>
      </c>
    </row>
    <row r="139" spans="1:64" x14ac:dyDescent="0.25">
      <c r="AH139" s="3" t="s">
        <v>5</v>
      </c>
      <c r="AI139" s="1">
        <v>0.3</v>
      </c>
      <c r="AJ139" s="1">
        <v>0</v>
      </c>
      <c r="AK139" s="1">
        <v>0.3</v>
      </c>
      <c r="AL139" s="1">
        <v>0</v>
      </c>
      <c r="AM139" s="1">
        <v>0.3</v>
      </c>
      <c r="AN139" s="1">
        <v>0.3</v>
      </c>
      <c r="AO139" s="1">
        <v>0.3</v>
      </c>
      <c r="AP139" s="1">
        <v>0</v>
      </c>
      <c r="AQ139" s="1">
        <v>0</v>
      </c>
      <c r="AR139" s="1">
        <v>0</v>
      </c>
      <c r="AS139" s="1">
        <v>0.3</v>
      </c>
      <c r="AT139" s="1">
        <v>0.3</v>
      </c>
      <c r="AU139" s="1">
        <v>0.3</v>
      </c>
      <c r="AV139" s="1">
        <v>0</v>
      </c>
      <c r="AW139" s="1">
        <v>0.3</v>
      </c>
      <c r="AX139" s="1">
        <v>0</v>
      </c>
      <c r="AY139" s="1">
        <v>0</v>
      </c>
      <c r="AZ139" s="1">
        <v>0</v>
      </c>
      <c r="BA139" s="1">
        <v>0.3</v>
      </c>
      <c r="BB139" s="1">
        <v>0.3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 x14ac:dyDescent="0.25">
      <c r="AH140" s="3" t="s">
        <v>6</v>
      </c>
      <c r="AI140" s="1">
        <v>0.3</v>
      </c>
      <c r="AJ140" s="1">
        <v>0</v>
      </c>
      <c r="AK140" s="1">
        <v>0.3</v>
      </c>
      <c r="AL140" s="1">
        <v>0.3</v>
      </c>
      <c r="AM140" s="1">
        <v>0</v>
      </c>
      <c r="AN140" s="1">
        <v>0.3</v>
      </c>
      <c r="AO140" s="1">
        <v>0.3</v>
      </c>
      <c r="AP140" s="1">
        <v>0</v>
      </c>
      <c r="AQ140" s="1">
        <v>0</v>
      </c>
      <c r="AR140" s="1">
        <v>0.3</v>
      </c>
      <c r="AS140" s="1">
        <v>0.3</v>
      </c>
      <c r="AT140" s="1">
        <v>0</v>
      </c>
      <c r="AU140" s="1">
        <v>0.3</v>
      </c>
      <c r="AV140" s="1">
        <v>0</v>
      </c>
      <c r="AW140" s="1">
        <v>0.3</v>
      </c>
      <c r="AX140" s="1">
        <v>0</v>
      </c>
      <c r="AY140" s="1">
        <v>0.3</v>
      </c>
      <c r="AZ140" s="1">
        <v>0</v>
      </c>
      <c r="BA140" s="1">
        <v>0.3</v>
      </c>
      <c r="BB140" s="1">
        <v>0.3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 x14ac:dyDescent="0.25">
      <c r="AH141" s="3" t="s">
        <v>7</v>
      </c>
      <c r="AI141" s="1">
        <v>0.3</v>
      </c>
      <c r="AJ141" s="1">
        <v>0</v>
      </c>
      <c r="AK141" s="1">
        <v>0.3</v>
      </c>
      <c r="AL141" s="1">
        <v>0.3</v>
      </c>
      <c r="AM141" s="1">
        <v>0.3</v>
      </c>
      <c r="AN141" s="1">
        <v>0</v>
      </c>
      <c r="AO141" s="1">
        <v>0.3</v>
      </c>
      <c r="AP141" s="1">
        <v>0</v>
      </c>
      <c r="AQ141" s="1">
        <v>0</v>
      </c>
      <c r="AR141" s="1">
        <v>0</v>
      </c>
      <c r="AS141" s="1">
        <v>0.3</v>
      </c>
      <c r="AT141" s="1">
        <v>0</v>
      </c>
      <c r="AU141" s="1">
        <v>0.3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0.3</v>
      </c>
      <c r="BB141" s="1">
        <v>0.3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 x14ac:dyDescent="0.25">
      <c r="AH142" s="3" t="s">
        <v>8</v>
      </c>
      <c r="AI142" s="1">
        <v>0.3</v>
      </c>
      <c r="AJ142" s="1">
        <v>0.3</v>
      </c>
      <c r="AK142" s="1">
        <v>0.3</v>
      </c>
      <c r="AL142" s="1">
        <v>0.3</v>
      </c>
      <c r="AM142" s="1">
        <v>0.3</v>
      </c>
      <c r="AN142" s="1">
        <v>0.3</v>
      </c>
      <c r="AO142" s="1">
        <v>0</v>
      </c>
      <c r="AP142" s="1">
        <v>0.3</v>
      </c>
      <c r="AQ142" s="1">
        <v>0</v>
      </c>
      <c r="AR142" s="1">
        <v>0.3</v>
      </c>
      <c r="AS142" s="1">
        <v>0.3</v>
      </c>
      <c r="AT142" s="1">
        <v>0</v>
      </c>
      <c r="AU142" s="1">
        <v>0.3</v>
      </c>
      <c r="AV142" s="1">
        <v>0.3</v>
      </c>
      <c r="AW142" s="1">
        <v>0.3</v>
      </c>
      <c r="AX142" s="1">
        <v>0</v>
      </c>
      <c r="AY142" s="1">
        <v>0.3</v>
      </c>
      <c r="AZ142" s="1">
        <v>0.3</v>
      </c>
      <c r="BA142" s="1">
        <v>0.3</v>
      </c>
      <c r="BB142" s="1">
        <v>0.3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 x14ac:dyDescent="0.25">
      <c r="AH143" s="3" t="s">
        <v>9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0.3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0.3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 x14ac:dyDescent="0.25">
      <c r="AH144" s="3" t="s">
        <v>10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34:64" x14ac:dyDescent="0.25">
      <c r="AH145" s="3" t="s">
        <v>11</v>
      </c>
      <c r="AI145" s="1">
        <v>0.3</v>
      </c>
      <c r="AJ145" s="1">
        <v>0</v>
      </c>
      <c r="AK145" s="1">
        <v>0</v>
      </c>
      <c r="AL145" s="1">
        <v>0</v>
      </c>
      <c r="AM145" s="1">
        <v>0.3</v>
      </c>
      <c r="AN145" s="1">
        <v>0</v>
      </c>
      <c r="AO145" s="1">
        <v>0.3</v>
      </c>
      <c r="AP145" s="1">
        <v>0</v>
      </c>
      <c r="AQ145" s="1">
        <v>0</v>
      </c>
      <c r="AR145" s="1">
        <v>0</v>
      </c>
      <c r="AS145" s="1">
        <v>0.3</v>
      </c>
      <c r="AT145" s="1">
        <v>0</v>
      </c>
      <c r="AU145" s="1">
        <v>0</v>
      </c>
      <c r="AV145" s="1">
        <v>0</v>
      </c>
      <c r="AW145" s="1">
        <v>0.3</v>
      </c>
      <c r="AX145" s="1">
        <v>0</v>
      </c>
      <c r="AY145" s="1">
        <v>0.3</v>
      </c>
      <c r="AZ145" s="1">
        <v>0</v>
      </c>
      <c r="BA145" s="1">
        <v>0.3</v>
      </c>
      <c r="BB145" s="1">
        <v>0.3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34:64" x14ac:dyDescent="0.25">
      <c r="AH146" s="3" t="s">
        <v>12</v>
      </c>
      <c r="AI146" s="1">
        <v>0.3</v>
      </c>
      <c r="AJ146" s="1">
        <v>0</v>
      </c>
      <c r="AK146" s="1">
        <v>0.3</v>
      </c>
      <c r="AL146" s="1">
        <v>0.3</v>
      </c>
      <c r="AM146" s="1">
        <v>0.3</v>
      </c>
      <c r="AN146" s="1">
        <v>0.3</v>
      </c>
      <c r="AO146" s="1">
        <v>0.3</v>
      </c>
      <c r="AP146" s="1">
        <v>0</v>
      </c>
      <c r="AQ146" s="1">
        <v>0</v>
      </c>
      <c r="AR146" s="1">
        <v>0.3</v>
      </c>
      <c r="AS146" s="1">
        <v>0</v>
      </c>
      <c r="AT146" s="1">
        <v>0.3</v>
      </c>
      <c r="AU146" s="1">
        <v>0</v>
      </c>
      <c r="AV146" s="1">
        <v>0</v>
      </c>
      <c r="AW146" s="1">
        <v>0.3</v>
      </c>
      <c r="AX146" s="1">
        <v>0.3</v>
      </c>
      <c r="AY146" s="1">
        <v>0.3</v>
      </c>
      <c r="AZ146" s="1">
        <v>0</v>
      </c>
      <c r="BA146" s="1">
        <v>0.3</v>
      </c>
      <c r="BB146" s="1">
        <v>0.3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0.3</v>
      </c>
    </row>
    <row r="147" spans="34:64" x14ac:dyDescent="0.25">
      <c r="AH147" s="3" t="s">
        <v>13</v>
      </c>
      <c r="AI147" s="1">
        <v>0.3</v>
      </c>
      <c r="AJ147" s="1">
        <v>0.3</v>
      </c>
      <c r="AK147" s="1">
        <v>0.3</v>
      </c>
      <c r="AL147" s="1">
        <v>0.3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0.3</v>
      </c>
      <c r="AT147" s="1">
        <v>0</v>
      </c>
      <c r="AU147" s="1">
        <v>0</v>
      </c>
      <c r="AV147" s="1">
        <v>0.3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0.3</v>
      </c>
      <c r="BL147" s="1">
        <v>0.3</v>
      </c>
    </row>
    <row r="148" spans="34:64" x14ac:dyDescent="0.25">
      <c r="AH148" s="3" t="s">
        <v>14</v>
      </c>
      <c r="AI148" s="1">
        <v>0.3</v>
      </c>
      <c r="AJ148" s="1">
        <v>0</v>
      </c>
      <c r="AK148" s="1">
        <v>0.3</v>
      </c>
      <c r="AL148" s="1">
        <v>0.3</v>
      </c>
      <c r="AM148" s="1">
        <v>0.3</v>
      </c>
      <c r="AN148" s="1">
        <v>0.3</v>
      </c>
      <c r="AO148" s="1">
        <v>0.3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0.3</v>
      </c>
      <c r="AX148" s="1">
        <v>0</v>
      </c>
      <c r="AY148" s="1">
        <v>0</v>
      </c>
      <c r="AZ148" s="1">
        <v>0</v>
      </c>
      <c r="BA148" s="1">
        <v>0.3</v>
      </c>
      <c r="BB148" s="1">
        <v>0.3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</row>
    <row r="149" spans="34:64" x14ac:dyDescent="0.25">
      <c r="AH149" s="3" t="s">
        <v>15</v>
      </c>
      <c r="AI149" s="1">
        <v>0.3</v>
      </c>
      <c r="AJ149" s="1">
        <v>0.3</v>
      </c>
      <c r="AK149" s="1">
        <v>0.3</v>
      </c>
      <c r="AL149" s="1">
        <v>0</v>
      </c>
      <c r="AM149" s="1">
        <v>0</v>
      </c>
      <c r="AN149" s="1">
        <v>0</v>
      </c>
      <c r="AO149" s="1">
        <v>0.3</v>
      </c>
      <c r="AP149" s="1">
        <v>0</v>
      </c>
      <c r="AQ149" s="1">
        <v>0</v>
      </c>
      <c r="AR149" s="1">
        <v>0</v>
      </c>
      <c r="AS149" s="1">
        <v>0</v>
      </c>
      <c r="AT149" s="1">
        <v>0.3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0.3</v>
      </c>
      <c r="BG149" s="1">
        <v>0.3</v>
      </c>
      <c r="BH149" s="1">
        <v>0</v>
      </c>
      <c r="BI149" s="1">
        <v>0.3</v>
      </c>
      <c r="BJ149" s="1">
        <v>0.3</v>
      </c>
      <c r="BK149" s="1">
        <v>0.3</v>
      </c>
      <c r="BL149" s="1">
        <v>0.3</v>
      </c>
    </row>
    <row r="150" spans="34:64" x14ac:dyDescent="0.25">
      <c r="AH150" s="3" t="s">
        <v>16</v>
      </c>
      <c r="AI150" s="1">
        <v>0.3</v>
      </c>
      <c r="AJ150" s="1">
        <v>0</v>
      </c>
      <c r="AK150" s="1">
        <v>0.3</v>
      </c>
      <c r="AL150" s="1">
        <v>0.3</v>
      </c>
      <c r="AM150" s="1">
        <v>0.3</v>
      </c>
      <c r="AN150" s="1">
        <v>0</v>
      </c>
      <c r="AO150" s="1">
        <v>0.3</v>
      </c>
      <c r="AP150" s="1">
        <v>0</v>
      </c>
      <c r="AQ150" s="1">
        <v>0</v>
      </c>
      <c r="AR150" s="1">
        <v>0.3</v>
      </c>
      <c r="AS150" s="1">
        <v>0.3</v>
      </c>
      <c r="AT150" s="1">
        <v>0</v>
      </c>
      <c r="AU150" s="1">
        <v>0.3</v>
      </c>
      <c r="AV150" s="1">
        <v>0</v>
      </c>
      <c r="AW150" s="1">
        <v>0</v>
      </c>
      <c r="AX150" s="1">
        <v>0</v>
      </c>
      <c r="AY150" s="1">
        <v>0.3</v>
      </c>
      <c r="AZ150" s="1">
        <v>0</v>
      </c>
      <c r="BA150" s="1">
        <v>0.3</v>
      </c>
      <c r="BB150" s="1">
        <v>0.3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34:64" x14ac:dyDescent="0.25">
      <c r="AH151" s="3" t="s">
        <v>17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0.3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0.3</v>
      </c>
      <c r="BL151" s="1">
        <v>0.3</v>
      </c>
    </row>
    <row r="152" spans="34:64" x14ac:dyDescent="0.25">
      <c r="AH152" s="3" t="s">
        <v>18</v>
      </c>
      <c r="AI152" s="1">
        <v>0.3</v>
      </c>
      <c r="AJ152" s="1">
        <v>0</v>
      </c>
      <c r="AK152" s="1">
        <v>0.3</v>
      </c>
      <c r="AL152" s="1">
        <v>0</v>
      </c>
      <c r="AM152" s="1">
        <v>0.3</v>
      </c>
      <c r="AN152" s="1">
        <v>0</v>
      </c>
      <c r="AO152" s="1">
        <v>0.3</v>
      </c>
      <c r="AP152" s="1">
        <v>0</v>
      </c>
      <c r="AQ152" s="1">
        <v>0</v>
      </c>
      <c r="AR152" s="1">
        <v>0.3</v>
      </c>
      <c r="AS152" s="1">
        <v>0.3</v>
      </c>
      <c r="AT152" s="1">
        <v>0</v>
      </c>
      <c r="AU152" s="1">
        <v>0</v>
      </c>
      <c r="AV152" s="1">
        <v>0</v>
      </c>
      <c r="AW152" s="1">
        <v>0.3</v>
      </c>
      <c r="AX152" s="1">
        <v>0</v>
      </c>
      <c r="AY152" s="1">
        <v>0</v>
      </c>
      <c r="AZ152" s="1">
        <v>0</v>
      </c>
      <c r="BA152" s="1">
        <v>0.3</v>
      </c>
      <c r="BB152" s="1">
        <v>0.3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34:64" x14ac:dyDescent="0.25">
      <c r="AH153" s="3" t="s">
        <v>19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0.3</v>
      </c>
      <c r="AP153" s="1">
        <v>0.3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</row>
    <row r="154" spans="34:64" x14ac:dyDescent="0.25">
      <c r="AH154" s="3" t="s">
        <v>20</v>
      </c>
      <c r="AI154" s="1">
        <v>0.3</v>
      </c>
      <c r="AJ154" s="1">
        <v>0</v>
      </c>
      <c r="AK154" s="1">
        <v>0.3</v>
      </c>
      <c r="AL154" s="1">
        <v>0.3</v>
      </c>
      <c r="AM154" s="1">
        <v>0.3</v>
      </c>
      <c r="AN154" s="1">
        <v>0.3</v>
      </c>
      <c r="AO154" s="1">
        <v>0.3</v>
      </c>
      <c r="AP154" s="1">
        <v>0</v>
      </c>
      <c r="AQ154" s="1">
        <v>0</v>
      </c>
      <c r="AR154" s="1">
        <v>0.3</v>
      </c>
      <c r="AS154" s="1">
        <v>0.3</v>
      </c>
      <c r="AT154" s="1">
        <v>0</v>
      </c>
      <c r="AU154" s="1">
        <v>0.3</v>
      </c>
      <c r="AV154" s="1">
        <v>0</v>
      </c>
      <c r="AW154" s="1">
        <v>0.3</v>
      </c>
      <c r="AX154" s="1">
        <v>0</v>
      </c>
      <c r="AY154" s="1">
        <v>0.3</v>
      </c>
      <c r="AZ154" s="1">
        <v>0</v>
      </c>
      <c r="BA154" s="1">
        <v>0</v>
      </c>
      <c r="BB154" s="1">
        <v>0.3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</row>
    <row r="155" spans="34:64" x14ac:dyDescent="0.25">
      <c r="AH155" s="3" t="s">
        <v>21</v>
      </c>
      <c r="AI155" s="1">
        <v>0.3</v>
      </c>
      <c r="AJ155" s="1">
        <v>0</v>
      </c>
      <c r="AK155" s="1">
        <v>0.3</v>
      </c>
      <c r="AL155" s="1">
        <v>0.3</v>
      </c>
      <c r="AM155" s="1">
        <v>0.3</v>
      </c>
      <c r="AN155" s="1">
        <v>0.3</v>
      </c>
      <c r="AO155" s="1">
        <v>0.3</v>
      </c>
      <c r="AP155" s="1">
        <v>0</v>
      </c>
      <c r="AQ155" s="1">
        <v>0</v>
      </c>
      <c r="AR155" s="1">
        <v>0.3</v>
      </c>
      <c r="AS155" s="1">
        <v>0.3</v>
      </c>
      <c r="AT155" s="1">
        <v>0</v>
      </c>
      <c r="AU155" s="1">
        <v>0.3</v>
      </c>
      <c r="AV155" s="1">
        <v>0</v>
      </c>
      <c r="AW155" s="1">
        <v>0.3</v>
      </c>
      <c r="AX155" s="1">
        <v>0</v>
      </c>
      <c r="AY155" s="1">
        <v>0.3</v>
      </c>
      <c r="AZ155" s="1">
        <v>0</v>
      </c>
      <c r="BA155" s="1">
        <v>0.3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</row>
    <row r="156" spans="34:64" x14ac:dyDescent="0.25">
      <c r="AH156" s="3" t="s">
        <v>22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34:64" x14ac:dyDescent="0.25">
      <c r="AH157" s="3" t="s">
        <v>23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34:64" x14ac:dyDescent="0.25">
      <c r="AH158" s="3" t="s">
        <v>24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</row>
    <row r="159" spans="34:64" x14ac:dyDescent="0.25">
      <c r="AH159" s="3" t="s">
        <v>25</v>
      </c>
      <c r="AI159" s="1">
        <v>0.3</v>
      </c>
      <c r="AJ159" s="1">
        <v>0.3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0.3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0.3</v>
      </c>
      <c r="BH159" s="1">
        <v>0</v>
      </c>
      <c r="BI159" s="1">
        <v>0.3</v>
      </c>
      <c r="BJ159" s="1">
        <v>0</v>
      </c>
      <c r="BK159" s="1">
        <v>0</v>
      </c>
      <c r="BL159" s="1">
        <v>0.3</v>
      </c>
    </row>
    <row r="160" spans="34:64" x14ac:dyDescent="0.25">
      <c r="AH160" s="3" t="s">
        <v>26</v>
      </c>
      <c r="AI160" s="1">
        <v>0.3</v>
      </c>
      <c r="AJ160" s="1">
        <v>0.3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0.3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0.3</v>
      </c>
      <c r="BG160" s="1">
        <v>0</v>
      </c>
      <c r="BH160" s="1">
        <v>0</v>
      </c>
      <c r="BI160" s="1">
        <v>0.3</v>
      </c>
      <c r="BJ160" s="1">
        <v>0</v>
      </c>
      <c r="BK160" s="1">
        <v>0</v>
      </c>
      <c r="BL160" s="1">
        <v>0.3</v>
      </c>
    </row>
    <row r="161" spans="34:64" x14ac:dyDescent="0.25">
      <c r="AH161" s="3" t="s">
        <v>27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0.3</v>
      </c>
    </row>
    <row r="162" spans="34:64" x14ac:dyDescent="0.25">
      <c r="AH162" s="3" t="s">
        <v>28</v>
      </c>
      <c r="AI162" s="1">
        <v>0.3</v>
      </c>
      <c r="AJ162" s="1">
        <v>0</v>
      </c>
      <c r="AK162" s="1">
        <v>0.3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0.3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0.3</v>
      </c>
      <c r="BG162" s="1">
        <v>0.3</v>
      </c>
      <c r="BH162" s="1">
        <v>0</v>
      </c>
      <c r="BI162" s="1">
        <v>0</v>
      </c>
      <c r="BJ162" s="1">
        <v>0</v>
      </c>
      <c r="BK162" s="1">
        <v>0</v>
      </c>
      <c r="BL162" s="1">
        <v>0.3</v>
      </c>
    </row>
    <row r="163" spans="34:64" x14ac:dyDescent="0.25">
      <c r="AH163" s="3" t="s">
        <v>29</v>
      </c>
      <c r="AI163" s="1">
        <v>0.3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0.3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0.3</v>
      </c>
      <c r="BL163" s="1">
        <v>0</v>
      </c>
    </row>
    <row r="164" spans="34:64" x14ac:dyDescent="0.25">
      <c r="AH164" s="3" t="s">
        <v>30</v>
      </c>
      <c r="AI164" s="1">
        <v>0.3</v>
      </c>
      <c r="AJ164" s="1">
        <v>0.3</v>
      </c>
      <c r="AK164" s="1">
        <v>0.3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0.3</v>
      </c>
      <c r="AU164" s="1">
        <v>0</v>
      </c>
      <c r="AV164" s="1">
        <v>0.3</v>
      </c>
      <c r="AW164" s="1">
        <v>0</v>
      </c>
      <c r="AX164" s="1">
        <v>0.3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0.3</v>
      </c>
      <c r="BK164" s="1">
        <v>0</v>
      </c>
      <c r="BL164" s="1">
        <v>0.3</v>
      </c>
    </row>
    <row r="165" spans="34:64" x14ac:dyDescent="0.25">
      <c r="AH165" s="3" t="s">
        <v>31</v>
      </c>
      <c r="AI165" s="1">
        <v>0.3</v>
      </c>
      <c r="AJ165" s="1">
        <v>0.3</v>
      </c>
      <c r="AK165" s="1">
        <v>0.3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0.3</v>
      </c>
      <c r="AT165" s="1">
        <v>0.3</v>
      </c>
      <c r="AU165" s="1">
        <v>0</v>
      </c>
      <c r="AV165" s="1">
        <v>0.3</v>
      </c>
      <c r="AW165" s="1">
        <v>0</v>
      </c>
      <c r="AX165" s="1">
        <v>0.3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0.3</v>
      </c>
      <c r="BG165" s="1">
        <v>0.3</v>
      </c>
      <c r="BH165" s="1">
        <v>0.3</v>
      </c>
      <c r="BI165" s="1">
        <v>0.3</v>
      </c>
      <c r="BJ165" s="1">
        <v>0</v>
      </c>
      <c r="BK165" s="1">
        <v>0.3</v>
      </c>
      <c r="BL165" s="1">
        <v>0</v>
      </c>
    </row>
    <row r="168" spans="34:64" x14ac:dyDescent="0.25">
      <c r="AH168" s="7" t="s">
        <v>43</v>
      </c>
      <c r="AI168" s="1" t="s">
        <v>44</v>
      </c>
      <c r="AJ168" s="1" t="s">
        <v>45</v>
      </c>
      <c r="AK168" s="1" t="s">
        <v>46</v>
      </c>
      <c r="AL168" s="1" t="s">
        <v>47</v>
      </c>
      <c r="AM168" s="1" t="s">
        <v>48</v>
      </c>
      <c r="AN168" s="1" t="s">
        <v>49</v>
      </c>
      <c r="AO168" s="1" t="s">
        <v>50</v>
      </c>
      <c r="AP168" s="1" t="s">
        <v>51</v>
      </c>
      <c r="AQ168" s="1" t="s">
        <v>52</v>
      </c>
      <c r="AR168" s="1" t="s">
        <v>53</v>
      </c>
      <c r="AS168" s="1" t="s">
        <v>54</v>
      </c>
      <c r="AT168" s="1" t="s">
        <v>55</v>
      </c>
      <c r="AU168" s="1" t="s">
        <v>56</v>
      </c>
      <c r="AV168" s="1" t="s">
        <v>57</v>
      </c>
      <c r="AW168" s="1" t="s">
        <v>58</v>
      </c>
      <c r="AX168" s="1" t="s">
        <v>59</v>
      </c>
      <c r="AY168" s="1" t="s">
        <v>60</v>
      </c>
      <c r="AZ168" s="1" t="s">
        <v>61</v>
      </c>
      <c r="BA168" s="1" t="s">
        <v>62</v>
      </c>
      <c r="BB168" s="1" t="s">
        <v>63</v>
      </c>
      <c r="BC168" s="1" t="s">
        <v>64</v>
      </c>
      <c r="BD168" s="1" t="s">
        <v>65</v>
      </c>
      <c r="BE168" s="1" t="s">
        <v>66</v>
      </c>
      <c r="BF168" s="1" t="s">
        <v>67</v>
      </c>
      <c r="BG168" s="1" t="s">
        <v>68</v>
      </c>
      <c r="BH168" s="1" t="s">
        <v>69</v>
      </c>
      <c r="BI168" s="1" t="s">
        <v>70</v>
      </c>
      <c r="BJ168" s="1" t="s">
        <v>71</v>
      </c>
      <c r="BK168" s="1" t="s">
        <v>72</v>
      </c>
      <c r="BL168" s="1" t="s">
        <v>73</v>
      </c>
    </row>
    <row r="169" spans="34:64" x14ac:dyDescent="0.25">
      <c r="AH169" s="3" t="s">
        <v>2</v>
      </c>
      <c r="AI169" s="1">
        <f>AI69+AI102+AI136</f>
        <v>0</v>
      </c>
      <c r="AJ169" s="1">
        <f t="shared" ref="AJ169:BL169" si="215">AJ69+AJ102+AJ136</f>
        <v>1</v>
      </c>
      <c r="AK169" s="1">
        <f t="shared" si="215"/>
        <v>1</v>
      </c>
      <c r="AL169" s="1">
        <f t="shared" si="215"/>
        <v>1</v>
      </c>
      <c r="AM169" s="1">
        <f t="shared" si="215"/>
        <v>0.6</v>
      </c>
      <c r="AN169" s="1">
        <f t="shared" si="215"/>
        <v>0.6</v>
      </c>
      <c r="AO169" s="1">
        <f t="shared" si="215"/>
        <v>1</v>
      </c>
      <c r="AP169" s="1">
        <f t="shared" si="215"/>
        <v>0.7</v>
      </c>
      <c r="AQ169" s="1">
        <f t="shared" si="215"/>
        <v>0.3</v>
      </c>
      <c r="AR169" s="1">
        <f t="shared" si="215"/>
        <v>1</v>
      </c>
      <c r="AS169" s="1">
        <f t="shared" si="215"/>
        <v>0.6</v>
      </c>
      <c r="AT169" s="1">
        <f t="shared" si="215"/>
        <v>0.6</v>
      </c>
      <c r="AU169" s="1">
        <f t="shared" si="215"/>
        <v>0.6</v>
      </c>
      <c r="AV169" s="1">
        <f t="shared" si="215"/>
        <v>0.6</v>
      </c>
      <c r="AW169" s="1">
        <f t="shared" si="215"/>
        <v>0.6</v>
      </c>
      <c r="AX169" s="1">
        <f t="shared" si="215"/>
        <v>0.3</v>
      </c>
      <c r="AY169" s="1">
        <f t="shared" si="215"/>
        <v>0.6</v>
      </c>
      <c r="AZ169" s="1">
        <f t="shared" si="215"/>
        <v>0</v>
      </c>
      <c r="BA169" s="1">
        <f t="shared" si="215"/>
        <v>0.6</v>
      </c>
      <c r="BB169" s="1">
        <f t="shared" si="215"/>
        <v>0.6</v>
      </c>
      <c r="BC169" s="1">
        <f t="shared" si="215"/>
        <v>0.3</v>
      </c>
      <c r="BD169" s="1">
        <f t="shared" si="215"/>
        <v>0.3</v>
      </c>
      <c r="BE169" s="1">
        <f t="shared" si="215"/>
        <v>0</v>
      </c>
      <c r="BF169" s="1">
        <f t="shared" si="215"/>
        <v>0.3</v>
      </c>
      <c r="BG169" s="1">
        <f t="shared" si="215"/>
        <v>0.3</v>
      </c>
      <c r="BH169" s="1">
        <f t="shared" si="215"/>
        <v>0</v>
      </c>
      <c r="BI169" s="1">
        <f t="shared" si="215"/>
        <v>0.6</v>
      </c>
      <c r="BJ169" s="1">
        <f t="shared" si="215"/>
        <v>0.3</v>
      </c>
      <c r="BK169" s="1">
        <f t="shared" si="215"/>
        <v>0.6</v>
      </c>
      <c r="BL169" s="1">
        <f t="shared" si="215"/>
        <v>0.6</v>
      </c>
    </row>
    <row r="170" spans="34:64" x14ac:dyDescent="0.25">
      <c r="AH170" s="3" t="s">
        <v>3</v>
      </c>
      <c r="AI170" s="1">
        <f t="shared" ref="AI170:AI198" si="216">AI70+AI103+AI137</f>
        <v>1</v>
      </c>
      <c r="AJ170" s="1">
        <f t="shared" ref="AJ170:AJ198" si="217">AJ70+AJ103+AJ137</f>
        <v>0</v>
      </c>
      <c r="AK170" s="1">
        <f t="shared" ref="AK170:AK198" si="218">AK70+AK103+AK137</f>
        <v>1</v>
      </c>
      <c r="AL170" s="1">
        <f t="shared" ref="AL170:AL198" si="219">AL70+AL103+AL137</f>
        <v>0</v>
      </c>
      <c r="AM170" s="1">
        <f t="shared" ref="AM170:AM198" si="220">AM70+AM103+AM137</f>
        <v>0</v>
      </c>
      <c r="AN170" s="1">
        <f t="shared" ref="AN170:AN198" si="221">AN70+AN103+AN137</f>
        <v>0</v>
      </c>
      <c r="AO170" s="1">
        <f t="shared" ref="AO170:AO198" si="222">AO70+AO103+AO137</f>
        <v>0.7</v>
      </c>
      <c r="AP170" s="1">
        <f t="shared" ref="AP170:AP198" si="223">AP70+AP103+AP137</f>
        <v>0</v>
      </c>
      <c r="AQ170" s="1">
        <f t="shared" ref="AQ170:AQ198" si="224">AQ70+AQ103+AQ137</f>
        <v>0</v>
      </c>
      <c r="AR170" s="1">
        <f t="shared" ref="AR170:AR198" si="225">AR70+AR103+AR137</f>
        <v>0.4</v>
      </c>
      <c r="AS170" s="1">
        <f t="shared" ref="AS170:AS198" si="226">AS70+AS103+AS137</f>
        <v>0</v>
      </c>
      <c r="AT170" s="1">
        <f t="shared" ref="AT170:AT198" si="227">AT70+AT103+AT137</f>
        <v>0.3</v>
      </c>
      <c r="AU170" s="1">
        <f t="shared" ref="AU170:AU198" si="228">AU70+AU103+AU137</f>
        <v>0</v>
      </c>
      <c r="AV170" s="1">
        <f t="shared" ref="AV170:AV198" si="229">AV70+AV103+AV137</f>
        <v>1</v>
      </c>
      <c r="AW170" s="1">
        <f t="shared" ref="AW170:AW198" si="230">AW70+AW103+AW137</f>
        <v>0</v>
      </c>
      <c r="AX170" s="1">
        <f t="shared" ref="AX170:AX198" si="231">AX70+AX103+AX137</f>
        <v>0.4</v>
      </c>
      <c r="AY170" s="1">
        <f t="shared" ref="AY170:AY198" si="232">AY70+AY103+AY137</f>
        <v>0</v>
      </c>
      <c r="AZ170" s="1">
        <f t="shared" ref="AZ170:AZ198" si="233">AZ70+AZ103+AZ137</f>
        <v>0</v>
      </c>
      <c r="BA170" s="1">
        <f t="shared" ref="BA170:BA198" si="234">BA70+BA103+BA137</f>
        <v>0</v>
      </c>
      <c r="BB170" s="1">
        <f t="shared" ref="BB170:BB198" si="235">BB70+BB103+BB137</f>
        <v>0</v>
      </c>
      <c r="BC170" s="1">
        <f t="shared" ref="BC170:BC198" si="236">BC70+BC103+BC137</f>
        <v>0</v>
      </c>
      <c r="BD170" s="1">
        <f t="shared" ref="BD170:BD198" si="237">BD70+BD103+BD137</f>
        <v>0</v>
      </c>
      <c r="BE170" s="1">
        <f t="shared" ref="BE170:BE198" si="238">BE70+BE103+BE137</f>
        <v>0</v>
      </c>
      <c r="BF170" s="1">
        <f t="shared" ref="BF170:BF198" si="239">BF70+BF103+BF137</f>
        <v>0.3</v>
      </c>
      <c r="BG170" s="1">
        <f t="shared" ref="BG170:BG198" si="240">BG70+BG103+BG137</f>
        <v>0.7</v>
      </c>
      <c r="BH170" s="1">
        <f t="shared" ref="BH170:BH198" si="241">BH70+BH103+BH137</f>
        <v>0</v>
      </c>
      <c r="BI170" s="1">
        <f t="shared" ref="BI170:BI198" si="242">BI70+BI103+BI137</f>
        <v>0.3</v>
      </c>
      <c r="BJ170" s="1">
        <f t="shared" ref="BJ170:BJ198" si="243">BJ70+BJ103+BJ137</f>
        <v>0</v>
      </c>
      <c r="BK170" s="1">
        <f t="shared" ref="BK170:BK198" si="244">BK70+BK103+BK137</f>
        <v>0.3</v>
      </c>
      <c r="BL170" s="1">
        <f t="shared" ref="BL170:BL198" si="245">BL70+BL103+BL137</f>
        <v>0.6</v>
      </c>
    </row>
    <row r="171" spans="34:64" x14ac:dyDescent="0.25">
      <c r="AH171" s="3" t="s">
        <v>4</v>
      </c>
      <c r="AI171" s="1">
        <f t="shared" si="216"/>
        <v>1</v>
      </c>
      <c r="AJ171" s="1">
        <f t="shared" si="217"/>
        <v>1</v>
      </c>
      <c r="AK171" s="1">
        <f t="shared" si="218"/>
        <v>0</v>
      </c>
      <c r="AL171" s="1">
        <f t="shared" si="219"/>
        <v>0.7</v>
      </c>
      <c r="AM171" s="1">
        <f t="shared" si="220"/>
        <v>0.6</v>
      </c>
      <c r="AN171" s="1">
        <f t="shared" si="221"/>
        <v>0.6</v>
      </c>
      <c r="AO171" s="1">
        <f t="shared" si="222"/>
        <v>0.6</v>
      </c>
      <c r="AP171" s="1">
        <f t="shared" si="223"/>
        <v>0.4</v>
      </c>
      <c r="AQ171" s="1">
        <f t="shared" si="224"/>
        <v>0</v>
      </c>
      <c r="AR171" s="1">
        <f t="shared" si="225"/>
        <v>0.3</v>
      </c>
      <c r="AS171" s="1">
        <f t="shared" si="226"/>
        <v>0.6</v>
      </c>
      <c r="AT171" s="1">
        <f t="shared" si="227"/>
        <v>1</v>
      </c>
      <c r="AU171" s="1">
        <f t="shared" si="228"/>
        <v>0.7</v>
      </c>
      <c r="AV171" s="1">
        <f t="shared" si="229"/>
        <v>0.6</v>
      </c>
      <c r="AW171" s="1">
        <f t="shared" si="230"/>
        <v>0.6</v>
      </c>
      <c r="AX171" s="1">
        <f t="shared" si="231"/>
        <v>0</v>
      </c>
      <c r="AY171" s="1">
        <f t="shared" si="232"/>
        <v>0.6</v>
      </c>
      <c r="AZ171" s="1">
        <f t="shared" si="233"/>
        <v>0.4</v>
      </c>
      <c r="BA171" s="1">
        <f t="shared" si="234"/>
        <v>0.6</v>
      </c>
      <c r="BB171" s="1">
        <f t="shared" si="235"/>
        <v>0.6</v>
      </c>
      <c r="BC171" s="1">
        <f t="shared" si="236"/>
        <v>0</v>
      </c>
      <c r="BD171" s="1">
        <f t="shared" si="237"/>
        <v>0</v>
      </c>
      <c r="BE171" s="1">
        <f t="shared" si="238"/>
        <v>0.4</v>
      </c>
      <c r="BF171" s="1">
        <f t="shared" si="239"/>
        <v>0</v>
      </c>
      <c r="BG171" s="1">
        <f t="shared" si="240"/>
        <v>0</v>
      </c>
      <c r="BH171" s="1">
        <f t="shared" si="241"/>
        <v>0</v>
      </c>
      <c r="BI171" s="1">
        <f t="shared" si="242"/>
        <v>0.6</v>
      </c>
      <c r="BJ171" s="1">
        <f t="shared" si="243"/>
        <v>0</v>
      </c>
      <c r="BK171" s="1">
        <f t="shared" si="244"/>
        <v>0.3</v>
      </c>
      <c r="BL171" s="1">
        <f t="shared" si="245"/>
        <v>0.6</v>
      </c>
    </row>
    <row r="172" spans="34:64" x14ac:dyDescent="0.25">
      <c r="AH172" s="3" t="s">
        <v>5</v>
      </c>
      <c r="AI172" s="1">
        <f t="shared" si="216"/>
        <v>1</v>
      </c>
      <c r="AJ172" s="1">
        <f t="shared" si="217"/>
        <v>0</v>
      </c>
      <c r="AK172" s="1">
        <f t="shared" si="218"/>
        <v>0.7</v>
      </c>
      <c r="AL172" s="1">
        <f t="shared" si="219"/>
        <v>0</v>
      </c>
      <c r="AM172" s="1">
        <f t="shared" si="220"/>
        <v>0.3</v>
      </c>
      <c r="AN172" s="1">
        <f t="shared" si="221"/>
        <v>0.3</v>
      </c>
      <c r="AO172" s="1">
        <f t="shared" si="222"/>
        <v>0.6</v>
      </c>
      <c r="AP172" s="1">
        <f t="shared" si="223"/>
        <v>0</v>
      </c>
      <c r="AQ172" s="1">
        <f t="shared" si="224"/>
        <v>0</v>
      </c>
      <c r="AR172" s="1">
        <f t="shared" si="225"/>
        <v>0.4</v>
      </c>
      <c r="AS172" s="1">
        <f t="shared" si="226"/>
        <v>0.7</v>
      </c>
      <c r="AT172" s="1">
        <f t="shared" si="227"/>
        <v>0.3</v>
      </c>
      <c r="AU172" s="1">
        <f t="shared" si="228"/>
        <v>1</v>
      </c>
      <c r="AV172" s="1">
        <f t="shared" si="229"/>
        <v>0.3</v>
      </c>
      <c r="AW172" s="1">
        <f t="shared" si="230"/>
        <v>0.3</v>
      </c>
      <c r="AX172" s="1">
        <f t="shared" si="231"/>
        <v>0</v>
      </c>
      <c r="AY172" s="1">
        <f t="shared" si="232"/>
        <v>0.4</v>
      </c>
      <c r="AZ172" s="1">
        <f t="shared" si="233"/>
        <v>0</v>
      </c>
      <c r="BA172" s="1">
        <f t="shared" si="234"/>
        <v>0.3</v>
      </c>
      <c r="BB172" s="1">
        <f t="shared" si="235"/>
        <v>0.6</v>
      </c>
      <c r="BC172" s="1">
        <f t="shared" si="236"/>
        <v>0</v>
      </c>
      <c r="BD172" s="1">
        <f t="shared" si="237"/>
        <v>0</v>
      </c>
      <c r="BE172" s="1">
        <f t="shared" si="238"/>
        <v>0</v>
      </c>
      <c r="BF172" s="1">
        <f t="shared" si="239"/>
        <v>0</v>
      </c>
      <c r="BG172" s="1">
        <f t="shared" si="240"/>
        <v>0</v>
      </c>
      <c r="BH172" s="1">
        <f t="shared" si="241"/>
        <v>0</v>
      </c>
      <c r="BI172" s="1">
        <f t="shared" si="242"/>
        <v>0</v>
      </c>
      <c r="BJ172" s="1">
        <f t="shared" si="243"/>
        <v>0</v>
      </c>
      <c r="BK172" s="1">
        <f t="shared" si="244"/>
        <v>0</v>
      </c>
      <c r="BL172" s="1">
        <f t="shared" si="245"/>
        <v>0</v>
      </c>
    </row>
    <row r="173" spans="34:64" x14ac:dyDescent="0.25">
      <c r="AH173" s="3" t="s">
        <v>6</v>
      </c>
      <c r="AI173" s="1">
        <f t="shared" si="216"/>
        <v>0.6</v>
      </c>
      <c r="AJ173" s="1">
        <f t="shared" si="217"/>
        <v>0</v>
      </c>
      <c r="AK173" s="1">
        <f t="shared" si="218"/>
        <v>0.6</v>
      </c>
      <c r="AL173" s="1">
        <f t="shared" si="219"/>
        <v>0.3</v>
      </c>
      <c r="AM173" s="1">
        <f t="shared" si="220"/>
        <v>0</v>
      </c>
      <c r="AN173" s="1">
        <f t="shared" si="221"/>
        <v>1</v>
      </c>
      <c r="AO173" s="1">
        <f t="shared" si="222"/>
        <v>1</v>
      </c>
      <c r="AP173" s="1">
        <f t="shared" si="223"/>
        <v>0</v>
      </c>
      <c r="AQ173" s="1">
        <f t="shared" si="224"/>
        <v>0.4</v>
      </c>
      <c r="AR173" s="1">
        <f t="shared" si="225"/>
        <v>0.6</v>
      </c>
      <c r="AS173" s="1">
        <f t="shared" si="226"/>
        <v>0.6</v>
      </c>
      <c r="AT173" s="1">
        <f t="shared" si="227"/>
        <v>0.3</v>
      </c>
      <c r="AU173" s="1">
        <f t="shared" si="228"/>
        <v>0.6</v>
      </c>
      <c r="AV173" s="1">
        <f t="shared" si="229"/>
        <v>0</v>
      </c>
      <c r="AW173" s="1">
        <f t="shared" si="230"/>
        <v>0.6</v>
      </c>
      <c r="AX173" s="1">
        <f t="shared" si="231"/>
        <v>0</v>
      </c>
      <c r="AY173" s="1">
        <f t="shared" si="232"/>
        <v>0.6</v>
      </c>
      <c r="AZ173" s="1">
        <f t="shared" si="233"/>
        <v>0</v>
      </c>
      <c r="BA173" s="1">
        <f t="shared" si="234"/>
        <v>0.6</v>
      </c>
      <c r="BB173" s="1">
        <f t="shared" si="235"/>
        <v>1</v>
      </c>
      <c r="BC173" s="1">
        <f t="shared" si="236"/>
        <v>0.4</v>
      </c>
      <c r="BD173" s="1">
        <f t="shared" si="237"/>
        <v>0</v>
      </c>
      <c r="BE173" s="1">
        <f t="shared" si="238"/>
        <v>0</v>
      </c>
      <c r="BF173" s="1">
        <f t="shared" si="239"/>
        <v>0</v>
      </c>
      <c r="BG173" s="1">
        <f t="shared" si="240"/>
        <v>0</v>
      </c>
      <c r="BH173" s="1">
        <f t="shared" si="241"/>
        <v>0</v>
      </c>
      <c r="BI173" s="1">
        <f t="shared" si="242"/>
        <v>0.3</v>
      </c>
      <c r="BJ173" s="1">
        <f t="shared" si="243"/>
        <v>0</v>
      </c>
      <c r="BK173" s="1">
        <f t="shared" si="244"/>
        <v>0</v>
      </c>
      <c r="BL173" s="1">
        <f t="shared" si="245"/>
        <v>0.3</v>
      </c>
    </row>
    <row r="174" spans="34:64" x14ac:dyDescent="0.25">
      <c r="AH174" s="3" t="s">
        <v>7</v>
      </c>
      <c r="AI174" s="1">
        <f t="shared" si="216"/>
        <v>0.6</v>
      </c>
      <c r="AJ174" s="1">
        <f t="shared" si="217"/>
        <v>0</v>
      </c>
      <c r="AK174" s="1">
        <f t="shared" si="218"/>
        <v>0.6</v>
      </c>
      <c r="AL174" s="1">
        <f t="shared" si="219"/>
        <v>0.3</v>
      </c>
      <c r="AM174" s="1">
        <f t="shared" si="220"/>
        <v>1</v>
      </c>
      <c r="AN174" s="1">
        <f t="shared" si="221"/>
        <v>0</v>
      </c>
      <c r="AO174" s="1">
        <f t="shared" si="222"/>
        <v>1</v>
      </c>
      <c r="AP174" s="1">
        <f t="shared" si="223"/>
        <v>0</v>
      </c>
      <c r="AQ174" s="1">
        <f t="shared" si="224"/>
        <v>0</v>
      </c>
      <c r="AR174" s="1">
        <f t="shared" si="225"/>
        <v>0.3</v>
      </c>
      <c r="AS174" s="1">
        <f t="shared" si="226"/>
        <v>0.6</v>
      </c>
      <c r="AT174" s="1">
        <f t="shared" si="227"/>
        <v>0</v>
      </c>
      <c r="AU174" s="1">
        <f t="shared" si="228"/>
        <v>0.6</v>
      </c>
      <c r="AV174" s="1">
        <f t="shared" si="229"/>
        <v>0</v>
      </c>
      <c r="AW174" s="1">
        <f t="shared" si="230"/>
        <v>0.3</v>
      </c>
      <c r="AX174" s="1">
        <f t="shared" si="231"/>
        <v>0</v>
      </c>
      <c r="AY174" s="1">
        <f t="shared" si="232"/>
        <v>0.3</v>
      </c>
      <c r="AZ174" s="1">
        <f t="shared" si="233"/>
        <v>0</v>
      </c>
      <c r="BA174" s="1">
        <f t="shared" si="234"/>
        <v>0.6</v>
      </c>
      <c r="BB174" s="1">
        <f t="shared" si="235"/>
        <v>0.6</v>
      </c>
      <c r="BC174" s="1">
        <f t="shared" si="236"/>
        <v>0</v>
      </c>
      <c r="BD174" s="1">
        <f t="shared" si="237"/>
        <v>0</v>
      </c>
      <c r="BE174" s="1">
        <f t="shared" si="238"/>
        <v>0</v>
      </c>
      <c r="BF174" s="1">
        <f t="shared" si="239"/>
        <v>0</v>
      </c>
      <c r="BG174" s="1">
        <f t="shared" si="240"/>
        <v>0</v>
      </c>
      <c r="BH174" s="1">
        <f t="shared" si="241"/>
        <v>0</v>
      </c>
      <c r="BI174" s="1">
        <f t="shared" si="242"/>
        <v>0</v>
      </c>
      <c r="BJ174" s="1">
        <f t="shared" si="243"/>
        <v>0</v>
      </c>
      <c r="BK174" s="1">
        <f t="shared" si="244"/>
        <v>0</v>
      </c>
      <c r="BL174" s="1">
        <f t="shared" si="245"/>
        <v>0</v>
      </c>
    </row>
    <row r="175" spans="34:64" x14ac:dyDescent="0.25">
      <c r="AH175" s="3" t="s">
        <v>8</v>
      </c>
      <c r="AI175" s="1">
        <f t="shared" si="216"/>
        <v>1</v>
      </c>
      <c r="AJ175" s="1">
        <f t="shared" si="217"/>
        <v>0.7</v>
      </c>
      <c r="AK175" s="1">
        <f t="shared" si="218"/>
        <v>0.6</v>
      </c>
      <c r="AL175" s="1">
        <f t="shared" si="219"/>
        <v>0.6</v>
      </c>
      <c r="AM175" s="1">
        <f t="shared" si="220"/>
        <v>1</v>
      </c>
      <c r="AN175" s="1">
        <f t="shared" si="221"/>
        <v>1</v>
      </c>
      <c r="AO175" s="1">
        <f t="shared" si="222"/>
        <v>0</v>
      </c>
      <c r="AP175" s="1">
        <f t="shared" si="223"/>
        <v>0.7</v>
      </c>
      <c r="AQ175" s="1">
        <f t="shared" si="224"/>
        <v>0.4</v>
      </c>
      <c r="AR175" s="1">
        <f t="shared" si="225"/>
        <v>0.6</v>
      </c>
      <c r="AS175" s="1">
        <f t="shared" si="226"/>
        <v>0.6</v>
      </c>
      <c r="AT175" s="1">
        <f t="shared" si="227"/>
        <v>0</v>
      </c>
      <c r="AU175" s="1">
        <f t="shared" si="228"/>
        <v>0.6</v>
      </c>
      <c r="AV175" s="1">
        <f t="shared" si="229"/>
        <v>0.3</v>
      </c>
      <c r="AW175" s="1">
        <f t="shared" si="230"/>
        <v>0.6</v>
      </c>
      <c r="AX175" s="1">
        <f t="shared" si="231"/>
        <v>0</v>
      </c>
      <c r="AY175" s="1">
        <f t="shared" si="232"/>
        <v>0.6</v>
      </c>
      <c r="AZ175" s="1">
        <f t="shared" si="233"/>
        <v>0.3</v>
      </c>
      <c r="BA175" s="1">
        <f t="shared" si="234"/>
        <v>0.6</v>
      </c>
      <c r="BB175" s="1">
        <f t="shared" si="235"/>
        <v>0.6</v>
      </c>
      <c r="BC175" s="1">
        <f t="shared" si="236"/>
        <v>0.4</v>
      </c>
      <c r="BD175" s="1">
        <f t="shared" si="237"/>
        <v>0.4</v>
      </c>
      <c r="BE175" s="1">
        <f t="shared" si="238"/>
        <v>0</v>
      </c>
      <c r="BF175" s="1">
        <f t="shared" si="239"/>
        <v>0</v>
      </c>
      <c r="BG175" s="1">
        <f t="shared" si="240"/>
        <v>0.4</v>
      </c>
      <c r="BH175" s="1">
        <f t="shared" si="241"/>
        <v>0</v>
      </c>
      <c r="BI175" s="1">
        <f t="shared" si="242"/>
        <v>0</v>
      </c>
      <c r="BJ175" s="1">
        <f t="shared" si="243"/>
        <v>0</v>
      </c>
      <c r="BK175" s="1">
        <f t="shared" si="244"/>
        <v>0</v>
      </c>
      <c r="BL175" s="1">
        <f t="shared" si="245"/>
        <v>0</v>
      </c>
    </row>
    <row r="176" spans="34:64" x14ac:dyDescent="0.25">
      <c r="AH176" s="3" t="s">
        <v>9</v>
      </c>
      <c r="AI176" s="1">
        <f t="shared" si="216"/>
        <v>0.7</v>
      </c>
      <c r="AJ176" s="1">
        <f t="shared" si="217"/>
        <v>0</v>
      </c>
      <c r="AK176" s="1">
        <f t="shared" si="218"/>
        <v>0.4</v>
      </c>
      <c r="AL176" s="1">
        <f t="shared" si="219"/>
        <v>0</v>
      </c>
      <c r="AM176" s="1">
        <f t="shared" si="220"/>
        <v>0</v>
      </c>
      <c r="AN176" s="1">
        <f t="shared" si="221"/>
        <v>0</v>
      </c>
      <c r="AO176" s="1">
        <f t="shared" si="222"/>
        <v>0.7</v>
      </c>
      <c r="AP176" s="1">
        <f t="shared" si="223"/>
        <v>0</v>
      </c>
      <c r="AQ176" s="1">
        <f t="shared" si="224"/>
        <v>0</v>
      </c>
      <c r="AR176" s="1">
        <f t="shared" si="225"/>
        <v>0</v>
      </c>
      <c r="AS176" s="1">
        <f t="shared" si="226"/>
        <v>0</v>
      </c>
      <c r="AT176" s="1">
        <f t="shared" si="227"/>
        <v>0</v>
      </c>
      <c r="AU176" s="1">
        <f t="shared" si="228"/>
        <v>0</v>
      </c>
      <c r="AV176" s="1">
        <f t="shared" si="229"/>
        <v>0</v>
      </c>
      <c r="AW176" s="1">
        <f t="shared" si="230"/>
        <v>0</v>
      </c>
      <c r="AX176" s="1">
        <f t="shared" si="231"/>
        <v>0</v>
      </c>
      <c r="AY176" s="1">
        <f t="shared" si="232"/>
        <v>0</v>
      </c>
      <c r="AZ176" s="1">
        <f t="shared" si="233"/>
        <v>0.7</v>
      </c>
      <c r="BA176" s="1">
        <f t="shared" si="234"/>
        <v>0</v>
      </c>
      <c r="BB176" s="1">
        <f t="shared" si="235"/>
        <v>0</v>
      </c>
      <c r="BC176" s="1">
        <f t="shared" si="236"/>
        <v>0.3</v>
      </c>
      <c r="BD176" s="1">
        <f t="shared" si="237"/>
        <v>0.7</v>
      </c>
      <c r="BE176" s="1">
        <f t="shared" si="238"/>
        <v>0</v>
      </c>
      <c r="BF176" s="1">
        <f t="shared" si="239"/>
        <v>0</v>
      </c>
      <c r="BG176" s="1">
        <f t="shared" si="240"/>
        <v>0</v>
      </c>
      <c r="BH176" s="1">
        <f t="shared" si="241"/>
        <v>0</v>
      </c>
      <c r="BI176" s="1">
        <f t="shared" si="242"/>
        <v>0</v>
      </c>
      <c r="BJ176" s="1">
        <f t="shared" si="243"/>
        <v>0</v>
      </c>
      <c r="BK176" s="1">
        <f t="shared" si="244"/>
        <v>0</v>
      </c>
      <c r="BL176" s="1">
        <f t="shared" si="245"/>
        <v>0</v>
      </c>
    </row>
    <row r="177" spans="34:64" x14ac:dyDescent="0.25">
      <c r="AH177" s="3" t="s">
        <v>10</v>
      </c>
      <c r="AI177" s="1">
        <f t="shared" si="216"/>
        <v>0.3</v>
      </c>
      <c r="AJ177" s="1">
        <f t="shared" si="217"/>
        <v>0</v>
      </c>
      <c r="AK177" s="1">
        <f t="shared" si="218"/>
        <v>0</v>
      </c>
      <c r="AL177" s="1">
        <f t="shared" si="219"/>
        <v>0</v>
      </c>
      <c r="AM177" s="1">
        <f t="shared" si="220"/>
        <v>0.4</v>
      </c>
      <c r="AN177" s="1">
        <f t="shared" si="221"/>
        <v>0</v>
      </c>
      <c r="AO177" s="1">
        <f t="shared" si="222"/>
        <v>0.4</v>
      </c>
      <c r="AP177" s="1">
        <f t="shared" si="223"/>
        <v>0</v>
      </c>
      <c r="AQ177" s="1">
        <f t="shared" si="224"/>
        <v>0</v>
      </c>
      <c r="AR177" s="1">
        <f t="shared" si="225"/>
        <v>0</v>
      </c>
      <c r="AS177" s="1">
        <f t="shared" si="226"/>
        <v>0</v>
      </c>
      <c r="AT177" s="1">
        <f t="shared" si="227"/>
        <v>0</v>
      </c>
      <c r="AU177" s="1">
        <f t="shared" si="228"/>
        <v>0</v>
      </c>
      <c r="AV177" s="1">
        <f t="shared" si="229"/>
        <v>0</v>
      </c>
      <c r="AW177" s="1">
        <f t="shared" si="230"/>
        <v>0</v>
      </c>
      <c r="AX177" s="1">
        <f t="shared" si="231"/>
        <v>0</v>
      </c>
      <c r="AY177" s="1">
        <f t="shared" si="232"/>
        <v>0</v>
      </c>
      <c r="AZ177" s="1">
        <f t="shared" si="233"/>
        <v>0</v>
      </c>
      <c r="BA177" s="1">
        <f t="shared" si="234"/>
        <v>0</v>
      </c>
      <c r="BB177" s="1">
        <f t="shared" si="235"/>
        <v>0.4</v>
      </c>
      <c r="BC177" s="1">
        <f t="shared" si="236"/>
        <v>0</v>
      </c>
      <c r="BD177" s="1">
        <f t="shared" si="237"/>
        <v>0</v>
      </c>
      <c r="BE177" s="1">
        <f t="shared" si="238"/>
        <v>0</v>
      </c>
      <c r="BF177" s="1">
        <f t="shared" si="239"/>
        <v>0.4</v>
      </c>
      <c r="BG177" s="1">
        <f t="shared" si="240"/>
        <v>0.4</v>
      </c>
      <c r="BH177" s="1">
        <f t="shared" si="241"/>
        <v>0</v>
      </c>
      <c r="BI177" s="1">
        <f t="shared" si="242"/>
        <v>0</v>
      </c>
      <c r="BJ177" s="1">
        <f t="shared" si="243"/>
        <v>0</v>
      </c>
      <c r="BK177" s="1">
        <f t="shared" si="244"/>
        <v>0</v>
      </c>
      <c r="BL177" s="1">
        <f t="shared" si="245"/>
        <v>0</v>
      </c>
    </row>
    <row r="178" spans="34:64" x14ac:dyDescent="0.25">
      <c r="AH178" s="3" t="s">
        <v>11</v>
      </c>
      <c r="AI178" s="1">
        <f t="shared" si="216"/>
        <v>1</v>
      </c>
      <c r="AJ178" s="1">
        <f t="shared" si="217"/>
        <v>0.4</v>
      </c>
      <c r="AK178" s="1">
        <f t="shared" si="218"/>
        <v>0.3</v>
      </c>
      <c r="AL178" s="1">
        <f t="shared" si="219"/>
        <v>0.4</v>
      </c>
      <c r="AM178" s="1">
        <f t="shared" si="220"/>
        <v>0.6</v>
      </c>
      <c r="AN178" s="1">
        <f t="shared" si="221"/>
        <v>0.3</v>
      </c>
      <c r="AO178" s="1">
        <f t="shared" si="222"/>
        <v>0.6</v>
      </c>
      <c r="AP178" s="1">
        <f t="shared" si="223"/>
        <v>0</v>
      </c>
      <c r="AQ178" s="1">
        <f t="shared" si="224"/>
        <v>0</v>
      </c>
      <c r="AR178" s="1">
        <f t="shared" si="225"/>
        <v>0</v>
      </c>
      <c r="AS178" s="1">
        <f t="shared" si="226"/>
        <v>1</v>
      </c>
      <c r="AT178" s="1">
        <f t="shared" si="227"/>
        <v>0</v>
      </c>
      <c r="AU178" s="1">
        <f t="shared" si="228"/>
        <v>0</v>
      </c>
      <c r="AV178" s="1">
        <f t="shared" si="229"/>
        <v>0</v>
      </c>
      <c r="AW178" s="1">
        <f t="shared" si="230"/>
        <v>0.6</v>
      </c>
      <c r="AX178" s="1">
        <f t="shared" si="231"/>
        <v>0.7</v>
      </c>
      <c r="AY178" s="1">
        <f t="shared" si="232"/>
        <v>0.6</v>
      </c>
      <c r="AZ178" s="1">
        <f t="shared" si="233"/>
        <v>0</v>
      </c>
      <c r="BA178" s="1">
        <f t="shared" si="234"/>
        <v>0.3</v>
      </c>
      <c r="BB178" s="1">
        <f t="shared" si="235"/>
        <v>0.3</v>
      </c>
      <c r="BC178" s="1">
        <f t="shared" si="236"/>
        <v>0</v>
      </c>
      <c r="BD178" s="1">
        <f t="shared" si="237"/>
        <v>0</v>
      </c>
      <c r="BE178" s="1">
        <f t="shared" si="238"/>
        <v>0</v>
      </c>
      <c r="BF178" s="1">
        <f t="shared" si="239"/>
        <v>0</v>
      </c>
      <c r="BG178" s="1">
        <f t="shared" si="240"/>
        <v>0</v>
      </c>
      <c r="BH178" s="1">
        <f t="shared" si="241"/>
        <v>0</v>
      </c>
      <c r="BI178" s="1">
        <f t="shared" si="242"/>
        <v>0</v>
      </c>
      <c r="BJ178" s="1">
        <f t="shared" si="243"/>
        <v>0</v>
      </c>
      <c r="BK178" s="1">
        <f t="shared" si="244"/>
        <v>0</v>
      </c>
      <c r="BL178" s="1">
        <f t="shared" si="245"/>
        <v>0</v>
      </c>
    </row>
    <row r="179" spans="34:64" x14ac:dyDescent="0.25">
      <c r="AH179" s="3" t="s">
        <v>12</v>
      </c>
      <c r="AI179" s="1">
        <f t="shared" si="216"/>
        <v>0.6</v>
      </c>
      <c r="AJ179" s="1">
        <f t="shared" si="217"/>
        <v>0</v>
      </c>
      <c r="AK179" s="1">
        <f t="shared" si="218"/>
        <v>0.6</v>
      </c>
      <c r="AL179" s="1">
        <f t="shared" si="219"/>
        <v>0.7</v>
      </c>
      <c r="AM179" s="1">
        <f t="shared" si="220"/>
        <v>0.6</v>
      </c>
      <c r="AN179" s="1">
        <f t="shared" si="221"/>
        <v>0.6</v>
      </c>
      <c r="AO179" s="1">
        <f t="shared" si="222"/>
        <v>0.6</v>
      </c>
      <c r="AP179" s="1">
        <f t="shared" si="223"/>
        <v>0</v>
      </c>
      <c r="AQ179" s="1">
        <f t="shared" si="224"/>
        <v>0</v>
      </c>
      <c r="AR179" s="1">
        <f t="shared" si="225"/>
        <v>1</v>
      </c>
      <c r="AS179" s="1">
        <f t="shared" si="226"/>
        <v>0</v>
      </c>
      <c r="AT179" s="1">
        <f t="shared" si="227"/>
        <v>0.3</v>
      </c>
      <c r="AU179" s="1">
        <f t="shared" si="228"/>
        <v>0</v>
      </c>
      <c r="AV179" s="1">
        <f t="shared" si="229"/>
        <v>0</v>
      </c>
      <c r="AW179" s="1">
        <f t="shared" si="230"/>
        <v>0.6</v>
      </c>
      <c r="AX179" s="1">
        <f t="shared" si="231"/>
        <v>0.7</v>
      </c>
      <c r="AY179" s="1">
        <f t="shared" si="232"/>
        <v>1</v>
      </c>
      <c r="AZ179" s="1">
        <f t="shared" si="233"/>
        <v>0</v>
      </c>
      <c r="BA179" s="1">
        <f t="shared" si="234"/>
        <v>0.3</v>
      </c>
      <c r="BB179" s="1">
        <f t="shared" si="235"/>
        <v>0.3</v>
      </c>
      <c r="BC179" s="1">
        <f t="shared" si="236"/>
        <v>0</v>
      </c>
      <c r="BD179" s="1">
        <f t="shared" si="237"/>
        <v>0</v>
      </c>
      <c r="BE179" s="1">
        <f t="shared" si="238"/>
        <v>0</v>
      </c>
      <c r="BF179" s="1">
        <f t="shared" si="239"/>
        <v>0</v>
      </c>
      <c r="BG179" s="1">
        <f t="shared" si="240"/>
        <v>0</v>
      </c>
      <c r="BH179" s="1">
        <f t="shared" si="241"/>
        <v>0</v>
      </c>
      <c r="BI179" s="1">
        <f t="shared" si="242"/>
        <v>0</v>
      </c>
      <c r="BJ179" s="1">
        <f t="shared" si="243"/>
        <v>0</v>
      </c>
      <c r="BK179" s="1">
        <f t="shared" si="244"/>
        <v>0</v>
      </c>
      <c r="BL179" s="1">
        <f t="shared" si="245"/>
        <v>0.3</v>
      </c>
    </row>
    <row r="180" spans="34:64" x14ac:dyDescent="0.25">
      <c r="AH180" s="3" t="s">
        <v>13</v>
      </c>
      <c r="AI180" s="1">
        <f t="shared" si="216"/>
        <v>0.6</v>
      </c>
      <c r="AJ180" s="1">
        <f t="shared" si="217"/>
        <v>0.3</v>
      </c>
      <c r="AK180" s="1">
        <f t="shared" si="218"/>
        <v>1</v>
      </c>
      <c r="AL180" s="1">
        <f t="shared" si="219"/>
        <v>0.3</v>
      </c>
      <c r="AM180" s="1">
        <f t="shared" si="220"/>
        <v>0.3</v>
      </c>
      <c r="AN180" s="1">
        <f t="shared" si="221"/>
        <v>0</v>
      </c>
      <c r="AO180" s="1">
        <f t="shared" si="222"/>
        <v>0</v>
      </c>
      <c r="AP180" s="1">
        <f t="shared" si="223"/>
        <v>0</v>
      </c>
      <c r="AQ180" s="1">
        <f t="shared" si="224"/>
        <v>0</v>
      </c>
      <c r="AR180" s="1">
        <f t="shared" si="225"/>
        <v>0</v>
      </c>
      <c r="AS180" s="1">
        <f t="shared" si="226"/>
        <v>0.3</v>
      </c>
      <c r="AT180" s="1">
        <f t="shared" si="227"/>
        <v>0</v>
      </c>
      <c r="AU180" s="1">
        <f t="shared" si="228"/>
        <v>0.4</v>
      </c>
      <c r="AV180" s="1">
        <f t="shared" si="229"/>
        <v>0.6</v>
      </c>
      <c r="AW180" s="1">
        <f t="shared" si="230"/>
        <v>0</v>
      </c>
      <c r="AX180" s="1">
        <f t="shared" si="231"/>
        <v>0</v>
      </c>
      <c r="AY180" s="1">
        <f t="shared" si="232"/>
        <v>0</v>
      </c>
      <c r="AZ180" s="1">
        <f t="shared" si="233"/>
        <v>0</v>
      </c>
      <c r="BA180" s="1">
        <f t="shared" si="234"/>
        <v>0</v>
      </c>
      <c r="BB180" s="1">
        <f t="shared" si="235"/>
        <v>0</v>
      </c>
      <c r="BC180" s="1">
        <f t="shared" si="236"/>
        <v>0</v>
      </c>
      <c r="BD180" s="1">
        <f t="shared" si="237"/>
        <v>0</v>
      </c>
      <c r="BE180" s="1">
        <f t="shared" si="238"/>
        <v>0.4</v>
      </c>
      <c r="BF180" s="1">
        <f t="shared" si="239"/>
        <v>0</v>
      </c>
      <c r="BG180" s="1">
        <f t="shared" si="240"/>
        <v>0</v>
      </c>
      <c r="BH180" s="1">
        <f t="shared" si="241"/>
        <v>0</v>
      </c>
      <c r="BI180" s="1">
        <f t="shared" si="242"/>
        <v>0</v>
      </c>
      <c r="BJ180" s="1">
        <f t="shared" si="243"/>
        <v>0</v>
      </c>
      <c r="BK180" s="1">
        <f t="shared" si="244"/>
        <v>0.3</v>
      </c>
      <c r="BL180" s="1">
        <f t="shared" si="245"/>
        <v>0.3</v>
      </c>
    </row>
    <row r="181" spans="34:64" x14ac:dyDescent="0.25">
      <c r="AH181" s="3" t="s">
        <v>14</v>
      </c>
      <c r="AI181" s="1">
        <f t="shared" si="216"/>
        <v>0.6</v>
      </c>
      <c r="AJ181" s="1">
        <f t="shared" si="217"/>
        <v>0</v>
      </c>
      <c r="AK181" s="1">
        <f t="shared" si="218"/>
        <v>0.7</v>
      </c>
      <c r="AL181" s="1">
        <f t="shared" si="219"/>
        <v>1</v>
      </c>
      <c r="AM181" s="1">
        <f t="shared" si="220"/>
        <v>0.6</v>
      </c>
      <c r="AN181" s="1">
        <f t="shared" si="221"/>
        <v>0.6</v>
      </c>
      <c r="AO181" s="1">
        <f t="shared" si="222"/>
        <v>0.6</v>
      </c>
      <c r="AP181" s="1">
        <f t="shared" si="223"/>
        <v>0</v>
      </c>
      <c r="AQ181" s="1">
        <f t="shared" si="224"/>
        <v>0</v>
      </c>
      <c r="AR181" s="1">
        <f t="shared" si="225"/>
        <v>0</v>
      </c>
      <c r="AS181" s="1">
        <f t="shared" si="226"/>
        <v>0</v>
      </c>
      <c r="AT181" s="1">
        <f t="shared" si="227"/>
        <v>0.4</v>
      </c>
      <c r="AU181" s="1">
        <f t="shared" si="228"/>
        <v>0</v>
      </c>
      <c r="AV181" s="1">
        <f t="shared" si="229"/>
        <v>0.3</v>
      </c>
      <c r="AW181" s="1">
        <f t="shared" si="230"/>
        <v>0.7</v>
      </c>
      <c r="AX181" s="1">
        <f t="shared" si="231"/>
        <v>0</v>
      </c>
      <c r="AY181" s="1">
        <f t="shared" si="232"/>
        <v>0.4</v>
      </c>
      <c r="AZ181" s="1">
        <f t="shared" si="233"/>
        <v>0</v>
      </c>
      <c r="BA181" s="1">
        <f t="shared" si="234"/>
        <v>0.3</v>
      </c>
      <c r="BB181" s="1">
        <f t="shared" si="235"/>
        <v>0.6</v>
      </c>
      <c r="BC181" s="1">
        <f t="shared" si="236"/>
        <v>0</v>
      </c>
      <c r="BD181" s="1">
        <f t="shared" si="237"/>
        <v>0</v>
      </c>
      <c r="BE181" s="1">
        <f t="shared" si="238"/>
        <v>0</v>
      </c>
      <c r="BF181" s="1">
        <f t="shared" si="239"/>
        <v>0</v>
      </c>
      <c r="BG181" s="1">
        <f t="shared" si="240"/>
        <v>0</v>
      </c>
      <c r="BH181" s="1">
        <f t="shared" si="241"/>
        <v>0</v>
      </c>
      <c r="BI181" s="1">
        <f t="shared" si="242"/>
        <v>0</v>
      </c>
      <c r="BJ181" s="1">
        <f t="shared" si="243"/>
        <v>0</v>
      </c>
      <c r="BK181" s="1">
        <f t="shared" si="244"/>
        <v>0</v>
      </c>
      <c r="BL181" s="1">
        <f t="shared" si="245"/>
        <v>0</v>
      </c>
    </row>
    <row r="182" spans="34:64" x14ac:dyDescent="0.25">
      <c r="AH182" s="3" t="s">
        <v>15</v>
      </c>
      <c r="AI182" s="1">
        <f t="shared" si="216"/>
        <v>0.6</v>
      </c>
      <c r="AJ182" s="1">
        <f t="shared" si="217"/>
        <v>1</v>
      </c>
      <c r="AK182" s="1">
        <f t="shared" si="218"/>
        <v>0.6</v>
      </c>
      <c r="AL182" s="1">
        <f t="shared" si="219"/>
        <v>0.3</v>
      </c>
      <c r="AM182" s="1">
        <f t="shared" si="220"/>
        <v>0</v>
      </c>
      <c r="AN182" s="1">
        <f t="shared" si="221"/>
        <v>0</v>
      </c>
      <c r="AO182" s="1">
        <f t="shared" si="222"/>
        <v>0.3</v>
      </c>
      <c r="AP182" s="1">
        <f t="shared" si="223"/>
        <v>0</v>
      </c>
      <c r="AQ182" s="1">
        <f t="shared" si="224"/>
        <v>0</v>
      </c>
      <c r="AR182" s="1">
        <f t="shared" si="225"/>
        <v>0</v>
      </c>
      <c r="AS182" s="1">
        <f t="shared" si="226"/>
        <v>0</v>
      </c>
      <c r="AT182" s="1">
        <f t="shared" si="227"/>
        <v>0.6</v>
      </c>
      <c r="AU182" s="1">
        <f t="shared" si="228"/>
        <v>0.3</v>
      </c>
      <c r="AV182" s="1">
        <f t="shared" si="229"/>
        <v>0</v>
      </c>
      <c r="AW182" s="1">
        <f t="shared" si="230"/>
        <v>0.3</v>
      </c>
      <c r="AX182" s="1">
        <f t="shared" si="231"/>
        <v>0.4</v>
      </c>
      <c r="AY182" s="1">
        <f t="shared" si="232"/>
        <v>0.3</v>
      </c>
      <c r="AZ182" s="1">
        <f t="shared" si="233"/>
        <v>0</v>
      </c>
      <c r="BA182" s="1">
        <f t="shared" si="234"/>
        <v>0</v>
      </c>
      <c r="BB182" s="1">
        <f t="shared" si="235"/>
        <v>0</v>
      </c>
      <c r="BC182" s="1">
        <f t="shared" si="236"/>
        <v>0</v>
      </c>
      <c r="BD182" s="1">
        <f t="shared" si="237"/>
        <v>0</v>
      </c>
      <c r="BE182" s="1">
        <f t="shared" si="238"/>
        <v>0</v>
      </c>
      <c r="BF182" s="1">
        <f t="shared" si="239"/>
        <v>0.3</v>
      </c>
      <c r="BG182" s="1">
        <f t="shared" si="240"/>
        <v>0.7</v>
      </c>
      <c r="BH182" s="1">
        <f t="shared" si="241"/>
        <v>0.4</v>
      </c>
      <c r="BI182" s="1">
        <f t="shared" si="242"/>
        <v>1</v>
      </c>
      <c r="BJ182" s="1">
        <f t="shared" si="243"/>
        <v>0.7</v>
      </c>
      <c r="BK182" s="1">
        <f t="shared" si="244"/>
        <v>0.6</v>
      </c>
      <c r="BL182" s="1">
        <f t="shared" si="245"/>
        <v>0.6</v>
      </c>
    </row>
    <row r="183" spans="34:64" x14ac:dyDescent="0.25">
      <c r="AH183" s="3" t="s">
        <v>16</v>
      </c>
      <c r="AI183" s="1">
        <f t="shared" si="216"/>
        <v>0.6</v>
      </c>
      <c r="AJ183" s="1">
        <f t="shared" si="217"/>
        <v>0</v>
      </c>
      <c r="AK183" s="1">
        <f t="shared" si="218"/>
        <v>0.6</v>
      </c>
      <c r="AL183" s="1">
        <f t="shared" si="219"/>
        <v>0.3</v>
      </c>
      <c r="AM183" s="1">
        <f t="shared" si="220"/>
        <v>0.6</v>
      </c>
      <c r="AN183" s="1">
        <f t="shared" si="221"/>
        <v>0.3</v>
      </c>
      <c r="AO183" s="1">
        <f t="shared" si="222"/>
        <v>0.6</v>
      </c>
      <c r="AP183" s="1">
        <f t="shared" si="223"/>
        <v>0</v>
      </c>
      <c r="AQ183" s="1">
        <f t="shared" si="224"/>
        <v>0</v>
      </c>
      <c r="AR183" s="1">
        <f t="shared" si="225"/>
        <v>0.6</v>
      </c>
      <c r="AS183" s="1">
        <f t="shared" si="226"/>
        <v>0.6</v>
      </c>
      <c r="AT183" s="1">
        <f t="shared" si="227"/>
        <v>0</v>
      </c>
      <c r="AU183" s="1">
        <f t="shared" si="228"/>
        <v>0.7</v>
      </c>
      <c r="AV183" s="1">
        <f t="shared" si="229"/>
        <v>0.3</v>
      </c>
      <c r="AW183" s="1">
        <f t="shared" si="230"/>
        <v>0</v>
      </c>
      <c r="AX183" s="1">
        <f t="shared" si="231"/>
        <v>0</v>
      </c>
      <c r="AY183" s="1">
        <f t="shared" si="232"/>
        <v>1</v>
      </c>
      <c r="AZ183" s="1">
        <f t="shared" si="233"/>
        <v>0</v>
      </c>
      <c r="BA183" s="1">
        <f t="shared" si="234"/>
        <v>0.6</v>
      </c>
      <c r="BB183" s="1">
        <f t="shared" si="235"/>
        <v>0.6</v>
      </c>
      <c r="BC183" s="1">
        <f t="shared" si="236"/>
        <v>0</v>
      </c>
      <c r="BD183" s="1">
        <f t="shared" si="237"/>
        <v>0</v>
      </c>
      <c r="BE183" s="1">
        <f t="shared" si="238"/>
        <v>0</v>
      </c>
      <c r="BF183" s="1">
        <f t="shared" si="239"/>
        <v>0</v>
      </c>
      <c r="BG183" s="1">
        <f t="shared" si="240"/>
        <v>0</v>
      </c>
      <c r="BH183" s="1">
        <f t="shared" si="241"/>
        <v>0</v>
      </c>
      <c r="BI183" s="1">
        <f t="shared" si="242"/>
        <v>0</v>
      </c>
      <c r="BJ183" s="1">
        <f t="shared" si="243"/>
        <v>0</v>
      </c>
      <c r="BK183" s="1">
        <f t="shared" si="244"/>
        <v>0</v>
      </c>
      <c r="BL183" s="1">
        <f t="shared" si="245"/>
        <v>0.4</v>
      </c>
    </row>
    <row r="184" spans="34:64" x14ac:dyDescent="0.25">
      <c r="AH184" s="3" t="s">
        <v>17</v>
      </c>
      <c r="AI184" s="1">
        <f t="shared" si="216"/>
        <v>0.3</v>
      </c>
      <c r="AJ184" s="1">
        <f t="shared" si="217"/>
        <v>0.4</v>
      </c>
      <c r="AK184" s="1">
        <f t="shared" si="218"/>
        <v>0</v>
      </c>
      <c r="AL184" s="1">
        <f t="shared" si="219"/>
        <v>0</v>
      </c>
      <c r="AM184" s="1">
        <f t="shared" si="220"/>
        <v>0</v>
      </c>
      <c r="AN184" s="1">
        <f t="shared" si="221"/>
        <v>0</v>
      </c>
      <c r="AO184" s="1">
        <f t="shared" si="222"/>
        <v>0</v>
      </c>
      <c r="AP184" s="1">
        <f t="shared" si="223"/>
        <v>0</v>
      </c>
      <c r="AQ184" s="1">
        <f t="shared" si="224"/>
        <v>0</v>
      </c>
      <c r="AR184" s="1">
        <f t="shared" si="225"/>
        <v>0.7</v>
      </c>
      <c r="AS184" s="1">
        <f t="shared" si="226"/>
        <v>0.7</v>
      </c>
      <c r="AT184" s="1">
        <f t="shared" si="227"/>
        <v>0</v>
      </c>
      <c r="AU184" s="1">
        <f t="shared" si="228"/>
        <v>0</v>
      </c>
      <c r="AV184" s="1">
        <f t="shared" si="229"/>
        <v>0.4</v>
      </c>
      <c r="AW184" s="1">
        <f t="shared" si="230"/>
        <v>0</v>
      </c>
      <c r="AX184" s="1">
        <f t="shared" si="231"/>
        <v>0</v>
      </c>
      <c r="AY184" s="1">
        <f t="shared" si="232"/>
        <v>0.4</v>
      </c>
      <c r="AZ184" s="1">
        <f t="shared" si="233"/>
        <v>0</v>
      </c>
      <c r="BA184" s="1">
        <f t="shared" si="234"/>
        <v>0</v>
      </c>
      <c r="BB184" s="1">
        <f t="shared" si="235"/>
        <v>0</v>
      </c>
      <c r="BC184" s="1">
        <f t="shared" si="236"/>
        <v>0</v>
      </c>
      <c r="BD184" s="1">
        <f t="shared" si="237"/>
        <v>0</v>
      </c>
      <c r="BE184" s="1">
        <f t="shared" si="238"/>
        <v>0</v>
      </c>
      <c r="BF184" s="1">
        <f t="shared" si="239"/>
        <v>0</v>
      </c>
      <c r="BG184" s="1">
        <f t="shared" si="240"/>
        <v>0</v>
      </c>
      <c r="BH184" s="1">
        <f t="shared" si="241"/>
        <v>0</v>
      </c>
      <c r="BI184" s="1">
        <f t="shared" si="242"/>
        <v>0.4</v>
      </c>
      <c r="BJ184" s="1">
        <f t="shared" si="243"/>
        <v>0</v>
      </c>
      <c r="BK184" s="1">
        <f t="shared" si="244"/>
        <v>0.3</v>
      </c>
      <c r="BL184" s="1">
        <f t="shared" si="245"/>
        <v>1</v>
      </c>
    </row>
    <row r="185" spans="34:64" x14ac:dyDescent="0.25">
      <c r="AH185" s="3" t="s">
        <v>18</v>
      </c>
      <c r="AI185" s="1">
        <f t="shared" si="216"/>
        <v>0.6</v>
      </c>
      <c r="AJ185" s="1">
        <f t="shared" si="217"/>
        <v>0</v>
      </c>
      <c r="AK185" s="1">
        <f t="shared" si="218"/>
        <v>0.6</v>
      </c>
      <c r="AL185" s="1">
        <f t="shared" si="219"/>
        <v>0.4</v>
      </c>
      <c r="AM185" s="1">
        <f t="shared" si="220"/>
        <v>0.6</v>
      </c>
      <c r="AN185" s="1">
        <f t="shared" si="221"/>
        <v>0.3</v>
      </c>
      <c r="AO185" s="1">
        <f t="shared" si="222"/>
        <v>0.6</v>
      </c>
      <c r="AP185" s="1">
        <f t="shared" si="223"/>
        <v>0</v>
      </c>
      <c r="AQ185" s="1">
        <f t="shared" si="224"/>
        <v>0</v>
      </c>
      <c r="AR185" s="1">
        <f t="shared" si="225"/>
        <v>0.6</v>
      </c>
      <c r="AS185" s="1">
        <f t="shared" si="226"/>
        <v>1</v>
      </c>
      <c r="AT185" s="1">
        <f t="shared" si="227"/>
        <v>0</v>
      </c>
      <c r="AU185" s="1">
        <f t="shared" si="228"/>
        <v>0.4</v>
      </c>
      <c r="AV185" s="1">
        <f t="shared" si="229"/>
        <v>0.3</v>
      </c>
      <c r="AW185" s="1">
        <f t="shared" si="230"/>
        <v>1</v>
      </c>
      <c r="AX185" s="1">
        <f t="shared" si="231"/>
        <v>0.4</v>
      </c>
      <c r="AY185" s="1">
        <f t="shared" si="232"/>
        <v>0</v>
      </c>
      <c r="AZ185" s="1">
        <f t="shared" si="233"/>
        <v>0</v>
      </c>
      <c r="BA185" s="1">
        <f t="shared" si="234"/>
        <v>0.6</v>
      </c>
      <c r="BB185" s="1">
        <f t="shared" si="235"/>
        <v>0.6</v>
      </c>
      <c r="BC185" s="1">
        <f t="shared" si="236"/>
        <v>0</v>
      </c>
      <c r="BD185" s="1">
        <f t="shared" si="237"/>
        <v>0</v>
      </c>
      <c r="BE185" s="1">
        <f t="shared" si="238"/>
        <v>0</v>
      </c>
      <c r="BF185" s="1">
        <f t="shared" si="239"/>
        <v>0</v>
      </c>
      <c r="BG185" s="1">
        <f t="shared" si="240"/>
        <v>0</v>
      </c>
      <c r="BH185" s="1">
        <f t="shared" si="241"/>
        <v>0</v>
      </c>
      <c r="BI185" s="1">
        <f t="shared" si="242"/>
        <v>0</v>
      </c>
      <c r="BJ185" s="1">
        <f t="shared" si="243"/>
        <v>0</v>
      </c>
      <c r="BK185" s="1">
        <f t="shared" si="244"/>
        <v>0</v>
      </c>
      <c r="BL185" s="1">
        <f t="shared" si="245"/>
        <v>0.4</v>
      </c>
    </row>
    <row r="186" spans="34:64" x14ac:dyDescent="0.25">
      <c r="AH186" s="3" t="s">
        <v>19</v>
      </c>
      <c r="AI186" s="1">
        <f t="shared" si="216"/>
        <v>0</v>
      </c>
      <c r="AJ186" s="1">
        <f t="shared" si="217"/>
        <v>0</v>
      </c>
      <c r="AK186" s="1">
        <f t="shared" si="218"/>
        <v>0.4</v>
      </c>
      <c r="AL186" s="1">
        <f t="shared" si="219"/>
        <v>0</v>
      </c>
      <c r="AM186" s="1">
        <f t="shared" si="220"/>
        <v>0</v>
      </c>
      <c r="AN186" s="1">
        <f t="shared" si="221"/>
        <v>0</v>
      </c>
      <c r="AO186" s="1">
        <f t="shared" si="222"/>
        <v>0.3</v>
      </c>
      <c r="AP186" s="1">
        <f t="shared" si="223"/>
        <v>0.7</v>
      </c>
      <c r="AQ186" s="1">
        <f t="shared" si="224"/>
        <v>0</v>
      </c>
      <c r="AR186" s="1">
        <f t="shared" si="225"/>
        <v>0</v>
      </c>
      <c r="AS186" s="1">
        <f t="shared" si="226"/>
        <v>0</v>
      </c>
      <c r="AT186" s="1">
        <f t="shared" si="227"/>
        <v>0</v>
      </c>
      <c r="AU186" s="1">
        <f t="shared" si="228"/>
        <v>0</v>
      </c>
      <c r="AV186" s="1">
        <f t="shared" si="229"/>
        <v>0</v>
      </c>
      <c r="AW186" s="1">
        <f t="shared" si="230"/>
        <v>0</v>
      </c>
      <c r="AX186" s="1">
        <f t="shared" si="231"/>
        <v>0</v>
      </c>
      <c r="AY186" s="1">
        <f t="shared" si="232"/>
        <v>0</v>
      </c>
      <c r="AZ186" s="1">
        <f t="shared" si="233"/>
        <v>0</v>
      </c>
      <c r="BA186" s="1">
        <f t="shared" si="234"/>
        <v>0</v>
      </c>
      <c r="BB186" s="1">
        <f t="shared" si="235"/>
        <v>0</v>
      </c>
      <c r="BC186" s="1">
        <f t="shared" si="236"/>
        <v>0</v>
      </c>
      <c r="BD186" s="1">
        <f t="shared" si="237"/>
        <v>0.4</v>
      </c>
      <c r="BE186" s="1">
        <f t="shared" si="238"/>
        <v>0.4</v>
      </c>
      <c r="BF186" s="1">
        <f t="shared" si="239"/>
        <v>0</v>
      </c>
      <c r="BG186" s="1">
        <f t="shared" si="240"/>
        <v>0</v>
      </c>
      <c r="BH186" s="1">
        <f t="shared" si="241"/>
        <v>0</v>
      </c>
      <c r="BI186" s="1">
        <f t="shared" si="242"/>
        <v>0</v>
      </c>
      <c r="BJ186" s="1">
        <f t="shared" si="243"/>
        <v>0</v>
      </c>
      <c r="BK186" s="1">
        <f t="shared" si="244"/>
        <v>0</v>
      </c>
      <c r="BL186" s="1">
        <f t="shared" si="245"/>
        <v>0</v>
      </c>
    </row>
    <row r="187" spans="34:64" x14ac:dyDescent="0.25">
      <c r="AH187" s="3" t="s">
        <v>20</v>
      </c>
      <c r="AI187" s="1">
        <f t="shared" si="216"/>
        <v>0.6</v>
      </c>
      <c r="AJ187" s="1">
        <f t="shared" si="217"/>
        <v>0</v>
      </c>
      <c r="AK187" s="1">
        <f t="shared" si="218"/>
        <v>0.6</v>
      </c>
      <c r="AL187" s="1">
        <f t="shared" si="219"/>
        <v>0.3</v>
      </c>
      <c r="AM187" s="1">
        <f t="shared" si="220"/>
        <v>0.6</v>
      </c>
      <c r="AN187" s="1">
        <f t="shared" si="221"/>
        <v>0.6</v>
      </c>
      <c r="AO187" s="1">
        <f t="shared" si="222"/>
        <v>0.6</v>
      </c>
      <c r="AP187" s="1">
        <f t="shared" si="223"/>
        <v>0</v>
      </c>
      <c r="AQ187" s="1">
        <f t="shared" si="224"/>
        <v>0</v>
      </c>
      <c r="AR187" s="1">
        <f t="shared" si="225"/>
        <v>0.3</v>
      </c>
      <c r="AS187" s="1">
        <f t="shared" si="226"/>
        <v>0.3</v>
      </c>
      <c r="AT187" s="1">
        <f t="shared" si="227"/>
        <v>0</v>
      </c>
      <c r="AU187" s="1">
        <f t="shared" si="228"/>
        <v>0.3</v>
      </c>
      <c r="AV187" s="1">
        <f t="shared" si="229"/>
        <v>0</v>
      </c>
      <c r="AW187" s="1">
        <f t="shared" si="230"/>
        <v>0.6</v>
      </c>
      <c r="AX187" s="1">
        <f t="shared" si="231"/>
        <v>0</v>
      </c>
      <c r="AY187" s="1">
        <f t="shared" si="232"/>
        <v>0.6</v>
      </c>
      <c r="AZ187" s="1">
        <f t="shared" si="233"/>
        <v>0</v>
      </c>
      <c r="BA187" s="1">
        <f t="shared" si="234"/>
        <v>0</v>
      </c>
      <c r="BB187" s="1">
        <f t="shared" si="235"/>
        <v>1</v>
      </c>
      <c r="BC187" s="1">
        <f t="shared" si="236"/>
        <v>0</v>
      </c>
      <c r="BD187" s="1">
        <f t="shared" si="237"/>
        <v>0</v>
      </c>
      <c r="BE187" s="1">
        <f t="shared" si="238"/>
        <v>0</v>
      </c>
      <c r="BF187" s="1">
        <f t="shared" si="239"/>
        <v>0.4</v>
      </c>
      <c r="BG187" s="1">
        <f t="shared" si="240"/>
        <v>0</v>
      </c>
      <c r="BH187" s="1">
        <f t="shared" si="241"/>
        <v>0</v>
      </c>
      <c r="BI187" s="1">
        <f t="shared" si="242"/>
        <v>0</v>
      </c>
      <c r="BJ187" s="1">
        <f t="shared" si="243"/>
        <v>0</v>
      </c>
      <c r="BK187" s="1">
        <f t="shared" si="244"/>
        <v>0</v>
      </c>
      <c r="BL187" s="1">
        <f t="shared" si="245"/>
        <v>0</v>
      </c>
    </row>
    <row r="188" spans="34:64" x14ac:dyDescent="0.25">
      <c r="AH188" s="3" t="s">
        <v>21</v>
      </c>
      <c r="AI188" s="1">
        <f t="shared" si="216"/>
        <v>0.6</v>
      </c>
      <c r="AJ188" s="1">
        <f t="shared" si="217"/>
        <v>0</v>
      </c>
      <c r="AK188" s="1">
        <f t="shared" si="218"/>
        <v>0.6</v>
      </c>
      <c r="AL188" s="1">
        <f t="shared" si="219"/>
        <v>0.6</v>
      </c>
      <c r="AM188" s="1">
        <f t="shared" si="220"/>
        <v>1</v>
      </c>
      <c r="AN188" s="1">
        <f t="shared" si="221"/>
        <v>0.6</v>
      </c>
      <c r="AO188" s="1">
        <f t="shared" si="222"/>
        <v>0.6</v>
      </c>
      <c r="AP188" s="1">
        <f t="shared" si="223"/>
        <v>0</v>
      </c>
      <c r="AQ188" s="1">
        <f t="shared" si="224"/>
        <v>0.4</v>
      </c>
      <c r="AR188" s="1">
        <f t="shared" si="225"/>
        <v>0.3</v>
      </c>
      <c r="AS188" s="1">
        <f t="shared" si="226"/>
        <v>0.3</v>
      </c>
      <c r="AT188" s="1">
        <f t="shared" si="227"/>
        <v>0</v>
      </c>
      <c r="AU188" s="1">
        <f t="shared" si="228"/>
        <v>0.6</v>
      </c>
      <c r="AV188" s="1">
        <f t="shared" si="229"/>
        <v>0</v>
      </c>
      <c r="AW188" s="1">
        <f t="shared" si="230"/>
        <v>0.6</v>
      </c>
      <c r="AX188" s="1">
        <f t="shared" si="231"/>
        <v>0</v>
      </c>
      <c r="AY188" s="1">
        <f t="shared" si="232"/>
        <v>0.6</v>
      </c>
      <c r="AZ188" s="1">
        <f t="shared" si="233"/>
        <v>0</v>
      </c>
      <c r="BA188" s="1">
        <f t="shared" si="234"/>
        <v>1</v>
      </c>
      <c r="BB188" s="1">
        <f t="shared" si="235"/>
        <v>0</v>
      </c>
      <c r="BC188" s="1">
        <f t="shared" si="236"/>
        <v>0.4</v>
      </c>
      <c r="BD188" s="1">
        <f t="shared" si="237"/>
        <v>0</v>
      </c>
      <c r="BE188" s="1">
        <f t="shared" si="238"/>
        <v>0</v>
      </c>
      <c r="BF188" s="1">
        <f t="shared" si="239"/>
        <v>0.4</v>
      </c>
      <c r="BG188" s="1">
        <f t="shared" si="240"/>
        <v>0</v>
      </c>
      <c r="BH188" s="1">
        <f t="shared" si="241"/>
        <v>0</v>
      </c>
      <c r="BI188" s="1">
        <f t="shared" si="242"/>
        <v>0</v>
      </c>
      <c r="BJ188" s="1">
        <f t="shared" si="243"/>
        <v>0</v>
      </c>
      <c r="BK188" s="1">
        <f t="shared" si="244"/>
        <v>0</v>
      </c>
      <c r="BL188" s="1">
        <f t="shared" si="245"/>
        <v>0</v>
      </c>
    </row>
    <row r="189" spans="34:64" x14ac:dyDescent="0.25">
      <c r="AH189" s="3" t="s">
        <v>22</v>
      </c>
      <c r="AI189" s="1">
        <f t="shared" si="216"/>
        <v>0.3</v>
      </c>
      <c r="AJ189" s="1">
        <f t="shared" si="217"/>
        <v>0</v>
      </c>
      <c r="AK189" s="1">
        <f t="shared" si="218"/>
        <v>0</v>
      </c>
      <c r="AL189" s="1">
        <f t="shared" si="219"/>
        <v>0</v>
      </c>
      <c r="AM189" s="1">
        <f t="shared" si="220"/>
        <v>0.4</v>
      </c>
      <c r="AN189" s="1">
        <f t="shared" si="221"/>
        <v>0</v>
      </c>
      <c r="AO189" s="1">
        <f t="shared" si="222"/>
        <v>0.4</v>
      </c>
      <c r="AP189" s="1">
        <f t="shared" si="223"/>
        <v>0.3</v>
      </c>
      <c r="AQ189" s="1">
        <f t="shared" si="224"/>
        <v>0</v>
      </c>
      <c r="AR189" s="1">
        <f t="shared" si="225"/>
        <v>0</v>
      </c>
      <c r="AS189" s="1">
        <f t="shared" si="226"/>
        <v>0</v>
      </c>
      <c r="AT189" s="1">
        <f t="shared" si="227"/>
        <v>0</v>
      </c>
      <c r="AU189" s="1">
        <f t="shared" si="228"/>
        <v>0</v>
      </c>
      <c r="AV189" s="1">
        <f t="shared" si="229"/>
        <v>0</v>
      </c>
      <c r="AW189" s="1">
        <f t="shared" si="230"/>
        <v>0</v>
      </c>
      <c r="AX189" s="1">
        <f t="shared" si="231"/>
        <v>0</v>
      </c>
      <c r="AY189" s="1">
        <f t="shared" si="232"/>
        <v>0</v>
      </c>
      <c r="AZ189" s="1">
        <f t="shared" si="233"/>
        <v>0</v>
      </c>
      <c r="BA189" s="1">
        <f t="shared" si="234"/>
        <v>0</v>
      </c>
      <c r="BB189" s="1">
        <f t="shared" si="235"/>
        <v>0.4</v>
      </c>
      <c r="BC189" s="1">
        <f t="shared" si="236"/>
        <v>0</v>
      </c>
      <c r="BD189" s="1">
        <f t="shared" si="237"/>
        <v>0.7</v>
      </c>
      <c r="BE189" s="1">
        <f t="shared" si="238"/>
        <v>0</v>
      </c>
      <c r="BF189" s="1">
        <f t="shared" si="239"/>
        <v>0</v>
      </c>
      <c r="BG189" s="1">
        <f t="shared" si="240"/>
        <v>0</v>
      </c>
      <c r="BH189" s="1">
        <f t="shared" si="241"/>
        <v>0</v>
      </c>
      <c r="BI189" s="1">
        <f t="shared" si="242"/>
        <v>0</v>
      </c>
      <c r="BJ189" s="1">
        <f t="shared" si="243"/>
        <v>0</v>
      </c>
      <c r="BK189" s="1">
        <f t="shared" si="244"/>
        <v>0</v>
      </c>
      <c r="BL189" s="1">
        <f t="shared" si="245"/>
        <v>0</v>
      </c>
    </row>
    <row r="190" spans="34:64" x14ac:dyDescent="0.25">
      <c r="AH190" s="3" t="s">
        <v>23</v>
      </c>
      <c r="AI190" s="1">
        <f t="shared" si="216"/>
        <v>0.3</v>
      </c>
      <c r="AJ190" s="1">
        <f t="shared" si="217"/>
        <v>0</v>
      </c>
      <c r="AK190" s="1">
        <f t="shared" si="218"/>
        <v>0</v>
      </c>
      <c r="AL190" s="1">
        <f t="shared" si="219"/>
        <v>0</v>
      </c>
      <c r="AM190" s="1">
        <f t="shared" si="220"/>
        <v>0</v>
      </c>
      <c r="AN190" s="1">
        <f t="shared" si="221"/>
        <v>0</v>
      </c>
      <c r="AO190" s="1">
        <f t="shared" si="222"/>
        <v>0.4</v>
      </c>
      <c r="AP190" s="1">
        <f t="shared" si="223"/>
        <v>0.7</v>
      </c>
      <c r="AQ190" s="1">
        <f t="shared" si="224"/>
        <v>0</v>
      </c>
      <c r="AR190" s="1">
        <f t="shared" si="225"/>
        <v>0</v>
      </c>
      <c r="AS190" s="1">
        <f t="shared" si="226"/>
        <v>0</v>
      </c>
      <c r="AT190" s="1">
        <f t="shared" si="227"/>
        <v>0</v>
      </c>
      <c r="AU190" s="1">
        <f t="shared" si="228"/>
        <v>0</v>
      </c>
      <c r="AV190" s="1">
        <f t="shared" si="229"/>
        <v>0</v>
      </c>
      <c r="AW190" s="1">
        <f t="shared" si="230"/>
        <v>0</v>
      </c>
      <c r="AX190" s="1">
        <f t="shared" si="231"/>
        <v>0</v>
      </c>
      <c r="AY190" s="1">
        <f t="shared" si="232"/>
        <v>0</v>
      </c>
      <c r="AZ190" s="1">
        <f t="shared" si="233"/>
        <v>0.4</v>
      </c>
      <c r="BA190" s="1">
        <f t="shared" si="234"/>
        <v>0</v>
      </c>
      <c r="BB190" s="1">
        <f t="shared" si="235"/>
        <v>0</v>
      </c>
      <c r="BC190" s="1">
        <f t="shared" si="236"/>
        <v>0.7</v>
      </c>
      <c r="BD190" s="1">
        <f t="shared" si="237"/>
        <v>0</v>
      </c>
      <c r="BE190" s="1">
        <f t="shared" si="238"/>
        <v>0.4</v>
      </c>
      <c r="BF190" s="1">
        <f t="shared" si="239"/>
        <v>0</v>
      </c>
      <c r="BG190" s="1">
        <f t="shared" si="240"/>
        <v>0</v>
      </c>
      <c r="BH190" s="1">
        <f t="shared" si="241"/>
        <v>0</v>
      </c>
      <c r="BI190" s="1">
        <f t="shared" si="242"/>
        <v>0</v>
      </c>
      <c r="BJ190" s="1">
        <f t="shared" si="243"/>
        <v>0</v>
      </c>
      <c r="BK190" s="1">
        <f t="shared" si="244"/>
        <v>0</v>
      </c>
      <c r="BL190" s="1">
        <f t="shared" si="245"/>
        <v>0</v>
      </c>
    </row>
    <row r="191" spans="34:64" x14ac:dyDescent="0.25">
      <c r="AH191" s="3" t="s">
        <v>24</v>
      </c>
      <c r="AI191" s="1">
        <f t="shared" si="216"/>
        <v>0</v>
      </c>
      <c r="AJ191" s="1">
        <f t="shared" si="217"/>
        <v>0</v>
      </c>
      <c r="AK191" s="1">
        <f t="shared" si="218"/>
        <v>0.4</v>
      </c>
      <c r="AL191" s="1">
        <f t="shared" si="219"/>
        <v>0</v>
      </c>
      <c r="AM191" s="1">
        <f t="shared" si="220"/>
        <v>0</v>
      </c>
      <c r="AN191" s="1">
        <f t="shared" si="221"/>
        <v>0</v>
      </c>
      <c r="AO191" s="1">
        <f t="shared" si="222"/>
        <v>0</v>
      </c>
      <c r="AP191" s="1">
        <f t="shared" si="223"/>
        <v>0</v>
      </c>
      <c r="AQ191" s="1">
        <f t="shared" si="224"/>
        <v>0</v>
      </c>
      <c r="AR191" s="1">
        <f t="shared" si="225"/>
        <v>0</v>
      </c>
      <c r="AS191" s="1">
        <f t="shared" si="226"/>
        <v>0</v>
      </c>
      <c r="AT191" s="1">
        <f t="shared" si="227"/>
        <v>0.4</v>
      </c>
      <c r="AU191" s="1">
        <f t="shared" si="228"/>
        <v>0</v>
      </c>
      <c r="AV191" s="1">
        <f t="shared" si="229"/>
        <v>0</v>
      </c>
      <c r="AW191" s="1">
        <f t="shared" si="230"/>
        <v>0</v>
      </c>
      <c r="AX191" s="1">
        <f t="shared" si="231"/>
        <v>0</v>
      </c>
      <c r="AY191" s="1">
        <f t="shared" si="232"/>
        <v>0</v>
      </c>
      <c r="AZ191" s="1">
        <f t="shared" si="233"/>
        <v>0.4</v>
      </c>
      <c r="BA191" s="1">
        <f t="shared" si="234"/>
        <v>0</v>
      </c>
      <c r="BB191" s="1">
        <f t="shared" si="235"/>
        <v>0</v>
      </c>
      <c r="BC191" s="1">
        <f t="shared" si="236"/>
        <v>0</v>
      </c>
      <c r="BD191" s="1">
        <f t="shared" si="237"/>
        <v>0.4</v>
      </c>
      <c r="BE191" s="1">
        <f t="shared" si="238"/>
        <v>0</v>
      </c>
      <c r="BF191" s="1">
        <f t="shared" si="239"/>
        <v>0</v>
      </c>
      <c r="BG191" s="1">
        <f t="shared" si="240"/>
        <v>0</v>
      </c>
      <c r="BH191" s="1">
        <f t="shared" si="241"/>
        <v>0</v>
      </c>
      <c r="BI191" s="1">
        <f t="shared" si="242"/>
        <v>0</v>
      </c>
      <c r="BJ191" s="1">
        <f t="shared" si="243"/>
        <v>0</v>
      </c>
      <c r="BK191" s="1">
        <f t="shared" si="244"/>
        <v>0</v>
      </c>
      <c r="BL191" s="1">
        <f t="shared" si="245"/>
        <v>0</v>
      </c>
    </row>
    <row r="192" spans="34:64" x14ac:dyDescent="0.25">
      <c r="AH192" s="3" t="s">
        <v>25</v>
      </c>
      <c r="AI192" s="1">
        <f t="shared" si="216"/>
        <v>0.3</v>
      </c>
      <c r="AJ192" s="1">
        <f t="shared" si="217"/>
        <v>0.3</v>
      </c>
      <c r="AK192" s="1">
        <f t="shared" si="218"/>
        <v>0</v>
      </c>
      <c r="AL192" s="1">
        <f t="shared" si="219"/>
        <v>0</v>
      </c>
      <c r="AM192" s="1">
        <f t="shared" si="220"/>
        <v>0</v>
      </c>
      <c r="AN192" s="1">
        <f t="shared" si="221"/>
        <v>0</v>
      </c>
      <c r="AO192" s="1">
        <f t="shared" si="222"/>
        <v>0</v>
      </c>
      <c r="AP192" s="1">
        <f t="shared" si="223"/>
        <v>0</v>
      </c>
      <c r="AQ192" s="1">
        <f t="shared" si="224"/>
        <v>0.4</v>
      </c>
      <c r="AR192" s="1">
        <f t="shared" si="225"/>
        <v>0</v>
      </c>
      <c r="AS192" s="1">
        <f t="shared" si="226"/>
        <v>0</v>
      </c>
      <c r="AT192" s="1">
        <f t="shared" si="227"/>
        <v>0</v>
      </c>
      <c r="AU192" s="1">
        <f t="shared" si="228"/>
        <v>0</v>
      </c>
      <c r="AV192" s="1">
        <f t="shared" si="229"/>
        <v>0.3</v>
      </c>
      <c r="AW192" s="1">
        <f t="shared" si="230"/>
        <v>0</v>
      </c>
      <c r="AX192" s="1">
        <f t="shared" si="231"/>
        <v>0</v>
      </c>
      <c r="AY192" s="1">
        <f t="shared" si="232"/>
        <v>0</v>
      </c>
      <c r="AZ192" s="1">
        <f t="shared" si="233"/>
        <v>0</v>
      </c>
      <c r="BA192" s="1">
        <f t="shared" si="234"/>
        <v>0.4</v>
      </c>
      <c r="BB192" s="1">
        <f t="shared" si="235"/>
        <v>0.4</v>
      </c>
      <c r="BC192" s="1">
        <f t="shared" si="236"/>
        <v>0</v>
      </c>
      <c r="BD192" s="1">
        <f t="shared" si="237"/>
        <v>0</v>
      </c>
      <c r="BE192" s="1">
        <f t="shared" si="238"/>
        <v>0</v>
      </c>
      <c r="BF192" s="1">
        <f t="shared" si="239"/>
        <v>0</v>
      </c>
      <c r="BG192" s="1">
        <f t="shared" si="240"/>
        <v>0.3</v>
      </c>
      <c r="BH192" s="1">
        <f t="shared" si="241"/>
        <v>0</v>
      </c>
      <c r="BI192" s="1">
        <f t="shared" si="242"/>
        <v>0.3</v>
      </c>
      <c r="BJ192" s="1">
        <f t="shared" si="243"/>
        <v>0</v>
      </c>
      <c r="BK192" s="1">
        <f t="shared" si="244"/>
        <v>0</v>
      </c>
      <c r="BL192" s="1">
        <f t="shared" si="245"/>
        <v>0.3</v>
      </c>
    </row>
    <row r="193" spans="34:64" x14ac:dyDescent="0.25">
      <c r="AH193" s="3" t="s">
        <v>26</v>
      </c>
      <c r="AI193" s="1">
        <f t="shared" si="216"/>
        <v>0.3</v>
      </c>
      <c r="AJ193" s="1">
        <f t="shared" si="217"/>
        <v>0.7</v>
      </c>
      <c r="AK193" s="1">
        <f t="shared" si="218"/>
        <v>0</v>
      </c>
      <c r="AL193" s="1">
        <f t="shared" si="219"/>
        <v>0</v>
      </c>
      <c r="AM193" s="1">
        <f t="shared" si="220"/>
        <v>0</v>
      </c>
      <c r="AN193" s="1">
        <f t="shared" si="221"/>
        <v>0</v>
      </c>
      <c r="AO193" s="1">
        <f t="shared" si="222"/>
        <v>0.4</v>
      </c>
      <c r="AP193" s="1">
        <f t="shared" si="223"/>
        <v>0</v>
      </c>
      <c r="AQ193" s="1">
        <f t="shared" si="224"/>
        <v>0.4</v>
      </c>
      <c r="AR193" s="1">
        <f t="shared" si="225"/>
        <v>0</v>
      </c>
      <c r="AS193" s="1">
        <f t="shared" si="226"/>
        <v>0</v>
      </c>
      <c r="AT193" s="1">
        <f t="shared" si="227"/>
        <v>0</v>
      </c>
      <c r="AU193" s="1">
        <f t="shared" si="228"/>
        <v>0</v>
      </c>
      <c r="AV193" s="1">
        <f t="shared" si="229"/>
        <v>0.7</v>
      </c>
      <c r="AW193" s="1">
        <f t="shared" si="230"/>
        <v>0</v>
      </c>
      <c r="AX193" s="1">
        <f t="shared" si="231"/>
        <v>0</v>
      </c>
      <c r="AY193" s="1">
        <f t="shared" si="232"/>
        <v>0</v>
      </c>
      <c r="AZ193" s="1">
        <f t="shared" si="233"/>
        <v>0</v>
      </c>
      <c r="BA193" s="1">
        <f t="shared" si="234"/>
        <v>0</v>
      </c>
      <c r="BB193" s="1">
        <f t="shared" si="235"/>
        <v>0</v>
      </c>
      <c r="BC193" s="1">
        <f t="shared" si="236"/>
        <v>0</v>
      </c>
      <c r="BD193" s="1">
        <f t="shared" si="237"/>
        <v>0</v>
      </c>
      <c r="BE193" s="1">
        <f t="shared" si="238"/>
        <v>0</v>
      </c>
      <c r="BF193" s="1">
        <f t="shared" si="239"/>
        <v>0.3</v>
      </c>
      <c r="BG193" s="1">
        <f t="shared" si="240"/>
        <v>0</v>
      </c>
      <c r="BH193" s="1">
        <f t="shared" si="241"/>
        <v>0</v>
      </c>
      <c r="BI193" s="1">
        <f t="shared" si="242"/>
        <v>0.3</v>
      </c>
      <c r="BJ193" s="1">
        <f t="shared" si="243"/>
        <v>0.4</v>
      </c>
      <c r="BK193" s="1">
        <f t="shared" si="244"/>
        <v>0</v>
      </c>
      <c r="BL193" s="1">
        <f t="shared" si="245"/>
        <v>0.3</v>
      </c>
    </row>
    <row r="194" spans="34:64" x14ac:dyDescent="0.25">
      <c r="AH194" s="3" t="s">
        <v>27</v>
      </c>
      <c r="AI194" s="1">
        <f t="shared" si="216"/>
        <v>0</v>
      </c>
      <c r="AJ194" s="1">
        <f t="shared" si="217"/>
        <v>0</v>
      </c>
      <c r="AK194" s="1">
        <f t="shared" si="218"/>
        <v>0</v>
      </c>
      <c r="AL194" s="1">
        <f t="shared" si="219"/>
        <v>0</v>
      </c>
      <c r="AM194" s="1">
        <f t="shared" si="220"/>
        <v>0</v>
      </c>
      <c r="AN194" s="1">
        <f t="shared" si="221"/>
        <v>0</v>
      </c>
      <c r="AO194" s="1">
        <f t="shared" si="222"/>
        <v>0</v>
      </c>
      <c r="AP194" s="1">
        <f t="shared" si="223"/>
        <v>0</v>
      </c>
      <c r="AQ194" s="1">
        <f t="shared" si="224"/>
        <v>0</v>
      </c>
      <c r="AR194" s="1">
        <f t="shared" si="225"/>
        <v>0</v>
      </c>
      <c r="AS194" s="1">
        <f t="shared" si="226"/>
        <v>0</v>
      </c>
      <c r="AT194" s="1">
        <f t="shared" si="227"/>
        <v>0</v>
      </c>
      <c r="AU194" s="1">
        <f t="shared" si="228"/>
        <v>0</v>
      </c>
      <c r="AV194" s="1">
        <f t="shared" si="229"/>
        <v>0.4</v>
      </c>
      <c r="AW194" s="1">
        <f t="shared" si="230"/>
        <v>0</v>
      </c>
      <c r="AX194" s="1">
        <f t="shared" si="231"/>
        <v>0</v>
      </c>
      <c r="AY194" s="1">
        <f t="shared" si="232"/>
        <v>0</v>
      </c>
      <c r="AZ194" s="1">
        <f t="shared" si="233"/>
        <v>0</v>
      </c>
      <c r="BA194" s="1">
        <f t="shared" si="234"/>
        <v>0</v>
      </c>
      <c r="BB194" s="1">
        <f t="shared" si="235"/>
        <v>0</v>
      </c>
      <c r="BC194" s="1">
        <f t="shared" si="236"/>
        <v>0</v>
      </c>
      <c r="BD194" s="1">
        <f t="shared" si="237"/>
        <v>0</v>
      </c>
      <c r="BE194" s="1">
        <f t="shared" si="238"/>
        <v>0</v>
      </c>
      <c r="BF194" s="1">
        <f t="shared" si="239"/>
        <v>0</v>
      </c>
      <c r="BG194" s="1">
        <f t="shared" si="240"/>
        <v>0</v>
      </c>
      <c r="BH194" s="1">
        <f t="shared" si="241"/>
        <v>0</v>
      </c>
      <c r="BI194" s="1">
        <f t="shared" si="242"/>
        <v>0.4</v>
      </c>
      <c r="BJ194" s="1">
        <f t="shared" si="243"/>
        <v>0.4</v>
      </c>
      <c r="BK194" s="1">
        <f t="shared" si="244"/>
        <v>0.7</v>
      </c>
      <c r="BL194" s="1">
        <f t="shared" si="245"/>
        <v>0.3</v>
      </c>
    </row>
    <row r="195" spans="34:64" x14ac:dyDescent="0.25">
      <c r="AH195" s="3" t="s">
        <v>28</v>
      </c>
      <c r="AI195" s="1">
        <f t="shared" si="216"/>
        <v>0.6</v>
      </c>
      <c r="AJ195" s="1">
        <f t="shared" si="217"/>
        <v>0.3</v>
      </c>
      <c r="AK195" s="1">
        <f t="shared" si="218"/>
        <v>0.6</v>
      </c>
      <c r="AL195" s="1">
        <f t="shared" si="219"/>
        <v>0</v>
      </c>
      <c r="AM195" s="1">
        <f t="shared" si="220"/>
        <v>0.3</v>
      </c>
      <c r="AN195" s="1">
        <f t="shared" si="221"/>
        <v>0</v>
      </c>
      <c r="AO195" s="1">
        <f t="shared" si="222"/>
        <v>0</v>
      </c>
      <c r="AP195" s="1">
        <f t="shared" si="223"/>
        <v>0</v>
      </c>
      <c r="AQ195" s="1">
        <f t="shared" si="224"/>
        <v>0</v>
      </c>
      <c r="AR195" s="1">
        <f t="shared" si="225"/>
        <v>0</v>
      </c>
      <c r="AS195" s="1">
        <f t="shared" si="226"/>
        <v>0</v>
      </c>
      <c r="AT195" s="1">
        <f t="shared" si="227"/>
        <v>0</v>
      </c>
      <c r="AU195" s="1">
        <f t="shared" si="228"/>
        <v>0</v>
      </c>
      <c r="AV195" s="1">
        <f t="shared" si="229"/>
        <v>1</v>
      </c>
      <c r="AW195" s="1">
        <f t="shared" si="230"/>
        <v>0</v>
      </c>
      <c r="AX195" s="1">
        <f t="shared" si="231"/>
        <v>0.4</v>
      </c>
      <c r="AY195" s="1">
        <f t="shared" si="232"/>
        <v>0</v>
      </c>
      <c r="AZ195" s="1">
        <f t="shared" si="233"/>
        <v>0</v>
      </c>
      <c r="BA195" s="1">
        <f t="shared" si="234"/>
        <v>0</v>
      </c>
      <c r="BB195" s="1">
        <f t="shared" si="235"/>
        <v>0</v>
      </c>
      <c r="BC195" s="1">
        <f t="shared" si="236"/>
        <v>0</v>
      </c>
      <c r="BD195" s="1">
        <f t="shared" si="237"/>
        <v>0</v>
      </c>
      <c r="BE195" s="1">
        <f t="shared" si="238"/>
        <v>0</v>
      </c>
      <c r="BF195" s="1">
        <f t="shared" si="239"/>
        <v>0.3</v>
      </c>
      <c r="BG195" s="1">
        <f t="shared" si="240"/>
        <v>0.3</v>
      </c>
      <c r="BH195" s="1">
        <f t="shared" si="241"/>
        <v>0.4</v>
      </c>
      <c r="BI195" s="1">
        <f t="shared" si="242"/>
        <v>0</v>
      </c>
      <c r="BJ195" s="1">
        <f t="shared" si="243"/>
        <v>0</v>
      </c>
      <c r="BK195" s="1">
        <f t="shared" si="244"/>
        <v>0.4</v>
      </c>
      <c r="BL195" s="1">
        <f t="shared" si="245"/>
        <v>1</v>
      </c>
    </row>
    <row r="196" spans="34:64" x14ac:dyDescent="0.25">
      <c r="AH196" s="3" t="s">
        <v>29</v>
      </c>
      <c r="AI196" s="1">
        <f t="shared" si="216"/>
        <v>0.3</v>
      </c>
      <c r="AJ196" s="1">
        <f t="shared" si="217"/>
        <v>0</v>
      </c>
      <c r="AK196" s="1">
        <f t="shared" si="218"/>
        <v>0</v>
      </c>
      <c r="AL196" s="1">
        <f t="shared" si="219"/>
        <v>0</v>
      </c>
      <c r="AM196" s="1">
        <f t="shared" si="220"/>
        <v>0</v>
      </c>
      <c r="AN196" s="1">
        <f t="shared" si="221"/>
        <v>0</v>
      </c>
      <c r="AO196" s="1">
        <f t="shared" si="222"/>
        <v>0</v>
      </c>
      <c r="AP196" s="1">
        <f t="shared" si="223"/>
        <v>0</v>
      </c>
      <c r="AQ196" s="1">
        <f t="shared" si="224"/>
        <v>0</v>
      </c>
      <c r="AR196" s="1">
        <f t="shared" si="225"/>
        <v>0</v>
      </c>
      <c r="AS196" s="1">
        <f t="shared" si="226"/>
        <v>0</v>
      </c>
      <c r="AT196" s="1">
        <f t="shared" si="227"/>
        <v>0</v>
      </c>
      <c r="AU196" s="1">
        <f t="shared" si="228"/>
        <v>0</v>
      </c>
      <c r="AV196" s="1">
        <f t="shared" si="229"/>
        <v>0.7</v>
      </c>
      <c r="AW196" s="1">
        <f t="shared" si="230"/>
        <v>0</v>
      </c>
      <c r="AX196" s="1">
        <f t="shared" si="231"/>
        <v>0</v>
      </c>
      <c r="AY196" s="1">
        <f t="shared" si="232"/>
        <v>0</v>
      </c>
      <c r="AZ196" s="1">
        <f t="shared" si="233"/>
        <v>0</v>
      </c>
      <c r="BA196" s="1">
        <f t="shared" si="234"/>
        <v>0</v>
      </c>
      <c r="BB196" s="1">
        <f t="shared" si="235"/>
        <v>0</v>
      </c>
      <c r="BC196" s="1">
        <f t="shared" si="236"/>
        <v>0</v>
      </c>
      <c r="BD196" s="1">
        <f t="shared" si="237"/>
        <v>0</v>
      </c>
      <c r="BE196" s="1">
        <f t="shared" si="238"/>
        <v>0</v>
      </c>
      <c r="BF196" s="1">
        <f t="shared" si="239"/>
        <v>0</v>
      </c>
      <c r="BG196" s="1">
        <f t="shared" si="240"/>
        <v>0.4</v>
      </c>
      <c r="BH196" s="1">
        <f t="shared" si="241"/>
        <v>0.4</v>
      </c>
      <c r="BI196" s="1">
        <f t="shared" si="242"/>
        <v>0</v>
      </c>
      <c r="BJ196" s="1">
        <f t="shared" si="243"/>
        <v>0</v>
      </c>
      <c r="BK196" s="1">
        <f t="shared" si="244"/>
        <v>1</v>
      </c>
      <c r="BL196" s="1">
        <f t="shared" si="245"/>
        <v>0</v>
      </c>
    </row>
    <row r="197" spans="34:64" x14ac:dyDescent="0.25">
      <c r="AH197" s="3" t="s">
        <v>30</v>
      </c>
      <c r="AI197" s="1">
        <f t="shared" si="216"/>
        <v>0.6</v>
      </c>
      <c r="AJ197" s="1">
        <f t="shared" si="217"/>
        <v>0.3</v>
      </c>
      <c r="AK197" s="1">
        <f t="shared" si="218"/>
        <v>0.3</v>
      </c>
      <c r="AL197" s="1">
        <f t="shared" si="219"/>
        <v>0</v>
      </c>
      <c r="AM197" s="1">
        <f t="shared" si="220"/>
        <v>0</v>
      </c>
      <c r="AN197" s="1">
        <f t="shared" si="221"/>
        <v>0</v>
      </c>
      <c r="AO197" s="1">
        <f t="shared" si="222"/>
        <v>0</v>
      </c>
      <c r="AP197" s="1">
        <f t="shared" si="223"/>
        <v>0</v>
      </c>
      <c r="AQ197" s="1">
        <f t="shared" si="224"/>
        <v>0</v>
      </c>
      <c r="AR197" s="1">
        <f t="shared" si="225"/>
        <v>0</v>
      </c>
      <c r="AS197" s="1">
        <f t="shared" si="226"/>
        <v>0</v>
      </c>
      <c r="AT197" s="1">
        <f t="shared" si="227"/>
        <v>0.3</v>
      </c>
      <c r="AU197" s="1">
        <f t="shared" si="228"/>
        <v>0</v>
      </c>
      <c r="AV197" s="1">
        <f t="shared" si="229"/>
        <v>0.6</v>
      </c>
      <c r="AW197" s="1">
        <f t="shared" si="230"/>
        <v>0</v>
      </c>
      <c r="AX197" s="1">
        <f t="shared" si="231"/>
        <v>0.3</v>
      </c>
      <c r="AY197" s="1">
        <f t="shared" si="232"/>
        <v>0</v>
      </c>
      <c r="AZ197" s="1">
        <f t="shared" si="233"/>
        <v>0</v>
      </c>
      <c r="BA197" s="1">
        <f t="shared" si="234"/>
        <v>0</v>
      </c>
      <c r="BB197" s="1">
        <f t="shared" si="235"/>
        <v>0</v>
      </c>
      <c r="BC197" s="1">
        <f t="shared" si="236"/>
        <v>0</v>
      </c>
      <c r="BD197" s="1">
        <f t="shared" si="237"/>
        <v>0</v>
      </c>
      <c r="BE197" s="1">
        <f t="shared" si="238"/>
        <v>0</v>
      </c>
      <c r="BF197" s="1">
        <f t="shared" si="239"/>
        <v>0</v>
      </c>
      <c r="BG197" s="1">
        <f t="shared" si="240"/>
        <v>0</v>
      </c>
      <c r="BH197" s="1">
        <f t="shared" si="241"/>
        <v>0.7</v>
      </c>
      <c r="BI197" s="1">
        <f t="shared" si="242"/>
        <v>0.4</v>
      </c>
      <c r="BJ197" s="1">
        <f t="shared" si="243"/>
        <v>1</v>
      </c>
      <c r="BK197" s="1">
        <f t="shared" si="244"/>
        <v>0</v>
      </c>
      <c r="BL197" s="1">
        <f t="shared" si="245"/>
        <v>0.3</v>
      </c>
    </row>
    <row r="198" spans="34:64" x14ac:dyDescent="0.25">
      <c r="AH198" s="3" t="s">
        <v>31</v>
      </c>
      <c r="AI198" s="1">
        <f t="shared" si="216"/>
        <v>0.6</v>
      </c>
      <c r="AJ198" s="1">
        <f t="shared" si="217"/>
        <v>0.6</v>
      </c>
      <c r="AK198" s="1">
        <f t="shared" si="218"/>
        <v>0.6</v>
      </c>
      <c r="AL198" s="1">
        <f t="shared" si="219"/>
        <v>0</v>
      </c>
      <c r="AM198" s="1">
        <f t="shared" si="220"/>
        <v>0.3</v>
      </c>
      <c r="AN198" s="1">
        <f t="shared" si="221"/>
        <v>0</v>
      </c>
      <c r="AO198" s="1">
        <f t="shared" si="222"/>
        <v>0</v>
      </c>
      <c r="AP198" s="1">
        <f t="shared" si="223"/>
        <v>0</v>
      </c>
      <c r="AQ198" s="1">
        <f t="shared" si="224"/>
        <v>0</v>
      </c>
      <c r="AR198" s="1">
        <f t="shared" si="225"/>
        <v>0</v>
      </c>
      <c r="AS198" s="1">
        <f t="shared" si="226"/>
        <v>0.3</v>
      </c>
      <c r="AT198" s="1">
        <f t="shared" si="227"/>
        <v>0.3</v>
      </c>
      <c r="AU198" s="1">
        <f t="shared" si="228"/>
        <v>0</v>
      </c>
      <c r="AV198" s="1">
        <f t="shared" si="229"/>
        <v>0.6</v>
      </c>
      <c r="AW198" s="1">
        <f t="shared" si="230"/>
        <v>0.4</v>
      </c>
      <c r="AX198" s="1">
        <f t="shared" si="231"/>
        <v>1</v>
      </c>
      <c r="AY198" s="1">
        <f t="shared" si="232"/>
        <v>0.4</v>
      </c>
      <c r="AZ198" s="1">
        <f t="shared" si="233"/>
        <v>0</v>
      </c>
      <c r="BA198" s="1">
        <f t="shared" si="234"/>
        <v>0</v>
      </c>
      <c r="BB198" s="1">
        <f t="shared" si="235"/>
        <v>0</v>
      </c>
      <c r="BC198" s="1">
        <f t="shared" si="236"/>
        <v>0</v>
      </c>
      <c r="BD198" s="1">
        <f t="shared" si="237"/>
        <v>0</v>
      </c>
      <c r="BE198" s="1">
        <f t="shared" si="238"/>
        <v>0</v>
      </c>
      <c r="BF198" s="1">
        <f t="shared" si="239"/>
        <v>0.3</v>
      </c>
      <c r="BG198" s="1">
        <f t="shared" si="240"/>
        <v>0.3</v>
      </c>
      <c r="BH198" s="1">
        <f t="shared" si="241"/>
        <v>0.3</v>
      </c>
      <c r="BI198" s="1">
        <f t="shared" si="242"/>
        <v>1</v>
      </c>
      <c r="BJ198" s="1">
        <f t="shared" si="243"/>
        <v>0</v>
      </c>
      <c r="BK198" s="1">
        <f t="shared" si="244"/>
        <v>0.3</v>
      </c>
      <c r="BL198" s="1">
        <f t="shared" si="245"/>
        <v>0</v>
      </c>
    </row>
    <row r="202" spans="34:64" x14ac:dyDescent="0.25">
      <c r="AH202" s="9" t="s">
        <v>42</v>
      </c>
      <c r="AI202" s="1" t="s">
        <v>44</v>
      </c>
      <c r="AJ202" s="1" t="s">
        <v>45</v>
      </c>
      <c r="AK202" s="1" t="s">
        <v>46</v>
      </c>
      <c r="AL202" s="1" t="s">
        <v>47</v>
      </c>
      <c r="AM202" s="1" t="s">
        <v>48</v>
      </c>
      <c r="AN202" s="1" t="s">
        <v>49</v>
      </c>
      <c r="AO202" s="1" t="s">
        <v>50</v>
      </c>
      <c r="AP202" s="1" t="s">
        <v>51</v>
      </c>
      <c r="AQ202" s="1" t="s">
        <v>52</v>
      </c>
      <c r="AR202" s="1" t="s">
        <v>53</v>
      </c>
      <c r="AS202" s="1" t="s">
        <v>54</v>
      </c>
      <c r="AT202" s="1" t="s">
        <v>55</v>
      </c>
      <c r="AU202" s="1" t="s">
        <v>56</v>
      </c>
      <c r="AV202" s="1" t="s">
        <v>57</v>
      </c>
      <c r="AW202" s="1" t="s">
        <v>58</v>
      </c>
      <c r="AX202" s="1" t="s">
        <v>59</v>
      </c>
      <c r="AY202" s="1" t="s">
        <v>60</v>
      </c>
      <c r="AZ202" s="1" t="s">
        <v>61</v>
      </c>
      <c r="BA202" s="1" t="s">
        <v>62</v>
      </c>
      <c r="BB202" s="1" t="s">
        <v>63</v>
      </c>
      <c r="BC202" s="1" t="s">
        <v>64</v>
      </c>
      <c r="BD202" s="1" t="s">
        <v>65</v>
      </c>
      <c r="BE202" s="1" t="s">
        <v>66</v>
      </c>
      <c r="BF202" s="1" t="s">
        <v>67</v>
      </c>
      <c r="BG202" s="1" t="s">
        <v>68</v>
      </c>
      <c r="BH202" s="1" t="s">
        <v>69</v>
      </c>
      <c r="BI202" s="1" t="s">
        <v>70</v>
      </c>
      <c r="BJ202" s="1" t="s">
        <v>71</v>
      </c>
      <c r="BK202" s="1" t="s">
        <v>72</v>
      </c>
      <c r="BL202" s="1" t="s">
        <v>73</v>
      </c>
    </row>
    <row r="203" spans="34:64" x14ac:dyDescent="0.25">
      <c r="AH203" s="3" t="s">
        <v>2</v>
      </c>
      <c r="AI203" s="1">
        <f>IF(AI169&gt;0.5,1,0)</f>
        <v>0</v>
      </c>
      <c r="AJ203" s="1">
        <f>IF(AJ169&gt;0.5,1,0)</f>
        <v>1</v>
      </c>
      <c r="AK203" s="1">
        <f t="shared" ref="AK203:BL203" si="246">IF(AK169&gt;0.5,1,0)</f>
        <v>1</v>
      </c>
      <c r="AL203" s="1">
        <f t="shared" si="246"/>
        <v>1</v>
      </c>
      <c r="AM203" s="1">
        <f t="shared" si="246"/>
        <v>1</v>
      </c>
      <c r="AN203" s="1">
        <f t="shared" si="246"/>
        <v>1</v>
      </c>
      <c r="AO203" s="1">
        <f t="shared" si="246"/>
        <v>1</v>
      </c>
      <c r="AP203" s="1">
        <f t="shared" si="246"/>
        <v>1</v>
      </c>
      <c r="AQ203" s="1">
        <f t="shared" si="246"/>
        <v>0</v>
      </c>
      <c r="AR203" s="1">
        <f t="shared" si="246"/>
        <v>1</v>
      </c>
      <c r="AS203" s="1">
        <f t="shared" si="246"/>
        <v>1</v>
      </c>
      <c r="AT203" s="1">
        <f t="shared" si="246"/>
        <v>1</v>
      </c>
      <c r="AU203" s="1">
        <f t="shared" si="246"/>
        <v>1</v>
      </c>
      <c r="AV203" s="1">
        <f t="shared" si="246"/>
        <v>1</v>
      </c>
      <c r="AW203" s="1">
        <f t="shared" si="246"/>
        <v>1</v>
      </c>
      <c r="AX203" s="1">
        <f t="shared" si="246"/>
        <v>0</v>
      </c>
      <c r="AY203" s="1">
        <f t="shared" si="246"/>
        <v>1</v>
      </c>
      <c r="AZ203" s="1">
        <f t="shared" si="246"/>
        <v>0</v>
      </c>
      <c r="BA203" s="1">
        <f t="shared" si="246"/>
        <v>1</v>
      </c>
      <c r="BB203" s="1">
        <f t="shared" si="246"/>
        <v>1</v>
      </c>
      <c r="BC203" s="1">
        <f t="shared" si="246"/>
        <v>0</v>
      </c>
      <c r="BD203" s="1">
        <f t="shared" si="246"/>
        <v>0</v>
      </c>
      <c r="BE203" s="1">
        <f t="shared" si="246"/>
        <v>0</v>
      </c>
      <c r="BF203" s="1">
        <f t="shared" si="246"/>
        <v>0</v>
      </c>
      <c r="BG203" s="1">
        <f t="shared" si="246"/>
        <v>0</v>
      </c>
      <c r="BH203" s="1">
        <f t="shared" si="246"/>
        <v>0</v>
      </c>
      <c r="BI203" s="1">
        <f t="shared" si="246"/>
        <v>1</v>
      </c>
      <c r="BJ203" s="1">
        <f t="shared" si="246"/>
        <v>0</v>
      </c>
      <c r="BK203" s="1">
        <f t="shared" si="246"/>
        <v>1</v>
      </c>
      <c r="BL203" s="1">
        <f t="shared" si="246"/>
        <v>1</v>
      </c>
    </row>
    <row r="204" spans="34:64" x14ac:dyDescent="0.25">
      <c r="AH204" s="3" t="s">
        <v>3</v>
      </c>
      <c r="AI204" s="1">
        <f t="shared" ref="AI204:AI217" si="247">IF(AI170&gt;0.5,1,0)</f>
        <v>1</v>
      </c>
      <c r="AJ204" s="1">
        <f t="shared" ref="AJ204:AJ217" si="248">IF(AJ170&gt;0.5,1,0)</f>
        <v>0</v>
      </c>
      <c r="AK204" s="1">
        <f t="shared" ref="AK204:AK217" si="249">IF(AK170&gt;0.5,1,0)</f>
        <v>1</v>
      </c>
      <c r="AL204" s="1">
        <f t="shared" ref="AL204:AL217" si="250">IF(AL170&gt;0.5,1,0)</f>
        <v>0</v>
      </c>
      <c r="AM204" s="1">
        <f t="shared" ref="AM204:AM217" si="251">IF(AM170&gt;0.5,1,0)</f>
        <v>0</v>
      </c>
      <c r="AN204" s="1">
        <f t="shared" ref="AN204:AN217" si="252">IF(AN170&gt;0.5,1,0)</f>
        <v>0</v>
      </c>
      <c r="AO204" s="1">
        <f t="shared" ref="AO204:AO217" si="253">IF(AO170&gt;0.5,1,0)</f>
        <v>1</v>
      </c>
      <c r="AP204" s="1">
        <f t="shared" ref="AP204:AP217" si="254">IF(AP170&gt;0.5,1,0)</f>
        <v>0</v>
      </c>
      <c r="AQ204" s="1">
        <f t="shared" ref="AQ204:AQ217" si="255">IF(AQ170&gt;0.5,1,0)</f>
        <v>0</v>
      </c>
      <c r="AR204" s="1">
        <f t="shared" ref="AR204:AR217" si="256">IF(AR170&gt;0.5,1,0)</f>
        <v>0</v>
      </c>
      <c r="AS204" s="1">
        <f t="shared" ref="AS204:AS217" si="257">IF(AS170&gt;0.5,1,0)</f>
        <v>0</v>
      </c>
      <c r="AT204" s="1">
        <f t="shared" ref="AT204:AT217" si="258">IF(AT170&gt;0.5,1,0)</f>
        <v>0</v>
      </c>
      <c r="AU204" s="1">
        <f t="shared" ref="AU204:AU217" si="259">IF(AU170&gt;0.5,1,0)</f>
        <v>0</v>
      </c>
      <c r="AV204" s="1">
        <f t="shared" ref="AV204:AV217" si="260">IF(AV170&gt;0.5,1,0)</f>
        <v>1</v>
      </c>
      <c r="AW204" s="1">
        <f t="shared" ref="AW204:AW217" si="261">IF(AW170&gt;0.5,1,0)</f>
        <v>0</v>
      </c>
      <c r="AX204" s="1">
        <f t="shared" ref="AX204:AX217" si="262">IF(AX170&gt;0.5,1,0)</f>
        <v>0</v>
      </c>
      <c r="AY204" s="1">
        <f t="shared" ref="AY204:AY217" si="263">IF(AY170&gt;0.5,1,0)</f>
        <v>0</v>
      </c>
      <c r="AZ204" s="1">
        <f t="shared" ref="AZ204:AZ217" si="264">IF(AZ170&gt;0.5,1,0)</f>
        <v>0</v>
      </c>
      <c r="BA204" s="1">
        <f t="shared" ref="BA204:BA217" si="265">IF(BA170&gt;0.5,1,0)</f>
        <v>0</v>
      </c>
      <c r="BB204" s="1">
        <f t="shared" ref="BB204:BB217" si="266">IF(BB170&gt;0.5,1,0)</f>
        <v>0</v>
      </c>
      <c r="BC204" s="1">
        <f t="shared" ref="BC204:BC217" si="267">IF(BC170&gt;0.5,1,0)</f>
        <v>0</v>
      </c>
      <c r="BD204" s="1">
        <f t="shared" ref="BD204:BD217" si="268">IF(BD170&gt;0.5,1,0)</f>
        <v>0</v>
      </c>
      <c r="BE204" s="1">
        <f t="shared" ref="BE204:BE217" si="269">IF(BE170&gt;0.5,1,0)</f>
        <v>0</v>
      </c>
      <c r="BF204" s="1">
        <f t="shared" ref="BF204:BF217" si="270">IF(BF170&gt;0.5,1,0)</f>
        <v>0</v>
      </c>
      <c r="BG204" s="1">
        <f t="shared" ref="BG204:BG217" si="271">IF(BG170&gt;0.5,1,0)</f>
        <v>1</v>
      </c>
      <c r="BH204" s="1">
        <f t="shared" ref="BH204:BH217" si="272">IF(BH170&gt;0.5,1,0)</f>
        <v>0</v>
      </c>
      <c r="BI204" s="1">
        <f t="shared" ref="BI204:BI217" si="273">IF(BI170&gt;0.5,1,0)</f>
        <v>0</v>
      </c>
      <c r="BJ204" s="1">
        <f t="shared" ref="BJ204:BJ217" si="274">IF(BJ170&gt;0.5,1,0)</f>
        <v>0</v>
      </c>
      <c r="BK204" s="1">
        <f t="shared" ref="BK204:BK217" si="275">IF(BK170&gt;0.5,1,0)</f>
        <v>0</v>
      </c>
      <c r="BL204" s="1">
        <f t="shared" ref="BL204:BL217" si="276">IF(BL170&gt;0.5,1,0)</f>
        <v>1</v>
      </c>
    </row>
    <row r="205" spans="34:64" x14ac:dyDescent="0.25">
      <c r="AH205" s="3" t="s">
        <v>4</v>
      </c>
      <c r="AI205" s="1">
        <f t="shared" si="247"/>
        <v>1</v>
      </c>
      <c r="AJ205" s="1">
        <f t="shared" si="248"/>
        <v>1</v>
      </c>
      <c r="AK205" s="1">
        <f t="shared" si="249"/>
        <v>0</v>
      </c>
      <c r="AL205" s="1">
        <f t="shared" si="250"/>
        <v>1</v>
      </c>
      <c r="AM205" s="1">
        <f t="shared" si="251"/>
        <v>1</v>
      </c>
      <c r="AN205" s="1">
        <f t="shared" si="252"/>
        <v>1</v>
      </c>
      <c r="AO205" s="1">
        <f t="shared" si="253"/>
        <v>1</v>
      </c>
      <c r="AP205" s="1">
        <f t="shared" si="254"/>
        <v>0</v>
      </c>
      <c r="AQ205" s="1">
        <f t="shared" si="255"/>
        <v>0</v>
      </c>
      <c r="AR205" s="1">
        <f t="shared" si="256"/>
        <v>0</v>
      </c>
      <c r="AS205" s="1">
        <f t="shared" si="257"/>
        <v>1</v>
      </c>
      <c r="AT205" s="1">
        <f t="shared" si="258"/>
        <v>1</v>
      </c>
      <c r="AU205" s="1">
        <f t="shared" si="259"/>
        <v>1</v>
      </c>
      <c r="AV205" s="1">
        <f t="shared" si="260"/>
        <v>1</v>
      </c>
      <c r="AW205" s="1">
        <f t="shared" si="261"/>
        <v>1</v>
      </c>
      <c r="AX205" s="1">
        <f t="shared" si="262"/>
        <v>0</v>
      </c>
      <c r="AY205" s="1">
        <f t="shared" si="263"/>
        <v>1</v>
      </c>
      <c r="AZ205" s="1">
        <f t="shared" si="264"/>
        <v>0</v>
      </c>
      <c r="BA205" s="1">
        <f t="shared" si="265"/>
        <v>1</v>
      </c>
      <c r="BB205" s="1">
        <f t="shared" si="266"/>
        <v>1</v>
      </c>
      <c r="BC205" s="1">
        <f t="shared" si="267"/>
        <v>0</v>
      </c>
      <c r="BD205" s="1">
        <f t="shared" si="268"/>
        <v>0</v>
      </c>
      <c r="BE205" s="1">
        <f t="shared" si="269"/>
        <v>0</v>
      </c>
      <c r="BF205" s="1">
        <f t="shared" si="270"/>
        <v>0</v>
      </c>
      <c r="BG205" s="1">
        <f t="shared" si="271"/>
        <v>0</v>
      </c>
      <c r="BH205" s="1">
        <f t="shared" si="272"/>
        <v>0</v>
      </c>
      <c r="BI205" s="1">
        <f t="shared" si="273"/>
        <v>1</v>
      </c>
      <c r="BJ205" s="1">
        <f t="shared" si="274"/>
        <v>0</v>
      </c>
      <c r="BK205" s="1">
        <f t="shared" si="275"/>
        <v>0</v>
      </c>
      <c r="BL205" s="1">
        <f t="shared" si="276"/>
        <v>1</v>
      </c>
    </row>
    <row r="206" spans="34:64" x14ac:dyDescent="0.25">
      <c r="AH206" s="3" t="s">
        <v>5</v>
      </c>
      <c r="AI206" s="1">
        <f t="shared" si="247"/>
        <v>1</v>
      </c>
      <c r="AJ206" s="1">
        <f t="shared" si="248"/>
        <v>0</v>
      </c>
      <c r="AK206" s="1">
        <f t="shared" si="249"/>
        <v>1</v>
      </c>
      <c r="AL206" s="1">
        <f t="shared" si="250"/>
        <v>0</v>
      </c>
      <c r="AM206" s="1">
        <f t="shared" si="251"/>
        <v>0</v>
      </c>
      <c r="AN206" s="1">
        <f t="shared" si="252"/>
        <v>0</v>
      </c>
      <c r="AO206" s="1">
        <f t="shared" si="253"/>
        <v>1</v>
      </c>
      <c r="AP206" s="1">
        <f t="shared" si="254"/>
        <v>0</v>
      </c>
      <c r="AQ206" s="1">
        <f t="shared" si="255"/>
        <v>0</v>
      </c>
      <c r="AR206" s="1">
        <f t="shared" si="256"/>
        <v>0</v>
      </c>
      <c r="AS206" s="1">
        <f t="shared" si="257"/>
        <v>1</v>
      </c>
      <c r="AT206" s="1">
        <f t="shared" si="258"/>
        <v>0</v>
      </c>
      <c r="AU206" s="1">
        <f t="shared" si="259"/>
        <v>1</v>
      </c>
      <c r="AV206" s="1">
        <f t="shared" si="260"/>
        <v>0</v>
      </c>
      <c r="AW206" s="1">
        <f t="shared" si="261"/>
        <v>0</v>
      </c>
      <c r="AX206" s="1">
        <f t="shared" si="262"/>
        <v>0</v>
      </c>
      <c r="AY206" s="1">
        <f t="shared" si="263"/>
        <v>0</v>
      </c>
      <c r="AZ206" s="1">
        <f t="shared" si="264"/>
        <v>0</v>
      </c>
      <c r="BA206" s="1">
        <f t="shared" si="265"/>
        <v>0</v>
      </c>
      <c r="BB206" s="1">
        <f t="shared" si="266"/>
        <v>1</v>
      </c>
      <c r="BC206" s="1">
        <f t="shared" si="267"/>
        <v>0</v>
      </c>
      <c r="BD206" s="1">
        <f t="shared" si="268"/>
        <v>0</v>
      </c>
      <c r="BE206" s="1">
        <f t="shared" si="269"/>
        <v>0</v>
      </c>
      <c r="BF206" s="1">
        <f t="shared" si="270"/>
        <v>0</v>
      </c>
      <c r="BG206" s="1">
        <f t="shared" si="271"/>
        <v>0</v>
      </c>
      <c r="BH206" s="1">
        <f t="shared" si="272"/>
        <v>0</v>
      </c>
      <c r="BI206" s="1">
        <f t="shared" si="273"/>
        <v>0</v>
      </c>
      <c r="BJ206" s="1">
        <f t="shared" si="274"/>
        <v>0</v>
      </c>
      <c r="BK206" s="1">
        <f t="shared" si="275"/>
        <v>0</v>
      </c>
      <c r="BL206" s="1">
        <f t="shared" si="276"/>
        <v>0</v>
      </c>
    </row>
    <row r="207" spans="34:64" x14ac:dyDescent="0.25">
      <c r="AH207" s="3" t="s">
        <v>6</v>
      </c>
      <c r="AI207" s="1">
        <f t="shared" si="247"/>
        <v>1</v>
      </c>
      <c r="AJ207" s="1">
        <f t="shared" si="248"/>
        <v>0</v>
      </c>
      <c r="AK207" s="1">
        <f t="shared" si="249"/>
        <v>1</v>
      </c>
      <c r="AL207" s="1">
        <f t="shared" si="250"/>
        <v>0</v>
      </c>
      <c r="AM207" s="1">
        <f t="shared" si="251"/>
        <v>0</v>
      </c>
      <c r="AN207" s="1">
        <f t="shared" si="252"/>
        <v>1</v>
      </c>
      <c r="AO207" s="1">
        <f t="shared" si="253"/>
        <v>1</v>
      </c>
      <c r="AP207" s="1">
        <f t="shared" si="254"/>
        <v>0</v>
      </c>
      <c r="AQ207" s="1">
        <f t="shared" si="255"/>
        <v>0</v>
      </c>
      <c r="AR207" s="1">
        <f t="shared" si="256"/>
        <v>1</v>
      </c>
      <c r="AS207" s="1">
        <f t="shared" si="257"/>
        <v>1</v>
      </c>
      <c r="AT207" s="1">
        <f t="shared" si="258"/>
        <v>0</v>
      </c>
      <c r="AU207" s="1">
        <f t="shared" si="259"/>
        <v>1</v>
      </c>
      <c r="AV207" s="1">
        <f t="shared" si="260"/>
        <v>0</v>
      </c>
      <c r="AW207" s="1">
        <f t="shared" si="261"/>
        <v>1</v>
      </c>
      <c r="AX207" s="1">
        <f t="shared" si="262"/>
        <v>0</v>
      </c>
      <c r="AY207" s="1">
        <f t="shared" si="263"/>
        <v>1</v>
      </c>
      <c r="AZ207" s="1">
        <f t="shared" si="264"/>
        <v>0</v>
      </c>
      <c r="BA207" s="1">
        <f t="shared" si="265"/>
        <v>1</v>
      </c>
      <c r="BB207" s="1">
        <f t="shared" si="266"/>
        <v>1</v>
      </c>
      <c r="BC207" s="1">
        <f t="shared" si="267"/>
        <v>0</v>
      </c>
      <c r="BD207" s="1">
        <f t="shared" si="268"/>
        <v>0</v>
      </c>
      <c r="BE207" s="1">
        <f t="shared" si="269"/>
        <v>0</v>
      </c>
      <c r="BF207" s="1">
        <f t="shared" si="270"/>
        <v>0</v>
      </c>
      <c r="BG207" s="1">
        <f t="shared" si="271"/>
        <v>0</v>
      </c>
      <c r="BH207" s="1">
        <f t="shared" si="272"/>
        <v>0</v>
      </c>
      <c r="BI207" s="1">
        <f t="shared" si="273"/>
        <v>0</v>
      </c>
      <c r="BJ207" s="1">
        <f t="shared" si="274"/>
        <v>0</v>
      </c>
      <c r="BK207" s="1">
        <f t="shared" si="275"/>
        <v>0</v>
      </c>
      <c r="BL207" s="1">
        <f t="shared" si="276"/>
        <v>0</v>
      </c>
    </row>
    <row r="208" spans="34:64" x14ac:dyDescent="0.25">
      <c r="AH208" s="3" t="s">
        <v>7</v>
      </c>
      <c r="AI208" s="1">
        <f t="shared" si="247"/>
        <v>1</v>
      </c>
      <c r="AJ208" s="1">
        <f t="shared" si="248"/>
        <v>0</v>
      </c>
      <c r="AK208" s="1">
        <f t="shared" si="249"/>
        <v>1</v>
      </c>
      <c r="AL208" s="1">
        <f t="shared" si="250"/>
        <v>0</v>
      </c>
      <c r="AM208" s="1">
        <f t="shared" si="251"/>
        <v>1</v>
      </c>
      <c r="AN208" s="1">
        <f t="shared" si="252"/>
        <v>0</v>
      </c>
      <c r="AO208" s="1">
        <f t="shared" si="253"/>
        <v>1</v>
      </c>
      <c r="AP208" s="1">
        <f t="shared" si="254"/>
        <v>0</v>
      </c>
      <c r="AQ208" s="1">
        <f t="shared" si="255"/>
        <v>0</v>
      </c>
      <c r="AR208" s="1">
        <f t="shared" si="256"/>
        <v>0</v>
      </c>
      <c r="AS208" s="1">
        <f t="shared" si="257"/>
        <v>1</v>
      </c>
      <c r="AT208" s="1">
        <f t="shared" si="258"/>
        <v>0</v>
      </c>
      <c r="AU208" s="1">
        <f t="shared" si="259"/>
        <v>1</v>
      </c>
      <c r="AV208" s="1">
        <f t="shared" si="260"/>
        <v>0</v>
      </c>
      <c r="AW208" s="1">
        <f t="shared" si="261"/>
        <v>0</v>
      </c>
      <c r="AX208" s="1">
        <f t="shared" si="262"/>
        <v>0</v>
      </c>
      <c r="AY208" s="1">
        <f t="shared" si="263"/>
        <v>0</v>
      </c>
      <c r="AZ208" s="1">
        <f t="shared" si="264"/>
        <v>0</v>
      </c>
      <c r="BA208" s="1">
        <f t="shared" si="265"/>
        <v>1</v>
      </c>
      <c r="BB208" s="1">
        <f t="shared" si="266"/>
        <v>1</v>
      </c>
      <c r="BC208" s="1">
        <f t="shared" si="267"/>
        <v>0</v>
      </c>
      <c r="BD208" s="1">
        <f t="shared" si="268"/>
        <v>0</v>
      </c>
      <c r="BE208" s="1">
        <f t="shared" si="269"/>
        <v>0</v>
      </c>
      <c r="BF208" s="1">
        <f t="shared" si="270"/>
        <v>0</v>
      </c>
      <c r="BG208" s="1">
        <f t="shared" si="271"/>
        <v>0</v>
      </c>
      <c r="BH208" s="1">
        <f t="shared" si="272"/>
        <v>0</v>
      </c>
      <c r="BI208" s="1">
        <f t="shared" si="273"/>
        <v>0</v>
      </c>
      <c r="BJ208" s="1">
        <f t="shared" si="274"/>
        <v>0</v>
      </c>
      <c r="BK208" s="1">
        <f t="shared" si="275"/>
        <v>0</v>
      </c>
      <c r="BL208" s="1">
        <f t="shared" si="276"/>
        <v>0</v>
      </c>
    </row>
    <row r="209" spans="34:64" x14ac:dyDescent="0.25">
      <c r="AH209" s="3" t="s">
        <v>8</v>
      </c>
      <c r="AI209" s="1">
        <f t="shared" si="247"/>
        <v>1</v>
      </c>
      <c r="AJ209" s="1">
        <f t="shared" si="248"/>
        <v>1</v>
      </c>
      <c r="AK209" s="1">
        <f t="shared" si="249"/>
        <v>1</v>
      </c>
      <c r="AL209" s="1">
        <f t="shared" si="250"/>
        <v>1</v>
      </c>
      <c r="AM209" s="1">
        <f t="shared" si="251"/>
        <v>1</v>
      </c>
      <c r="AN209" s="1">
        <f t="shared" si="252"/>
        <v>1</v>
      </c>
      <c r="AO209" s="1">
        <f t="shared" si="253"/>
        <v>0</v>
      </c>
      <c r="AP209" s="1">
        <f t="shared" si="254"/>
        <v>1</v>
      </c>
      <c r="AQ209" s="1">
        <f t="shared" si="255"/>
        <v>0</v>
      </c>
      <c r="AR209" s="1">
        <f t="shared" si="256"/>
        <v>1</v>
      </c>
      <c r="AS209" s="1">
        <f t="shared" si="257"/>
        <v>1</v>
      </c>
      <c r="AT209" s="1">
        <f t="shared" si="258"/>
        <v>0</v>
      </c>
      <c r="AU209" s="1">
        <f t="shared" si="259"/>
        <v>1</v>
      </c>
      <c r="AV209" s="1">
        <f t="shared" si="260"/>
        <v>0</v>
      </c>
      <c r="AW209" s="1">
        <f t="shared" si="261"/>
        <v>1</v>
      </c>
      <c r="AX209" s="1">
        <f t="shared" si="262"/>
        <v>0</v>
      </c>
      <c r="AY209" s="1">
        <f t="shared" si="263"/>
        <v>1</v>
      </c>
      <c r="AZ209" s="1">
        <f t="shared" si="264"/>
        <v>0</v>
      </c>
      <c r="BA209" s="1">
        <f t="shared" si="265"/>
        <v>1</v>
      </c>
      <c r="BB209" s="1">
        <f t="shared" si="266"/>
        <v>1</v>
      </c>
      <c r="BC209" s="1">
        <f t="shared" si="267"/>
        <v>0</v>
      </c>
      <c r="BD209" s="1">
        <f t="shared" si="268"/>
        <v>0</v>
      </c>
      <c r="BE209" s="1">
        <f t="shared" si="269"/>
        <v>0</v>
      </c>
      <c r="BF209" s="1">
        <f t="shared" si="270"/>
        <v>0</v>
      </c>
      <c r="BG209" s="1">
        <f t="shared" si="271"/>
        <v>0</v>
      </c>
      <c r="BH209" s="1">
        <f t="shared" si="272"/>
        <v>0</v>
      </c>
      <c r="BI209" s="1">
        <f t="shared" si="273"/>
        <v>0</v>
      </c>
      <c r="BJ209" s="1">
        <f t="shared" si="274"/>
        <v>0</v>
      </c>
      <c r="BK209" s="1">
        <f t="shared" si="275"/>
        <v>0</v>
      </c>
      <c r="BL209" s="1">
        <f t="shared" si="276"/>
        <v>0</v>
      </c>
    </row>
    <row r="210" spans="34:64" x14ac:dyDescent="0.25">
      <c r="AH210" s="3" t="s">
        <v>9</v>
      </c>
      <c r="AI210" s="1">
        <f t="shared" si="247"/>
        <v>1</v>
      </c>
      <c r="AJ210" s="1">
        <f t="shared" si="248"/>
        <v>0</v>
      </c>
      <c r="AK210" s="1">
        <f t="shared" si="249"/>
        <v>0</v>
      </c>
      <c r="AL210" s="1">
        <f t="shared" si="250"/>
        <v>0</v>
      </c>
      <c r="AM210" s="1">
        <f t="shared" si="251"/>
        <v>0</v>
      </c>
      <c r="AN210" s="1">
        <f t="shared" si="252"/>
        <v>0</v>
      </c>
      <c r="AO210" s="1">
        <f t="shared" si="253"/>
        <v>1</v>
      </c>
      <c r="AP210" s="1">
        <f t="shared" si="254"/>
        <v>0</v>
      </c>
      <c r="AQ210" s="1">
        <f t="shared" si="255"/>
        <v>0</v>
      </c>
      <c r="AR210" s="1">
        <f t="shared" si="256"/>
        <v>0</v>
      </c>
      <c r="AS210" s="1">
        <f t="shared" si="257"/>
        <v>0</v>
      </c>
      <c r="AT210" s="1">
        <f t="shared" si="258"/>
        <v>0</v>
      </c>
      <c r="AU210" s="1">
        <f t="shared" si="259"/>
        <v>0</v>
      </c>
      <c r="AV210" s="1">
        <f t="shared" si="260"/>
        <v>0</v>
      </c>
      <c r="AW210" s="1">
        <f t="shared" si="261"/>
        <v>0</v>
      </c>
      <c r="AX210" s="1">
        <f t="shared" si="262"/>
        <v>0</v>
      </c>
      <c r="AY210" s="1">
        <f t="shared" si="263"/>
        <v>0</v>
      </c>
      <c r="AZ210" s="1">
        <f t="shared" si="264"/>
        <v>1</v>
      </c>
      <c r="BA210" s="1">
        <f t="shared" si="265"/>
        <v>0</v>
      </c>
      <c r="BB210" s="1">
        <f t="shared" si="266"/>
        <v>0</v>
      </c>
      <c r="BC210" s="1">
        <f t="shared" si="267"/>
        <v>0</v>
      </c>
      <c r="BD210" s="1">
        <f t="shared" si="268"/>
        <v>1</v>
      </c>
      <c r="BE210" s="1">
        <f t="shared" si="269"/>
        <v>0</v>
      </c>
      <c r="BF210" s="1">
        <f t="shared" si="270"/>
        <v>0</v>
      </c>
      <c r="BG210" s="1">
        <f t="shared" si="271"/>
        <v>0</v>
      </c>
      <c r="BH210" s="1">
        <f t="shared" si="272"/>
        <v>0</v>
      </c>
      <c r="BI210" s="1">
        <f t="shared" si="273"/>
        <v>0</v>
      </c>
      <c r="BJ210" s="1">
        <f t="shared" si="274"/>
        <v>0</v>
      </c>
      <c r="BK210" s="1">
        <f t="shared" si="275"/>
        <v>0</v>
      </c>
      <c r="BL210" s="1">
        <f t="shared" si="276"/>
        <v>0</v>
      </c>
    </row>
    <row r="211" spans="34:64" x14ac:dyDescent="0.25">
      <c r="AH211" s="3" t="s">
        <v>10</v>
      </c>
      <c r="AI211" s="1">
        <f t="shared" si="247"/>
        <v>0</v>
      </c>
      <c r="AJ211" s="1">
        <f t="shared" si="248"/>
        <v>0</v>
      </c>
      <c r="AK211" s="1">
        <f t="shared" si="249"/>
        <v>0</v>
      </c>
      <c r="AL211" s="1">
        <f t="shared" si="250"/>
        <v>0</v>
      </c>
      <c r="AM211" s="1">
        <f t="shared" si="251"/>
        <v>0</v>
      </c>
      <c r="AN211" s="1">
        <f t="shared" si="252"/>
        <v>0</v>
      </c>
      <c r="AO211" s="1">
        <f t="shared" si="253"/>
        <v>0</v>
      </c>
      <c r="AP211" s="1">
        <f t="shared" si="254"/>
        <v>0</v>
      </c>
      <c r="AQ211" s="1">
        <f t="shared" si="255"/>
        <v>0</v>
      </c>
      <c r="AR211" s="1">
        <f t="shared" si="256"/>
        <v>0</v>
      </c>
      <c r="AS211" s="1">
        <f t="shared" si="257"/>
        <v>0</v>
      </c>
      <c r="AT211" s="1">
        <f t="shared" si="258"/>
        <v>0</v>
      </c>
      <c r="AU211" s="1">
        <f t="shared" si="259"/>
        <v>0</v>
      </c>
      <c r="AV211" s="1">
        <f t="shared" si="260"/>
        <v>0</v>
      </c>
      <c r="AW211" s="1">
        <f t="shared" si="261"/>
        <v>0</v>
      </c>
      <c r="AX211" s="1">
        <f t="shared" si="262"/>
        <v>0</v>
      </c>
      <c r="AY211" s="1">
        <f t="shared" si="263"/>
        <v>0</v>
      </c>
      <c r="AZ211" s="1">
        <f t="shared" si="264"/>
        <v>0</v>
      </c>
      <c r="BA211" s="1">
        <f t="shared" si="265"/>
        <v>0</v>
      </c>
      <c r="BB211" s="1">
        <f t="shared" si="266"/>
        <v>0</v>
      </c>
      <c r="BC211" s="1">
        <f t="shared" si="267"/>
        <v>0</v>
      </c>
      <c r="BD211" s="1">
        <f t="shared" si="268"/>
        <v>0</v>
      </c>
      <c r="BE211" s="1">
        <f t="shared" si="269"/>
        <v>0</v>
      </c>
      <c r="BF211" s="1">
        <f t="shared" si="270"/>
        <v>0</v>
      </c>
      <c r="BG211" s="1">
        <f t="shared" si="271"/>
        <v>0</v>
      </c>
      <c r="BH211" s="1">
        <f t="shared" si="272"/>
        <v>0</v>
      </c>
      <c r="BI211" s="1">
        <f t="shared" si="273"/>
        <v>0</v>
      </c>
      <c r="BJ211" s="1">
        <f t="shared" si="274"/>
        <v>0</v>
      </c>
      <c r="BK211" s="1">
        <f t="shared" si="275"/>
        <v>0</v>
      </c>
      <c r="BL211" s="1">
        <f t="shared" si="276"/>
        <v>0</v>
      </c>
    </row>
    <row r="212" spans="34:64" x14ac:dyDescent="0.25">
      <c r="AH212" s="3" t="s">
        <v>11</v>
      </c>
      <c r="AI212" s="1">
        <f t="shared" si="247"/>
        <v>1</v>
      </c>
      <c r="AJ212" s="1">
        <f t="shared" si="248"/>
        <v>0</v>
      </c>
      <c r="AK212" s="1">
        <f t="shared" si="249"/>
        <v>0</v>
      </c>
      <c r="AL212" s="1">
        <f t="shared" si="250"/>
        <v>0</v>
      </c>
      <c r="AM212" s="1">
        <f t="shared" si="251"/>
        <v>1</v>
      </c>
      <c r="AN212" s="1">
        <f t="shared" si="252"/>
        <v>0</v>
      </c>
      <c r="AO212" s="1">
        <f t="shared" si="253"/>
        <v>1</v>
      </c>
      <c r="AP212" s="1">
        <f t="shared" si="254"/>
        <v>0</v>
      </c>
      <c r="AQ212" s="1">
        <f t="shared" si="255"/>
        <v>0</v>
      </c>
      <c r="AR212" s="1">
        <f t="shared" si="256"/>
        <v>0</v>
      </c>
      <c r="AS212" s="1">
        <f t="shared" si="257"/>
        <v>1</v>
      </c>
      <c r="AT212" s="1">
        <f t="shared" si="258"/>
        <v>0</v>
      </c>
      <c r="AU212" s="1">
        <f t="shared" si="259"/>
        <v>0</v>
      </c>
      <c r="AV212" s="1">
        <f t="shared" si="260"/>
        <v>0</v>
      </c>
      <c r="AW212" s="1">
        <f t="shared" si="261"/>
        <v>1</v>
      </c>
      <c r="AX212" s="1">
        <f t="shared" si="262"/>
        <v>1</v>
      </c>
      <c r="AY212" s="1">
        <f t="shared" si="263"/>
        <v>1</v>
      </c>
      <c r="AZ212" s="1">
        <f t="shared" si="264"/>
        <v>0</v>
      </c>
      <c r="BA212" s="1">
        <f t="shared" si="265"/>
        <v>0</v>
      </c>
      <c r="BB212" s="1">
        <f t="shared" si="266"/>
        <v>0</v>
      </c>
      <c r="BC212" s="1">
        <f t="shared" si="267"/>
        <v>0</v>
      </c>
      <c r="BD212" s="1">
        <f t="shared" si="268"/>
        <v>0</v>
      </c>
      <c r="BE212" s="1">
        <f t="shared" si="269"/>
        <v>0</v>
      </c>
      <c r="BF212" s="1">
        <f t="shared" si="270"/>
        <v>0</v>
      </c>
      <c r="BG212" s="1">
        <f t="shared" si="271"/>
        <v>0</v>
      </c>
      <c r="BH212" s="1">
        <f t="shared" si="272"/>
        <v>0</v>
      </c>
      <c r="BI212" s="1">
        <f t="shared" si="273"/>
        <v>0</v>
      </c>
      <c r="BJ212" s="1">
        <f t="shared" si="274"/>
        <v>0</v>
      </c>
      <c r="BK212" s="1">
        <f t="shared" si="275"/>
        <v>0</v>
      </c>
      <c r="BL212" s="1">
        <f t="shared" si="276"/>
        <v>0</v>
      </c>
    </row>
    <row r="213" spans="34:64" x14ac:dyDescent="0.25">
      <c r="AH213" s="3" t="s">
        <v>12</v>
      </c>
      <c r="AI213" s="1">
        <f t="shared" si="247"/>
        <v>1</v>
      </c>
      <c r="AJ213" s="1">
        <f t="shared" si="248"/>
        <v>0</v>
      </c>
      <c r="AK213" s="1">
        <f t="shared" si="249"/>
        <v>1</v>
      </c>
      <c r="AL213" s="1">
        <f t="shared" si="250"/>
        <v>1</v>
      </c>
      <c r="AM213" s="1">
        <f t="shared" si="251"/>
        <v>1</v>
      </c>
      <c r="AN213" s="1">
        <f t="shared" si="252"/>
        <v>1</v>
      </c>
      <c r="AO213" s="1">
        <f t="shared" si="253"/>
        <v>1</v>
      </c>
      <c r="AP213" s="1">
        <f t="shared" si="254"/>
        <v>0</v>
      </c>
      <c r="AQ213" s="1">
        <f t="shared" si="255"/>
        <v>0</v>
      </c>
      <c r="AR213" s="1">
        <f t="shared" si="256"/>
        <v>1</v>
      </c>
      <c r="AS213" s="1">
        <f t="shared" si="257"/>
        <v>0</v>
      </c>
      <c r="AT213" s="1">
        <f t="shared" si="258"/>
        <v>0</v>
      </c>
      <c r="AU213" s="1">
        <f t="shared" si="259"/>
        <v>0</v>
      </c>
      <c r="AV213" s="1">
        <f t="shared" si="260"/>
        <v>0</v>
      </c>
      <c r="AW213" s="1">
        <f t="shared" si="261"/>
        <v>1</v>
      </c>
      <c r="AX213" s="1">
        <f t="shared" si="262"/>
        <v>1</v>
      </c>
      <c r="AY213" s="1">
        <f t="shared" si="263"/>
        <v>1</v>
      </c>
      <c r="AZ213" s="1">
        <f t="shared" si="264"/>
        <v>0</v>
      </c>
      <c r="BA213" s="1">
        <f t="shared" si="265"/>
        <v>0</v>
      </c>
      <c r="BB213" s="1">
        <f t="shared" si="266"/>
        <v>0</v>
      </c>
      <c r="BC213" s="1">
        <f t="shared" si="267"/>
        <v>0</v>
      </c>
      <c r="BD213" s="1">
        <f t="shared" si="268"/>
        <v>0</v>
      </c>
      <c r="BE213" s="1">
        <f t="shared" si="269"/>
        <v>0</v>
      </c>
      <c r="BF213" s="1">
        <f t="shared" si="270"/>
        <v>0</v>
      </c>
      <c r="BG213" s="1">
        <f t="shared" si="271"/>
        <v>0</v>
      </c>
      <c r="BH213" s="1">
        <f t="shared" si="272"/>
        <v>0</v>
      </c>
      <c r="BI213" s="1">
        <f t="shared" si="273"/>
        <v>0</v>
      </c>
      <c r="BJ213" s="1">
        <f t="shared" si="274"/>
        <v>0</v>
      </c>
      <c r="BK213" s="1">
        <f t="shared" si="275"/>
        <v>0</v>
      </c>
      <c r="BL213" s="1">
        <f t="shared" si="276"/>
        <v>0</v>
      </c>
    </row>
    <row r="214" spans="34:64" x14ac:dyDescent="0.25">
      <c r="AH214" s="3" t="s">
        <v>13</v>
      </c>
      <c r="AI214" s="1">
        <f t="shared" si="247"/>
        <v>1</v>
      </c>
      <c r="AJ214" s="1">
        <f t="shared" si="248"/>
        <v>0</v>
      </c>
      <c r="AK214" s="1">
        <f t="shared" si="249"/>
        <v>1</v>
      </c>
      <c r="AL214" s="1">
        <f t="shared" si="250"/>
        <v>0</v>
      </c>
      <c r="AM214" s="1">
        <f t="shared" si="251"/>
        <v>0</v>
      </c>
      <c r="AN214" s="1">
        <f t="shared" si="252"/>
        <v>0</v>
      </c>
      <c r="AO214" s="1">
        <f t="shared" si="253"/>
        <v>0</v>
      </c>
      <c r="AP214" s="1">
        <f t="shared" si="254"/>
        <v>0</v>
      </c>
      <c r="AQ214" s="1">
        <f t="shared" si="255"/>
        <v>0</v>
      </c>
      <c r="AR214" s="1">
        <f t="shared" si="256"/>
        <v>0</v>
      </c>
      <c r="AS214" s="1">
        <f t="shared" si="257"/>
        <v>0</v>
      </c>
      <c r="AT214" s="1">
        <f t="shared" si="258"/>
        <v>0</v>
      </c>
      <c r="AU214" s="1">
        <f t="shared" si="259"/>
        <v>0</v>
      </c>
      <c r="AV214" s="1">
        <f t="shared" si="260"/>
        <v>1</v>
      </c>
      <c r="AW214" s="1">
        <f t="shared" si="261"/>
        <v>0</v>
      </c>
      <c r="AX214" s="1">
        <f t="shared" si="262"/>
        <v>0</v>
      </c>
      <c r="AY214" s="1">
        <f t="shared" si="263"/>
        <v>0</v>
      </c>
      <c r="AZ214" s="1">
        <f t="shared" si="264"/>
        <v>0</v>
      </c>
      <c r="BA214" s="1">
        <f t="shared" si="265"/>
        <v>0</v>
      </c>
      <c r="BB214" s="1">
        <f t="shared" si="266"/>
        <v>0</v>
      </c>
      <c r="BC214" s="1">
        <f t="shared" si="267"/>
        <v>0</v>
      </c>
      <c r="BD214" s="1">
        <f t="shared" si="268"/>
        <v>0</v>
      </c>
      <c r="BE214" s="1">
        <f t="shared" si="269"/>
        <v>0</v>
      </c>
      <c r="BF214" s="1">
        <f t="shared" si="270"/>
        <v>0</v>
      </c>
      <c r="BG214" s="1">
        <f t="shared" si="271"/>
        <v>0</v>
      </c>
      <c r="BH214" s="1">
        <f t="shared" si="272"/>
        <v>0</v>
      </c>
      <c r="BI214" s="1">
        <f t="shared" si="273"/>
        <v>0</v>
      </c>
      <c r="BJ214" s="1">
        <f t="shared" si="274"/>
        <v>0</v>
      </c>
      <c r="BK214" s="1">
        <f t="shared" si="275"/>
        <v>0</v>
      </c>
      <c r="BL214" s="1">
        <f t="shared" si="276"/>
        <v>0</v>
      </c>
    </row>
    <row r="215" spans="34:64" x14ac:dyDescent="0.25">
      <c r="AH215" s="3" t="s">
        <v>14</v>
      </c>
      <c r="AI215" s="1">
        <f t="shared" si="247"/>
        <v>1</v>
      </c>
      <c r="AJ215" s="1">
        <f t="shared" si="248"/>
        <v>0</v>
      </c>
      <c r="AK215" s="1">
        <f t="shared" si="249"/>
        <v>1</v>
      </c>
      <c r="AL215" s="1">
        <f t="shared" si="250"/>
        <v>1</v>
      </c>
      <c r="AM215" s="1">
        <f t="shared" si="251"/>
        <v>1</v>
      </c>
      <c r="AN215" s="1">
        <f t="shared" si="252"/>
        <v>1</v>
      </c>
      <c r="AO215" s="1">
        <f t="shared" si="253"/>
        <v>1</v>
      </c>
      <c r="AP215" s="1">
        <f t="shared" si="254"/>
        <v>0</v>
      </c>
      <c r="AQ215" s="1">
        <f t="shared" si="255"/>
        <v>0</v>
      </c>
      <c r="AR215" s="1">
        <f t="shared" si="256"/>
        <v>0</v>
      </c>
      <c r="AS215" s="1">
        <f t="shared" si="257"/>
        <v>0</v>
      </c>
      <c r="AT215" s="1">
        <f t="shared" si="258"/>
        <v>0</v>
      </c>
      <c r="AU215" s="1">
        <f t="shared" si="259"/>
        <v>0</v>
      </c>
      <c r="AV215" s="1">
        <f t="shared" si="260"/>
        <v>0</v>
      </c>
      <c r="AW215" s="1">
        <f t="shared" si="261"/>
        <v>1</v>
      </c>
      <c r="AX215" s="1">
        <f t="shared" si="262"/>
        <v>0</v>
      </c>
      <c r="AY215" s="1">
        <f t="shared" si="263"/>
        <v>0</v>
      </c>
      <c r="AZ215" s="1">
        <f t="shared" si="264"/>
        <v>0</v>
      </c>
      <c r="BA215" s="1">
        <f t="shared" si="265"/>
        <v>0</v>
      </c>
      <c r="BB215" s="1">
        <f t="shared" si="266"/>
        <v>1</v>
      </c>
      <c r="BC215" s="1">
        <f t="shared" si="267"/>
        <v>0</v>
      </c>
      <c r="BD215" s="1">
        <f t="shared" si="268"/>
        <v>0</v>
      </c>
      <c r="BE215" s="1">
        <f t="shared" si="269"/>
        <v>0</v>
      </c>
      <c r="BF215" s="1">
        <f t="shared" si="270"/>
        <v>0</v>
      </c>
      <c r="BG215" s="1">
        <f t="shared" si="271"/>
        <v>0</v>
      </c>
      <c r="BH215" s="1">
        <f t="shared" si="272"/>
        <v>0</v>
      </c>
      <c r="BI215" s="1">
        <f t="shared" si="273"/>
        <v>0</v>
      </c>
      <c r="BJ215" s="1">
        <f t="shared" si="274"/>
        <v>0</v>
      </c>
      <c r="BK215" s="1">
        <f t="shared" si="275"/>
        <v>0</v>
      </c>
      <c r="BL215" s="1">
        <f t="shared" si="276"/>
        <v>0</v>
      </c>
    </row>
    <row r="216" spans="34:64" x14ac:dyDescent="0.25">
      <c r="AH216" s="3" t="s">
        <v>15</v>
      </c>
      <c r="AI216" s="1">
        <f t="shared" si="247"/>
        <v>1</v>
      </c>
      <c r="AJ216" s="1">
        <f t="shared" si="248"/>
        <v>1</v>
      </c>
      <c r="AK216" s="1">
        <f t="shared" si="249"/>
        <v>1</v>
      </c>
      <c r="AL216" s="1">
        <f t="shared" si="250"/>
        <v>0</v>
      </c>
      <c r="AM216" s="1">
        <f t="shared" si="251"/>
        <v>0</v>
      </c>
      <c r="AN216" s="1">
        <f t="shared" si="252"/>
        <v>0</v>
      </c>
      <c r="AO216" s="1">
        <f t="shared" si="253"/>
        <v>0</v>
      </c>
      <c r="AP216" s="1">
        <f t="shared" si="254"/>
        <v>0</v>
      </c>
      <c r="AQ216" s="1">
        <f t="shared" si="255"/>
        <v>0</v>
      </c>
      <c r="AR216" s="1">
        <f t="shared" si="256"/>
        <v>0</v>
      </c>
      <c r="AS216" s="1">
        <f t="shared" si="257"/>
        <v>0</v>
      </c>
      <c r="AT216" s="1">
        <f t="shared" si="258"/>
        <v>1</v>
      </c>
      <c r="AU216" s="1">
        <f t="shared" si="259"/>
        <v>0</v>
      </c>
      <c r="AV216" s="1">
        <f t="shared" si="260"/>
        <v>0</v>
      </c>
      <c r="AW216" s="1">
        <f t="shared" si="261"/>
        <v>0</v>
      </c>
      <c r="AX216" s="1">
        <f t="shared" si="262"/>
        <v>0</v>
      </c>
      <c r="AY216" s="1">
        <f t="shared" si="263"/>
        <v>0</v>
      </c>
      <c r="AZ216" s="1">
        <f t="shared" si="264"/>
        <v>0</v>
      </c>
      <c r="BA216" s="1">
        <f t="shared" si="265"/>
        <v>0</v>
      </c>
      <c r="BB216" s="1">
        <f t="shared" si="266"/>
        <v>0</v>
      </c>
      <c r="BC216" s="1">
        <f t="shared" si="267"/>
        <v>0</v>
      </c>
      <c r="BD216" s="1">
        <f t="shared" si="268"/>
        <v>0</v>
      </c>
      <c r="BE216" s="1">
        <f t="shared" si="269"/>
        <v>0</v>
      </c>
      <c r="BF216" s="1">
        <f t="shared" si="270"/>
        <v>0</v>
      </c>
      <c r="BG216" s="1">
        <f t="shared" si="271"/>
        <v>1</v>
      </c>
      <c r="BH216" s="1">
        <f t="shared" si="272"/>
        <v>0</v>
      </c>
      <c r="BI216" s="1">
        <f t="shared" si="273"/>
        <v>1</v>
      </c>
      <c r="BJ216" s="1">
        <f t="shared" si="274"/>
        <v>1</v>
      </c>
      <c r="BK216" s="1">
        <f t="shared" si="275"/>
        <v>1</v>
      </c>
      <c r="BL216" s="1">
        <f t="shared" si="276"/>
        <v>1</v>
      </c>
    </row>
    <row r="217" spans="34:64" x14ac:dyDescent="0.25">
      <c r="AH217" s="3" t="s">
        <v>16</v>
      </c>
      <c r="AI217" s="1">
        <f t="shared" si="247"/>
        <v>1</v>
      </c>
      <c r="AJ217" s="1">
        <f t="shared" si="248"/>
        <v>0</v>
      </c>
      <c r="AK217" s="1">
        <f t="shared" si="249"/>
        <v>1</v>
      </c>
      <c r="AL217" s="1">
        <f t="shared" si="250"/>
        <v>0</v>
      </c>
      <c r="AM217" s="1">
        <f t="shared" si="251"/>
        <v>1</v>
      </c>
      <c r="AN217" s="1">
        <f t="shared" si="252"/>
        <v>0</v>
      </c>
      <c r="AO217" s="1">
        <f t="shared" si="253"/>
        <v>1</v>
      </c>
      <c r="AP217" s="1">
        <f t="shared" si="254"/>
        <v>0</v>
      </c>
      <c r="AQ217" s="1">
        <f t="shared" si="255"/>
        <v>0</v>
      </c>
      <c r="AR217" s="1">
        <f t="shared" si="256"/>
        <v>1</v>
      </c>
      <c r="AS217" s="1">
        <f t="shared" si="257"/>
        <v>1</v>
      </c>
      <c r="AT217" s="1">
        <f t="shared" si="258"/>
        <v>0</v>
      </c>
      <c r="AU217" s="1">
        <f t="shared" si="259"/>
        <v>1</v>
      </c>
      <c r="AV217" s="1">
        <f t="shared" si="260"/>
        <v>0</v>
      </c>
      <c r="AW217" s="1">
        <f t="shared" si="261"/>
        <v>0</v>
      </c>
      <c r="AX217" s="1">
        <f t="shared" si="262"/>
        <v>0</v>
      </c>
      <c r="AY217" s="1">
        <f t="shared" si="263"/>
        <v>1</v>
      </c>
      <c r="AZ217" s="1">
        <f t="shared" si="264"/>
        <v>0</v>
      </c>
      <c r="BA217" s="1">
        <f t="shared" si="265"/>
        <v>1</v>
      </c>
      <c r="BB217" s="1">
        <f t="shared" si="266"/>
        <v>1</v>
      </c>
      <c r="BC217" s="1">
        <f t="shared" si="267"/>
        <v>0</v>
      </c>
      <c r="BD217" s="1">
        <f t="shared" si="268"/>
        <v>0</v>
      </c>
      <c r="BE217" s="1">
        <f t="shared" si="269"/>
        <v>0</v>
      </c>
      <c r="BF217" s="1">
        <f t="shared" si="270"/>
        <v>0</v>
      </c>
      <c r="BG217" s="1">
        <f t="shared" si="271"/>
        <v>0</v>
      </c>
      <c r="BH217" s="1">
        <f t="shared" si="272"/>
        <v>0</v>
      </c>
      <c r="BI217" s="1">
        <f t="shared" si="273"/>
        <v>0</v>
      </c>
      <c r="BJ217" s="1">
        <f t="shared" si="274"/>
        <v>0</v>
      </c>
      <c r="BK217" s="1">
        <f t="shared" si="275"/>
        <v>0</v>
      </c>
      <c r="BL217" s="1">
        <f t="shared" si="276"/>
        <v>0</v>
      </c>
    </row>
    <row r="218" spans="34:64" x14ac:dyDescent="0.25">
      <c r="AH218" s="3" t="s">
        <v>17</v>
      </c>
      <c r="AI218" s="1">
        <f t="shared" ref="AI218:AI232" si="277">IF(AI184&gt;0.5,1,0)</f>
        <v>0</v>
      </c>
      <c r="AJ218" s="1">
        <f t="shared" ref="AJ218:AJ232" si="278">IF(AJ184&gt;0.5,1,0)</f>
        <v>0</v>
      </c>
      <c r="AK218" s="1">
        <f t="shared" ref="AK218:AK232" si="279">IF(AK184&gt;0.5,1,0)</f>
        <v>0</v>
      </c>
      <c r="AL218" s="1">
        <f t="shared" ref="AL218:AL232" si="280">IF(AL184&gt;0.5,1,0)</f>
        <v>0</v>
      </c>
      <c r="AM218" s="1">
        <f t="shared" ref="AM218:AM232" si="281">IF(AM184&gt;0.5,1,0)</f>
        <v>0</v>
      </c>
      <c r="AN218" s="1">
        <f t="shared" ref="AN218:AN232" si="282">IF(AN184&gt;0.5,1,0)</f>
        <v>0</v>
      </c>
      <c r="AO218" s="1">
        <f t="shared" ref="AO218:AO232" si="283">IF(AO184&gt;0.5,1,0)</f>
        <v>0</v>
      </c>
      <c r="AP218" s="1">
        <f t="shared" ref="AP218:AP232" si="284">IF(AP184&gt;0.5,1,0)</f>
        <v>0</v>
      </c>
      <c r="AQ218" s="1">
        <f t="shared" ref="AQ218:AQ232" si="285">IF(AQ184&gt;0.5,1,0)</f>
        <v>0</v>
      </c>
      <c r="AR218" s="1">
        <f t="shared" ref="AR218:AR232" si="286">IF(AR184&gt;0.5,1,0)</f>
        <v>1</v>
      </c>
      <c r="AS218" s="1">
        <f t="shared" ref="AS218:AS232" si="287">IF(AS184&gt;0.5,1,0)</f>
        <v>1</v>
      </c>
      <c r="AT218" s="1">
        <f t="shared" ref="AT218:AT232" si="288">IF(AT184&gt;0.5,1,0)</f>
        <v>0</v>
      </c>
      <c r="AU218" s="1">
        <f t="shared" ref="AU218:AU232" si="289">IF(AU184&gt;0.5,1,0)</f>
        <v>0</v>
      </c>
      <c r="AV218" s="1">
        <f t="shared" ref="AV218:AV232" si="290">IF(AV184&gt;0.5,1,0)</f>
        <v>0</v>
      </c>
      <c r="AW218" s="1">
        <f t="shared" ref="AW218:AW232" si="291">IF(AW184&gt;0.5,1,0)</f>
        <v>0</v>
      </c>
      <c r="AX218" s="1">
        <f t="shared" ref="AX218:AX232" si="292">IF(AX184&gt;0.5,1,0)</f>
        <v>0</v>
      </c>
      <c r="AY218" s="1">
        <f t="shared" ref="AY218:AY232" si="293">IF(AY184&gt;0.5,1,0)</f>
        <v>0</v>
      </c>
      <c r="AZ218" s="1">
        <f t="shared" ref="AZ218:AZ232" si="294">IF(AZ184&gt;0.5,1,0)</f>
        <v>0</v>
      </c>
      <c r="BA218" s="1">
        <f t="shared" ref="BA218:BA232" si="295">IF(BA184&gt;0.5,1,0)</f>
        <v>0</v>
      </c>
      <c r="BB218" s="1">
        <f t="shared" ref="BB218:BB232" si="296">IF(BB184&gt;0.5,1,0)</f>
        <v>0</v>
      </c>
      <c r="BC218" s="1">
        <f t="shared" ref="BC218:BC232" si="297">IF(BC184&gt;0.5,1,0)</f>
        <v>0</v>
      </c>
      <c r="BD218" s="1">
        <f t="shared" ref="BD218:BD232" si="298">IF(BD184&gt;0.5,1,0)</f>
        <v>0</v>
      </c>
      <c r="BE218" s="1">
        <f t="shared" ref="BE218:BE232" si="299">IF(BE184&gt;0.5,1,0)</f>
        <v>0</v>
      </c>
      <c r="BF218" s="1">
        <f t="shared" ref="BF218:BF232" si="300">IF(BF184&gt;0.5,1,0)</f>
        <v>0</v>
      </c>
      <c r="BG218" s="1">
        <f t="shared" ref="BG218:BG232" si="301">IF(BG184&gt;0.5,1,0)</f>
        <v>0</v>
      </c>
      <c r="BH218" s="1">
        <f t="shared" ref="BH218:BH232" si="302">IF(BH184&gt;0.5,1,0)</f>
        <v>0</v>
      </c>
      <c r="BI218" s="1">
        <f t="shared" ref="BI218:BI232" si="303">IF(BI184&gt;0.5,1,0)</f>
        <v>0</v>
      </c>
      <c r="BJ218" s="1">
        <f t="shared" ref="BJ218:BJ232" si="304">IF(BJ184&gt;0.5,1,0)</f>
        <v>0</v>
      </c>
      <c r="BK218" s="1">
        <f t="shared" ref="BK218:BK232" si="305">IF(BK184&gt;0.5,1,0)</f>
        <v>0</v>
      </c>
      <c r="BL218" s="1">
        <f t="shared" ref="BL218:BL232" si="306">IF(BL184&gt;0.5,1,0)</f>
        <v>1</v>
      </c>
    </row>
    <row r="219" spans="34:64" x14ac:dyDescent="0.25">
      <c r="AH219" s="3" t="s">
        <v>18</v>
      </c>
      <c r="AI219" s="1">
        <f t="shared" si="277"/>
        <v>1</v>
      </c>
      <c r="AJ219" s="1">
        <f t="shared" si="278"/>
        <v>0</v>
      </c>
      <c r="AK219" s="1">
        <f t="shared" si="279"/>
        <v>1</v>
      </c>
      <c r="AL219" s="1">
        <f t="shared" si="280"/>
        <v>0</v>
      </c>
      <c r="AM219" s="1">
        <f t="shared" si="281"/>
        <v>1</v>
      </c>
      <c r="AN219" s="1">
        <f t="shared" si="282"/>
        <v>0</v>
      </c>
      <c r="AO219" s="1">
        <f t="shared" si="283"/>
        <v>1</v>
      </c>
      <c r="AP219" s="1">
        <f t="shared" si="284"/>
        <v>0</v>
      </c>
      <c r="AQ219" s="1">
        <f t="shared" si="285"/>
        <v>0</v>
      </c>
      <c r="AR219" s="1">
        <f t="shared" si="286"/>
        <v>1</v>
      </c>
      <c r="AS219" s="1">
        <f t="shared" si="287"/>
        <v>1</v>
      </c>
      <c r="AT219" s="1">
        <f t="shared" si="288"/>
        <v>0</v>
      </c>
      <c r="AU219" s="1">
        <f t="shared" si="289"/>
        <v>0</v>
      </c>
      <c r="AV219" s="1">
        <f t="shared" si="290"/>
        <v>0</v>
      </c>
      <c r="AW219" s="1">
        <f t="shared" si="291"/>
        <v>1</v>
      </c>
      <c r="AX219" s="1">
        <f t="shared" si="292"/>
        <v>0</v>
      </c>
      <c r="AY219" s="1">
        <f t="shared" si="293"/>
        <v>0</v>
      </c>
      <c r="AZ219" s="1">
        <f t="shared" si="294"/>
        <v>0</v>
      </c>
      <c r="BA219" s="1">
        <f t="shared" si="295"/>
        <v>1</v>
      </c>
      <c r="BB219" s="1">
        <f t="shared" si="296"/>
        <v>1</v>
      </c>
      <c r="BC219" s="1">
        <f t="shared" si="297"/>
        <v>0</v>
      </c>
      <c r="BD219" s="1">
        <f t="shared" si="298"/>
        <v>0</v>
      </c>
      <c r="BE219" s="1">
        <f t="shared" si="299"/>
        <v>0</v>
      </c>
      <c r="BF219" s="1">
        <f t="shared" si="300"/>
        <v>0</v>
      </c>
      <c r="BG219" s="1">
        <f t="shared" si="301"/>
        <v>0</v>
      </c>
      <c r="BH219" s="1">
        <f t="shared" si="302"/>
        <v>0</v>
      </c>
      <c r="BI219" s="1">
        <f t="shared" si="303"/>
        <v>0</v>
      </c>
      <c r="BJ219" s="1">
        <f t="shared" si="304"/>
        <v>0</v>
      </c>
      <c r="BK219" s="1">
        <f t="shared" si="305"/>
        <v>0</v>
      </c>
      <c r="BL219" s="1">
        <f t="shared" si="306"/>
        <v>0</v>
      </c>
    </row>
    <row r="220" spans="34:64" x14ac:dyDescent="0.25">
      <c r="AH220" s="3" t="s">
        <v>19</v>
      </c>
      <c r="AI220" s="1">
        <f t="shared" si="277"/>
        <v>0</v>
      </c>
      <c r="AJ220" s="1">
        <f t="shared" si="278"/>
        <v>0</v>
      </c>
      <c r="AK220" s="1">
        <f t="shared" si="279"/>
        <v>0</v>
      </c>
      <c r="AL220" s="1">
        <f t="shared" si="280"/>
        <v>0</v>
      </c>
      <c r="AM220" s="1">
        <f t="shared" si="281"/>
        <v>0</v>
      </c>
      <c r="AN220" s="1">
        <f t="shared" si="282"/>
        <v>0</v>
      </c>
      <c r="AO220" s="1">
        <f t="shared" si="283"/>
        <v>0</v>
      </c>
      <c r="AP220" s="1">
        <f t="shared" si="284"/>
        <v>1</v>
      </c>
      <c r="AQ220" s="1">
        <f t="shared" si="285"/>
        <v>0</v>
      </c>
      <c r="AR220" s="1">
        <f t="shared" si="286"/>
        <v>0</v>
      </c>
      <c r="AS220" s="1">
        <f t="shared" si="287"/>
        <v>0</v>
      </c>
      <c r="AT220" s="1">
        <f t="shared" si="288"/>
        <v>0</v>
      </c>
      <c r="AU220" s="1">
        <f t="shared" si="289"/>
        <v>0</v>
      </c>
      <c r="AV220" s="1">
        <f t="shared" si="290"/>
        <v>0</v>
      </c>
      <c r="AW220" s="1">
        <f t="shared" si="291"/>
        <v>0</v>
      </c>
      <c r="AX220" s="1">
        <f t="shared" si="292"/>
        <v>0</v>
      </c>
      <c r="AY220" s="1">
        <f t="shared" si="293"/>
        <v>0</v>
      </c>
      <c r="AZ220" s="1">
        <f t="shared" si="294"/>
        <v>0</v>
      </c>
      <c r="BA220" s="1">
        <f t="shared" si="295"/>
        <v>0</v>
      </c>
      <c r="BB220" s="1">
        <f t="shared" si="296"/>
        <v>0</v>
      </c>
      <c r="BC220" s="1">
        <f t="shared" si="297"/>
        <v>0</v>
      </c>
      <c r="BD220" s="1">
        <f t="shared" si="298"/>
        <v>0</v>
      </c>
      <c r="BE220" s="1">
        <f t="shared" si="299"/>
        <v>0</v>
      </c>
      <c r="BF220" s="1">
        <f t="shared" si="300"/>
        <v>0</v>
      </c>
      <c r="BG220" s="1">
        <f t="shared" si="301"/>
        <v>0</v>
      </c>
      <c r="BH220" s="1">
        <f t="shared" si="302"/>
        <v>0</v>
      </c>
      <c r="BI220" s="1">
        <f t="shared" si="303"/>
        <v>0</v>
      </c>
      <c r="BJ220" s="1">
        <f t="shared" si="304"/>
        <v>0</v>
      </c>
      <c r="BK220" s="1">
        <f t="shared" si="305"/>
        <v>0</v>
      </c>
      <c r="BL220" s="1">
        <f t="shared" si="306"/>
        <v>0</v>
      </c>
    </row>
    <row r="221" spans="34:64" x14ac:dyDescent="0.25">
      <c r="AH221" s="3" t="s">
        <v>20</v>
      </c>
      <c r="AI221" s="1">
        <f t="shared" si="277"/>
        <v>1</v>
      </c>
      <c r="AJ221" s="1">
        <f t="shared" si="278"/>
        <v>0</v>
      </c>
      <c r="AK221" s="1">
        <f t="shared" si="279"/>
        <v>1</v>
      </c>
      <c r="AL221" s="1">
        <f t="shared" si="280"/>
        <v>0</v>
      </c>
      <c r="AM221" s="1">
        <f t="shared" si="281"/>
        <v>1</v>
      </c>
      <c r="AN221" s="1">
        <f t="shared" si="282"/>
        <v>1</v>
      </c>
      <c r="AO221" s="1">
        <f t="shared" si="283"/>
        <v>1</v>
      </c>
      <c r="AP221" s="1">
        <f t="shared" si="284"/>
        <v>0</v>
      </c>
      <c r="AQ221" s="1">
        <f t="shared" si="285"/>
        <v>0</v>
      </c>
      <c r="AR221" s="1">
        <f t="shared" si="286"/>
        <v>0</v>
      </c>
      <c r="AS221" s="1">
        <f t="shared" si="287"/>
        <v>0</v>
      </c>
      <c r="AT221" s="1">
        <f t="shared" si="288"/>
        <v>0</v>
      </c>
      <c r="AU221" s="1">
        <f t="shared" si="289"/>
        <v>0</v>
      </c>
      <c r="AV221" s="1">
        <f t="shared" si="290"/>
        <v>0</v>
      </c>
      <c r="AW221" s="1">
        <f t="shared" si="291"/>
        <v>1</v>
      </c>
      <c r="AX221" s="1">
        <f t="shared" si="292"/>
        <v>0</v>
      </c>
      <c r="AY221" s="1">
        <f t="shared" si="293"/>
        <v>1</v>
      </c>
      <c r="AZ221" s="1">
        <f t="shared" si="294"/>
        <v>0</v>
      </c>
      <c r="BA221" s="1">
        <f t="shared" si="295"/>
        <v>0</v>
      </c>
      <c r="BB221" s="1">
        <f t="shared" si="296"/>
        <v>1</v>
      </c>
      <c r="BC221" s="1">
        <f t="shared" si="297"/>
        <v>0</v>
      </c>
      <c r="BD221" s="1">
        <f t="shared" si="298"/>
        <v>0</v>
      </c>
      <c r="BE221" s="1">
        <f t="shared" si="299"/>
        <v>0</v>
      </c>
      <c r="BF221" s="1">
        <f t="shared" si="300"/>
        <v>0</v>
      </c>
      <c r="BG221" s="1">
        <f t="shared" si="301"/>
        <v>0</v>
      </c>
      <c r="BH221" s="1">
        <f t="shared" si="302"/>
        <v>0</v>
      </c>
      <c r="BI221" s="1">
        <f t="shared" si="303"/>
        <v>0</v>
      </c>
      <c r="BJ221" s="1">
        <f t="shared" si="304"/>
        <v>0</v>
      </c>
      <c r="BK221" s="1">
        <f t="shared" si="305"/>
        <v>0</v>
      </c>
      <c r="BL221" s="1">
        <f t="shared" si="306"/>
        <v>0</v>
      </c>
    </row>
    <row r="222" spans="34:64" x14ac:dyDescent="0.25">
      <c r="AH222" s="3" t="s">
        <v>21</v>
      </c>
      <c r="AI222" s="1">
        <f t="shared" si="277"/>
        <v>1</v>
      </c>
      <c r="AJ222" s="1">
        <f t="shared" si="278"/>
        <v>0</v>
      </c>
      <c r="AK222" s="1">
        <f t="shared" si="279"/>
        <v>1</v>
      </c>
      <c r="AL222" s="1">
        <f t="shared" si="280"/>
        <v>1</v>
      </c>
      <c r="AM222" s="1">
        <f t="shared" si="281"/>
        <v>1</v>
      </c>
      <c r="AN222" s="1">
        <f t="shared" si="282"/>
        <v>1</v>
      </c>
      <c r="AO222" s="1">
        <f t="shared" si="283"/>
        <v>1</v>
      </c>
      <c r="AP222" s="1">
        <f t="shared" si="284"/>
        <v>0</v>
      </c>
      <c r="AQ222" s="1">
        <f t="shared" si="285"/>
        <v>0</v>
      </c>
      <c r="AR222" s="1">
        <f t="shared" si="286"/>
        <v>0</v>
      </c>
      <c r="AS222" s="1">
        <f t="shared" si="287"/>
        <v>0</v>
      </c>
      <c r="AT222" s="1">
        <f t="shared" si="288"/>
        <v>0</v>
      </c>
      <c r="AU222" s="1">
        <f t="shared" si="289"/>
        <v>1</v>
      </c>
      <c r="AV222" s="1">
        <f t="shared" si="290"/>
        <v>0</v>
      </c>
      <c r="AW222" s="1">
        <f t="shared" si="291"/>
        <v>1</v>
      </c>
      <c r="AX222" s="1">
        <f t="shared" si="292"/>
        <v>0</v>
      </c>
      <c r="AY222" s="1">
        <f t="shared" si="293"/>
        <v>1</v>
      </c>
      <c r="AZ222" s="1">
        <f t="shared" si="294"/>
        <v>0</v>
      </c>
      <c r="BA222" s="1">
        <f t="shared" si="295"/>
        <v>1</v>
      </c>
      <c r="BB222" s="1">
        <f t="shared" si="296"/>
        <v>0</v>
      </c>
      <c r="BC222" s="1">
        <f t="shared" si="297"/>
        <v>0</v>
      </c>
      <c r="BD222" s="1">
        <f t="shared" si="298"/>
        <v>0</v>
      </c>
      <c r="BE222" s="1">
        <f t="shared" si="299"/>
        <v>0</v>
      </c>
      <c r="BF222" s="1">
        <f t="shared" si="300"/>
        <v>0</v>
      </c>
      <c r="BG222" s="1">
        <f t="shared" si="301"/>
        <v>0</v>
      </c>
      <c r="BH222" s="1">
        <f t="shared" si="302"/>
        <v>0</v>
      </c>
      <c r="BI222" s="1">
        <f t="shared" si="303"/>
        <v>0</v>
      </c>
      <c r="BJ222" s="1">
        <f t="shared" si="304"/>
        <v>0</v>
      </c>
      <c r="BK222" s="1">
        <f t="shared" si="305"/>
        <v>0</v>
      </c>
      <c r="BL222" s="1">
        <f t="shared" si="306"/>
        <v>0</v>
      </c>
    </row>
    <row r="223" spans="34:64" x14ac:dyDescent="0.25">
      <c r="AH223" s="3" t="s">
        <v>22</v>
      </c>
      <c r="AI223" s="1">
        <f t="shared" si="277"/>
        <v>0</v>
      </c>
      <c r="AJ223" s="1">
        <f t="shared" si="278"/>
        <v>0</v>
      </c>
      <c r="AK223" s="1">
        <f t="shared" si="279"/>
        <v>0</v>
      </c>
      <c r="AL223" s="1">
        <f t="shared" si="280"/>
        <v>0</v>
      </c>
      <c r="AM223" s="1">
        <f t="shared" si="281"/>
        <v>0</v>
      </c>
      <c r="AN223" s="1">
        <f t="shared" si="282"/>
        <v>0</v>
      </c>
      <c r="AO223" s="1">
        <f t="shared" si="283"/>
        <v>0</v>
      </c>
      <c r="AP223" s="1">
        <f t="shared" si="284"/>
        <v>0</v>
      </c>
      <c r="AQ223" s="1">
        <f t="shared" si="285"/>
        <v>0</v>
      </c>
      <c r="AR223" s="1">
        <f t="shared" si="286"/>
        <v>0</v>
      </c>
      <c r="AS223" s="1">
        <f t="shared" si="287"/>
        <v>0</v>
      </c>
      <c r="AT223" s="1">
        <f t="shared" si="288"/>
        <v>0</v>
      </c>
      <c r="AU223" s="1">
        <f t="shared" si="289"/>
        <v>0</v>
      </c>
      <c r="AV223" s="1">
        <f t="shared" si="290"/>
        <v>0</v>
      </c>
      <c r="AW223" s="1">
        <f t="shared" si="291"/>
        <v>0</v>
      </c>
      <c r="AX223" s="1">
        <f t="shared" si="292"/>
        <v>0</v>
      </c>
      <c r="AY223" s="1">
        <f t="shared" si="293"/>
        <v>0</v>
      </c>
      <c r="AZ223" s="1">
        <f t="shared" si="294"/>
        <v>0</v>
      </c>
      <c r="BA223" s="1">
        <f t="shared" si="295"/>
        <v>0</v>
      </c>
      <c r="BB223" s="1">
        <f t="shared" si="296"/>
        <v>0</v>
      </c>
      <c r="BC223" s="1">
        <f t="shared" si="297"/>
        <v>0</v>
      </c>
      <c r="BD223" s="1">
        <f t="shared" si="298"/>
        <v>1</v>
      </c>
      <c r="BE223" s="1">
        <f t="shared" si="299"/>
        <v>0</v>
      </c>
      <c r="BF223" s="1">
        <f t="shared" si="300"/>
        <v>0</v>
      </c>
      <c r="BG223" s="1">
        <f t="shared" si="301"/>
        <v>0</v>
      </c>
      <c r="BH223" s="1">
        <f t="shared" si="302"/>
        <v>0</v>
      </c>
      <c r="BI223" s="1">
        <f t="shared" si="303"/>
        <v>0</v>
      </c>
      <c r="BJ223" s="1">
        <f t="shared" si="304"/>
        <v>0</v>
      </c>
      <c r="BK223" s="1">
        <f t="shared" si="305"/>
        <v>0</v>
      </c>
      <c r="BL223" s="1">
        <f t="shared" si="306"/>
        <v>0</v>
      </c>
    </row>
    <row r="224" spans="34:64" x14ac:dyDescent="0.25">
      <c r="AH224" s="3" t="s">
        <v>23</v>
      </c>
      <c r="AI224" s="1">
        <f t="shared" si="277"/>
        <v>0</v>
      </c>
      <c r="AJ224" s="1">
        <f t="shared" si="278"/>
        <v>0</v>
      </c>
      <c r="AK224" s="1">
        <f t="shared" si="279"/>
        <v>0</v>
      </c>
      <c r="AL224" s="1">
        <f t="shared" si="280"/>
        <v>0</v>
      </c>
      <c r="AM224" s="1">
        <f t="shared" si="281"/>
        <v>0</v>
      </c>
      <c r="AN224" s="1">
        <f t="shared" si="282"/>
        <v>0</v>
      </c>
      <c r="AO224" s="1">
        <f t="shared" si="283"/>
        <v>0</v>
      </c>
      <c r="AP224" s="1">
        <f t="shared" si="284"/>
        <v>1</v>
      </c>
      <c r="AQ224" s="1">
        <f t="shared" si="285"/>
        <v>0</v>
      </c>
      <c r="AR224" s="1">
        <f t="shared" si="286"/>
        <v>0</v>
      </c>
      <c r="AS224" s="1">
        <f t="shared" si="287"/>
        <v>0</v>
      </c>
      <c r="AT224" s="1">
        <f t="shared" si="288"/>
        <v>0</v>
      </c>
      <c r="AU224" s="1">
        <f t="shared" si="289"/>
        <v>0</v>
      </c>
      <c r="AV224" s="1">
        <f t="shared" si="290"/>
        <v>0</v>
      </c>
      <c r="AW224" s="1">
        <f t="shared" si="291"/>
        <v>0</v>
      </c>
      <c r="AX224" s="1">
        <f t="shared" si="292"/>
        <v>0</v>
      </c>
      <c r="AY224" s="1">
        <f t="shared" si="293"/>
        <v>0</v>
      </c>
      <c r="AZ224" s="1">
        <f t="shared" si="294"/>
        <v>0</v>
      </c>
      <c r="BA224" s="1">
        <f t="shared" si="295"/>
        <v>0</v>
      </c>
      <c r="BB224" s="1">
        <f t="shared" si="296"/>
        <v>0</v>
      </c>
      <c r="BC224" s="1">
        <f t="shared" si="297"/>
        <v>1</v>
      </c>
      <c r="BD224" s="1">
        <f t="shared" si="298"/>
        <v>0</v>
      </c>
      <c r="BE224" s="1">
        <f t="shared" si="299"/>
        <v>0</v>
      </c>
      <c r="BF224" s="1">
        <f t="shared" si="300"/>
        <v>0</v>
      </c>
      <c r="BG224" s="1">
        <f t="shared" si="301"/>
        <v>0</v>
      </c>
      <c r="BH224" s="1">
        <f t="shared" si="302"/>
        <v>0</v>
      </c>
      <c r="BI224" s="1">
        <f t="shared" si="303"/>
        <v>0</v>
      </c>
      <c r="BJ224" s="1">
        <f t="shared" si="304"/>
        <v>0</v>
      </c>
      <c r="BK224" s="1">
        <f t="shared" si="305"/>
        <v>0</v>
      </c>
      <c r="BL224" s="1">
        <f t="shared" si="306"/>
        <v>0</v>
      </c>
    </row>
    <row r="225" spans="34:64" x14ac:dyDescent="0.25">
      <c r="AH225" s="3" t="s">
        <v>24</v>
      </c>
      <c r="AI225" s="1">
        <f t="shared" si="277"/>
        <v>0</v>
      </c>
      <c r="AJ225" s="1">
        <f t="shared" si="278"/>
        <v>0</v>
      </c>
      <c r="AK225" s="1">
        <f t="shared" si="279"/>
        <v>0</v>
      </c>
      <c r="AL225" s="1">
        <f t="shared" si="280"/>
        <v>0</v>
      </c>
      <c r="AM225" s="1">
        <f t="shared" si="281"/>
        <v>0</v>
      </c>
      <c r="AN225" s="1">
        <f t="shared" si="282"/>
        <v>0</v>
      </c>
      <c r="AO225" s="1">
        <f t="shared" si="283"/>
        <v>0</v>
      </c>
      <c r="AP225" s="1">
        <f t="shared" si="284"/>
        <v>0</v>
      </c>
      <c r="AQ225" s="1">
        <f t="shared" si="285"/>
        <v>0</v>
      </c>
      <c r="AR225" s="1">
        <f t="shared" si="286"/>
        <v>0</v>
      </c>
      <c r="AS225" s="1">
        <f t="shared" si="287"/>
        <v>0</v>
      </c>
      <c r="AT225" s="1">
        <f t="shared" si="288"/>
        <v>0</v>
      </c>
      <c r="AU225" s="1">
        <f t="shared" si="289"/>
        <v>0</v>
      </c>
      <c r="AV225" s="1">
        <f t="shared" si="290"/>
        <v>0</v>
      </c>
      <c r="AW225" s="1">
        <f t="shared" si="291"/>
        <v>0</v>
      </c>
      <c r="AX225" s="1">
        <f t="shared" si="292"/>
        <v>0</v>
      </c>
      <c r="AY225" s="1">
        <f t="shared" si="293"/>
        <v>0</v>
      </c>
      <c r="AZ225" s="1">
        <f t="shared" si="294"/>
        <v>0</v>
      </c>
      <c r="BA225" s="1">
        <f t="shared" si="295"/>
        <v>0</v>
      </c>
      <c r="BB225" s="1">
        <f t="shared" si="296"/>
        <v>0</v>
      </c>
      <c r="BC225" s="1">
        <f t="shared" si="297"/>
        <v>0</v>
      </c>
      <c r="BD225" s="1">
        <f t="shared" si="298"/>
        <v>0</v>
      </c>
      <c r="BE225" s="1">
        <f t="shared" si="299"/>
        <v>0</v>
      </c>
      <c r="BF225" s="1">
        <f t="shared" si="300"/>
        <v>0</v>
      </c>
      <c r="BG225" s="1">
        <f t="shared" si="301"/>
        <v>0</v>
      </c>
      <c r="BH225" s="1">
        <f t="shared" si="302"/>
        <v>0</v>
      </c>
      <c r="BI225" s="1">
        <f t="shared" si="303"/>
        <v>0</v>
      </c>
      <c r="BJ225" s="1">
        <f t="shared" si="304"/>
        <v>0</v>
      </c>
      <c r="BK225" s="1">
        <f t="shared" si="305"/>
        <v>0</v>
      </c>
      <c r="BL225" s="1">
        <f t="shared" si="306"/>
        <v>0</v>
      </c>
    </row>
    <row r="226" spans="34:64" x14ac:dyDescent="0.25">
      <c r="AH226" s="3" t="s">
        <v>25</v>
      </c>
      <c r="AI226" s="1">
        <f t="shared" si="277"/>
        <v>0</v>
      </c>
      <c r="AJ226" s="1">
        <f t="shared" si="278"/>
        <v>0</v>
      </c>
      <c r="AK226" s="1">
        <f t="shared" si="279"/>
        <v>0</v>
      </c>
      <c r="AL226" s="1">
        <f t="shared" si="280"/>
        <v>0</v>
      </c>
      <c r="AM226" s="1">
        <f t="shared" si="281"/>
        <v>0</v>
      </c>
      <c r="AN226" s="1">
        <f t="shared" si="282"/>
        <v>0</v>
      </c>
      <c r="AO226" s="1">
        <f t="shared" si="283"/>
        <v>0</v>
      </c>
      <c r="AP226" s="1">
        <f t="shared" si="284"/>
        <v>0</v>
      </c>
      <c r="AQ226" s="1">
        <f t="shared" si="285"/>
        <v>0</v>
      </c>
      <c r="AR226" s="1">
        <f t="shared" si="286"/>
        <v>0</v>
      </c>
      <c r="AS226" s="1">
        <f t="shared" si="287"/>
        <v>0</v>
      </c>
      <c r="AT226" s="1">
        <f t="shared" si="288"/>
        <v>0</v>
      </c>
      <c r="AU226" s="1">
        <f t="shared" si="289"/>
        <v>0</v>
      </c>
      <c r="AV226" s="1">
        <f t="shared" si="290"/>
        <v>0</v>
      </c>
      <c r="AW226" s="1">
        <f t="shared" si="291"/>
        <v>0</v>
      </c>
      <c r="AX226" s="1">
        <f t="shared" si="292"/>
        <v>0</v>
      </c>
      <c r="AY226" s="1">
        <f t="shared" si="293"/>
        <v>0</v>
      </c>
      <c r="AZ226" s="1">
        <f t="shared" si="294"/>
        <v>0</v>
      </c>
      <c r="BA226" s="1">
        <f t="shared" si="295"/>
        <v>0</v>
      </c>
      <c r="BB226" s="1">
        <f t="shared" si="296"/>
        <v>0</v>
      </c>
      <c r="BC226" s="1">
        <f t="shared" si="297"/>
        <v>0</v>
      </c>
      <c r="BD226" s="1">
        <f t="shared" si="298"/>
        <v>0</v>
      </c>
      <c r="BE226" s="1">
        <f t="shared" si="299"/>
        <v>0</v>
      </c>
      <c r="BF226" s="1">
        <f t="shared" si="300"/>
        <v>0</v>
      </c>
      <c r="BG226" s="1">
        <f t="shared" si="301"/>
        <v>0</v>
      </c>
      <c r="BH226" s="1">
        <f t="shared" si="302"/>
        <v>0</v>
      </c>
      <c r="BI226" s="1">
        <f t="shared" si="303"/>
        <v>0</v>
      </c>
      <c r="BJ226" s="1">
        <f t="shared" si="304"/>
        <v>0</v>
      </c>
      <c r="BK226" s="1">
        <f t="shared" si="305"/>
        <v>0</v>
      </c>
      <c r="BL226" s="1">
        <f t="shared" si="306"/>
        <v>0</v>
      </c>
    </row>
    <row r="227" spans="34:64" x14ac:dyDescent="0.25">
      <c r="AH227" s="3" t="s">
        <v>26</v>
      </c>
      <c r="AI227" s="1">
        <f t="shared" si="277"/>
        <v>0</v>
      </c>
      <c r="AJ227" s="1">
        <f t="shared" si="278"/>
        <v>1</v>
      </c>
      <c r="AK227" s="1">
        <f t="shared" si="279"/>
        <v>0</v>
      </c>
      <c r="AL227" s="1">
        <f t="shared" si="280"/>
        <v>0</v>
      </c>
      <c r="AM227" s="1">
        <f t="shared" si="281"/>
        <v>0</v>
      </c>
      <c r="AN227" s="1">
        <f t="shared" si="282"/>
        <v>0</v>
      </c>
      <c r="AO227" s="1">
        <f t="shared" si="283"/>
        <v>0</v>
      </c>
      <c r="AP227" s="1">
        <f t="shared" si="284"/>
        <v>0</v>
      </c>
      <c r="AQ227" s="1">
        <f t="shared" si="285"/>
        <v>0</v>
      </c>
      <c r="AR227" s="1">
        <f t="shared" si="286"/>
        <v>0</v>
      </c>
      <c r="AS227" s="1">
        <f t="shared" si="287"/>
        <v>0</v>
      </c>
      <c r="AT227" s="1">
        <f t="shared" si="288"/>
        <v>0</v>
      </c>
      <c r="AU227" s="1">
        <f t="shared" si="289"/>
        <v>0</v>
      </c>
      <c r="AV227" s="1">
        <f t="shared" si="290"/>
        <v>1</v>
      </c>
      <c r="AW227" s="1">
        <f t="shared" si="291"/>
        <v>0</v>
      </c>
      <c r="AX227" s="1">
        <f t="shared" si="292"/>
        <v>0</v>
      </c>
      <c r="AY227" s="1">
        <f t="shared" si="293"/>
        <v>0</v>
      </c>
      <c r="AZ227" s="1">
        <f t="shared" si="294"/>
        <v>0</v>
      </c>
      <c r="BA227" s="1">
        <f t="shared" si="295"/>
        <v>0</v>
      </c>
      <c r="BB227" s="1">
        <f t="shared" si="296"/>
        <v>0</v>
      </c>
      <c r="BC227" s="1">
        <f t="shared" si="297"/>
        <v>0</v>
      </c>
      <c r="BD227" s="1">
        <f t="shared" si="298"/>
        <v>0</v>
      </c>
      <c r="BE227" s="1">
        <f t="shared" si="299"/>
        <v>0</v>
      </c>
      <c r="BF227" s="1">
        <f t="shared" si="300"/>
        <v>0</v>
      </c>
      <c r="BG227" s="1">
        <f t="shared" si="301"/>
        <v>0</v>
      </c>
      <c r="BH227" s="1">
        <f t="shared" si="302"/>
        <v>0</v>
      </c>
      <c r="BI227" s="1">
        <f t="shared" si="303"/>
        <v>0</v>
      </c>
      <c r="BJ227" s="1">
        <f t="shared" si="304"/>
        <v>0</v>
      </c>
      <c r="BK227" s="1">
        <f t="shared" si="305"/>
        <v>0</v>
      </c>
      <c r="BL227" s="1">
        <f t="shared" si="306"/>
        <v>0</v>
      </c>
    </row>
    <row r="228" spans="34:64" x14ac:dyDescent="0.25">
      <c r="AH228" s="3" t="s">
        <v>27</v>
      </c>
      <c r="AI228" s="1">
        <f t="shared" si="277"/>
        <v>0</v>
      </c>
      <c r="AJ228" s="1">
        <f t="shared" si="278"/>
        <v>0</v>
      </c>
      <c r="AK228" s="1">
        <f t="shared" si="279"/>
        <v>0</v>
      </c>
      <c r="AL228" s="1">
        <f t="shared" si="280"/>
        <v>0</v>
      </c>
      <c r="AM228" s="1">
        <f t="shared" si="281"/>
        <v>0</v>
      </c>
      <c r="AN228" s="1">
        <f t="shared" si="282"/>
        <v>0</v>
      </c>
      <c r="AO228" s="1">
        <f t="shared" si="283"/>
        <v>0</v>
      </c>
      <c r="AP228" s="1">
        <f t="shared" si="284"/>
        <v>0</v>
      </c>
      <c r="AQ228" s="1">
        <f t="shared" si="285"/>
        <v>0</v>
      </c>
      <c r="AR228" s="1">
        <f t="shared" si="286"/>
        <v>0</v>
      </c>
      <c r="AS228" s="1">
        <f t="shared" si="287"/>
        <v>0</v>
      </c>
      <c r="AT228" s="1">
        <f t="shared" si="288"/>
        <v>0</v>
      </c>
      <c r="AU228" s="1">
        <f t="shared" si="289"/>
        <v>0</v>
      </c>
      <c r="AV228" s="1">
        <f t="shared" si="290"/>
        <v>0</v>
      </c>
      <c r="AW228" s="1">
        <f t="shared" si="291"/>
        <v>0</v>
      </c>
      <c r="AX228" s="1">
        <f t="shared" si="292"/>
        <v>0</v>
      </c>
      <c r="AY228" s="1">
        <f t="shared" si="293"/>
        <v>0</v>
      </c>
      <c r="AZ228" s="1">
        <f t="shared" si="294"/>
        <v>0</v>
      </c>
      <c r="BA228" s="1">
        <f t="shared" si="295"/>
        <v>0</v>
      </c>
      <c r="BB228" s="1">
        <f t="shared" si="296"/>
        <v>0</v>
      </c>
      <c r="BC228" s="1">
        <f t="shared" si="297"/>
        <v>0</v>
      </c>
      <c r="BD228" s="1">
        <f t="shared" si="298"/>
        <v>0</v>
      </c>
      <c r="BE228" s="1">
        <f t="shared" si="299"/>
        <v>0</v>
      </c>
      <c r="BF228" s="1">
        <f t="shared" si="300"/>
        <v>0</v>
      </c>
      <c r="BG228" s="1">
        <f t="shared" si="301"/>
        <v>0</v>
      </c>
      <c r="BH228" s="1">
        <f t="shared" si="302"/>
        <v>0</v>
      </c>
      <c r="BI228" s="1">
        <f t="shared" si="303"/>
        <v>0</v>
      </c>
      <c r="BJ228" s="1">
        <f t="shared" si="304"/>
        <v>0</v>
      </c>
      <c r="BK228" s="1">
        <f t="shared" si="305"/>
        <v>1</v>
      </c>
      <c r="BL228" s="1">
        <f t="shared" si="306"/>
        <v>0</v>
      </c>
    </row>
    <row r="229" spans="34:64" x14ac:dyDescent="0.25">
      <c r="AH229" s="3" t="s">
        <v>28</v>
      </c>
      <c r="AI229" s="1">
        <f t="shared" si="277"/>
        <v>1</v>
      </c>
      <c r="AJ229" s="1">
        <f t="shared" si="278"/>
        <v>0</v>
      </c>
      <c r="AK229" s="1">
        <f t="shared" si="279"/>
        <v>1</v>
      </c>
      <c r="AL229" s="1">
        <f t="shared" si="280"/>
        <v>0</v>
      </c>
      <c r="AM229" s="1">
        <f t="shared" si="281"/>
        <v>0</v>
      </c>
      <c r="AN229" s="1">
        <f t="shared" si="282"/>
        <v>0</v>
      </c>
      <c r="AO229" s="1">
        <f t="shared" si="283"/>
        <v>0</v>
      </c>
      <c r="AP229" s="1">
        <f t="shared" si="284"/>
        <v>0</v>
      </c>
      <c r="AQ229" s="1">
        <f t="shared" si="285"/>
        <v>0</v>
      </c>
      <c r="AR229" s="1">
        <f t="shared" si="286"/>
        <v>0</v>
      </c>
      <c r="AS229" s="1">
        <f t="shared" si="287"/>
        <v>0</v>
      </c>
      <c r="AT229" s="1">
        <f t="shared" si="288"/>
        <v>0</v>
      </c>
      <c r="AU229" s="1">
        <f t="shared" si="289"/>
        <v>0</v>
      </c>
      <c r="AV229" s="1">
        <f t="shared" si="290"/>
        <v>1</v>
      </c>
      <c r="AW229" s="1">
        <f t="shared" si="291"/>
        <v>0</v>
      </c>
      <c r="AX229" s="1">
        <f t="shared" si="292"/>
        <v>0</v>
      </c>
      <c r="AY229" s="1">
        <f t="shared" si="293"/>
        <v>0</v>
      </c>
      <c r="AZ229" s="1">
        <f t="shared" si="294"/>
        <v>0</v>
      </c>
      <c r="BA229" s="1">
        <f t="shared" si="295"/>
        <v>0</v>
      </c>
      <c r="BB229" s="1">
        <f t="shared" si="296"/>
        <v>0</v>
      </c>
      <c r="BC229" s="1">
        <f t="shared" si="297"/>
        <v>0</v>
      </c>
      <c r="BD229" s="1">
        <f t="shared" si="298"/>
        <v>0</v>
      </c>
      <c r="BE229" s="1">
        <f t="shared" si="299"/>
        <v>0</v>
      </c>
      <c r="BF229" s="1">
        <f t="shared" si="300"/>
        <v>0</v>
      </c>
      <c r="BG229" s="1">
        <f t="shared" si="301"/>
        <v>0</v>
      </c>
      <c r="BH229" s="1">
        <f t="shared" si="302"/>
        <v>0</v>
      </c>
      <c r="BI229" s="1">
        <f t="shared" si="303"/>
        <v>0</v>
      </c>
      <c r="BJ229" s="1">
        <f t="shared" si="304"/>
        <v>0</v>
      </c>
      <c r="BK229" s="1">
        <f t="shared" si="305"/>
        <v>0</v>
      </c>
      <c r="BL229" s="1">
        <f t="shared" si="306"/>
        <v>1</v>
      </c>
    </row>
    <row r="230" spans="34:64" x14ac:dyDescent="0.25">
      <c r="AH230" s="3" t="s">
        <v>29</v>
      </c>
      <c r="AI230" s="1">
        <f t="shared" si="277"/>
        <v>0</v>
      </c>
      <c r="AJ230" s="1">
        <f t="shared" si="278"/>
        <v>0</v>
      </c>
      <c r="AK230" s="1">
        <f t="shared" si="279"/>
        <v>0</v>
      </c>
      <c r="AL230" s="1">
        <f t="shared" si="280"/>
        <v>0</v>
      </c>
      <c r="AM230" s="1">
        <f t="shared" si="281"/>
        <v>0</v>
      </c>
      <c r="AN230" s="1">
        <f t="shared" si="282"/>
        <v>0</v>
      </c>
      <c r="AO230" s="1">
        <f t="shared" si="283"/>
        <v>0</v>
      </c>
      <c r="AP230" s="1">
        <f t="shared" si="284"/>
        <v>0</v>
      </c>
      <c r="AQ230" s="1">
        <f t="shared" si="285"/>
        <v>0</v>
      </c>
      <c r="AR230" s="1">
        <f t="shared" si="286"/>
        <v>0</v>
      </c>
      <c r="AS230" s="1">
        <f t="shared" si="287"/>
        <v>0</v>
      </c>
      <c r="AT230" s="1">
        <f t="shared" si="288"/>
        <v>0</v>
      </c>
      <c r="AU230" s="1">
        <f t="shared" si="289"/>
        <v>0</v>
      </c>
      <c r="AV230" s="1">
        <f t="shared" si="290"/>
        <v>1</v>
      </c>
      <c r="AW230" s="1">
        <f t="shared" si="291"/>
        <v>0</v>
      </c>
      <c r="AX230" s="1">
        <f t="shared" si="292"/>
        <v>0</v>
      </c>
      <c r="AY230" s="1">
        <f t="shared" si="293"/>
        <v>0</v>
      </c>
      <c r="AZ230" s="1">
        <f t="shared" si="294"/>
        <v>0</v>
      </c>
      <c r="BA230" s="1">
        <f t="shared" si="295"/>
        <v>0</v>
      </c>
      <c r="BB230" s="1">
        <f t="shared" si="296"/>
        <v>0</v>
      </c>
      <c r="BC230" s="1">
        <f t="shared" si="297"/>
        <v>0</v>
      </c>
      <c r="BD230" s="1">
        <f t="shared" si="298"/>
        <v>0</v>
      </c>
      <c r="BE230" s="1">
        <f t="shared" si="299"/>
        <v>0</v>
      </c>
      <c r="BF230" s="1">
        <f t="shared" si="300"/>
        <v>0</v>
      </c>
      <c r="BG230" s="1">
        <f t="shared" si="301"/>
        <v>0</v>
      </c>
      <c r="BH230" s="1">
        <f t="shared" si="302"/>
        <v>0</v>
      </c>
      <c r="BI230" s="1">
        <f t="shared" si="303"/>
        <v>0</v>
      </c>
      <c r="BJ230" s="1">
        <f t="shared" si="304"/>
        <v>0</v>
      </c>
      <c r="BK230" s="1">
        <f t="shared" si="305"/>
        <v>1</v>
      </c>
      <c r="BL230" s="1">
        <f t="shared" si="306"/>
        <v>0</v>
      </c>
    </row>
    <row r="231" spans="34:64" x14ac:dyDescent="0.25">
      <c r="AH231" s="3" t="s">
        <v>30</v>
      </c>
      <c r="AI231" s="1">
        <f t="shared" si="277"/>
        <v>1</v>
      </c>
      <c r="AJ231" s="1">
        <f t="shared" si="278"/>
        <v>0</v>
      </c>
      <c r="AK231" s="1">
        <f t="shared" si="279"/>
        <v>0</v>
      </c>
      <c r="AL231" s="1">
        <f t="shared" si="280"/>
        <v>0</v>
      </c>
      <c r="AM231" s="1">
        <f t="shared" si="281"/>
        <v>0</v>
      </c>
      <c r="AN231" s="1">
        <f t="shared" si="282"/>
        <v>0</v>
      </c>
      <c r="AO231" s="1">
        <f t="shared" si="283"/>
        <v>0</v>
      </c>
      <c r="AP231" s="1">
        <f t="shared" si="284"/>
        <v>0</v>
      </c>
      <c r="AQ231" s="1">
        <f t="shared" si="285"/>
        <v>0</v>
      </c>
      <c r="AR231" s="1">
        <f t="shared" si="286"/>
        <v>0</v>
      </c>
      <c r="AS231" s="1">
        <f t="shared" si="287"/>
        <v>0</v>
      </c>
      <c r="AT231" s="1">
        <f t="shared" si="288"/>
        <v>0</v>
      </c>
      <c r="AU231" s="1">
        <f t="shared" si="289"/>
        <v>0</v>
      </c>
      <c r="AV231" s="1">
        <f t="shared" si="290"/>
        <v>1</v>
      </c>
      <c r="AW231" s="1">
        <f t="shared" si="291"/>
        <v>0</v>
      </c>
      <c r="AX231" s="1">
        <f t="shared" si="292"/>
        <v>0</v>
      </c>
      <c r="AY231" s="1">
        <f t="shared" si="293"/>
        <v>0</v>
      </c>
      <c r="AZ231" s="1">
        <f t="shared" si="294"/>
        <v>0</v>
      </c>
      <c r="BA231" s="1">
        <f t="shared" si="295"/>
        <v>0</v>
      </c>
      <c r="BB231" s="1">
        <f t="shared" si="296"/>
        <v>0</v>
      </c>
      <c r="BC231" s="1">
        <f t="shared" si="297"/>
        <v>0</v>
      </c>
      <c r="BD231" s="1">
        <f t="shared" si="298"/>
        <v>0</v>
      </c>
      <c r="BE231" s="1">
        <f t="shared" si="299"/>
        <v>0</v>
      </c>
      <c r="BF231" s="1">
        <f t="shared" si="300"/>
        <v>0</v>
      </c>
      <c r="BG231" s="1">
        <f t="shared" si="301"/>
        <v>0</v>
      </c>
      <c r="BH231" s="1">
        <f t="shared" si="302"/>
        <v>1</v>
      </c>
      <c r="BI231" s="1">
        <f t="shared" si="303"/>
        <v>0</v>
      </c>
      <c r="BJ231" s="1">
        <f t="shared" si="304"/>
        <v>1</v>
      </c>
      <c r="BK231" s="1">
        <f t="shared" si="305"/>
        <v>0</v>
      </c>
      <c r="BL231" s="1">
        <f t="shared" si="306"/>
        <v>0</v>
      </c>
    </row>
    <row r="232" spans="34:64" x14ac:dyDescent="0.25">
      <c r="AH232" s="3" t="s">
        <v>31</v>
      </c>
      <c r="AI232" s="1">
        <f t="shared" si="277"/>
        <v>1</v>
      </c>
      <c r="AJ232" s="1">
        <f t="shared" si="278"/>
        <v>1</v>
      </c>
      <c r="AK232" s="1">
        <f t="shared" si="279"/>
        <v>1</v>
      </c>
      <c r="AL232" s="1">
        <f t="shared" si="280"/>
        <v>0</v>
      </c>
      <c r="AM232" s="1">
        <f t="shared" si="281"/>
        <v>0</v>
      </c>
      <c r="AN232" s="1">
        <f t="shared" si="282"/>
        <v>0</v>
      </c>
      <c r="AO232" s="1">
        <f t="shared" si="283"/>
        <v>0</v>
      </c>
      <c r="AP232" s="1">
        <f t="shared" si="284"/>
        <v>0</v>
      </c>
      <c r="AQ232" s="1">
        <f t="shared" si="285"/>
        <v>0</v>
      </c>
      <c r="AR232" s="1">
        <f t="shared" si="286"/>
        <v>0</v>
      </c>
      <c r="AS232" s="1">
        <f t="shared" si="287"/>
        <v>0</v>
      </c>
      <c r="AT232" s="1">
        <f t="shared" si="288"/>
        <v>0</v>
      </c>
      <c r="AU232" s="1">
        <f t="shared" si="289"/>
        <v>0</v>
      </c>
      <c r="AV232" s="1">
        <f t="shared" si="290"/>
        <v>1</v>
      </c>
      <c r="AW232" s="1">
        <f t="shared" si="291"/>
        <v>0</v>
      </c>
      <c r="AX232" s="1">
        <f t="shared" si="292"/>
        <v>1</v>
      </c>
      <c r="AY232" s="1">
        <f t="shared" si="293"/>
        <v>0</v>
      </c>
      <c r="AZ232" s="1">
        <f t="shared" si="294"/>
        <v>0</v>
      </c>
      <c r="BA232" s="1">
        <f t="shared" si="295"/>
        <v>0</v>
      </c>
      <c r="BB232" s="1">
        <f t="shared" si="296"/>
        <v>0</v>
      </c>
      <c r="BC232" s="1">
        <f t="shared" si="297"/>
        <v>0</v>
      </c>
      <c r="BD232" s="1">
        <f t="shared" si="298"/>
        <v>0</v>
      </c>
      <c r="BE232" s="1">
        <f t="shared" si="299"/>
        <v>0</v>
      </c>
      <c r="BF232" s="1">
        <f t="shared" si="300"/>
        <v>0</v>
      </c>
      <c r="BG232" s="1">
        <f t="shared" si="301"/>
        <v>0</v>
      </c>
      <c r="BH232" s="1">
        <f t="shared" si="302"/>
        <v>0</v>
      </c>
      <c r="BI232" s="1">
        <f t="shared" si="303"/>
        <v>1</v>
      </c>
      <c r="BJ232" s="1">
        <f t="shared" si="304"/>
        <v>0</v>
      </c>
      <c r="BK232" s="1">
        <f t="shared" si="305"/>
        <v>0</v>
      </c>
      <c r="BL232" s="1">
        <f t="shared" si="306"/>
        <v>0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0"/>
  <sheetViews>
    <sheetView topLeftCell="B1" zoomScale="85" zoomScaleNormal="85" workbookViewId="0">
      <selection activeCell="B2" sqref="B2:AE2"/>
    </sheetView>
  </sheetViews>
  <sheetFormatPr defaultColWidth="9" defaultRowHeight="14.4" x14ac:dyDescent="0.25"/>
  <cols>
    <col min="1" max="1" width="11.88671875" style="1" customWidth="1"/>
    <col min="2" max="31" width="7.33203125" style="1" customWidth="1"/>
    <col min="32" max="32" width="9" style="1"/>
  </cols>
  <sheetData>
    <row r="1" spans="1:31" ht="96" x14ac:dyDescent="0.25">
      <c r="A1" s="5" t="s">
        <v>74</v>
      </c>
      <c r="B1" s="6" t="s">
        <v>75</v>
      </c>
    </row>
    <row r="2" spans="1:31" x14ac:dyDescent="0.2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spans="1:31" x14ac:dyDescent="0.25">
      <c r="A3" s="3" t="s">
        <v>2</v>
      </c>
      <c r="B3" s="7">
        <v>0</v>
      </c>
      <c r="C3" s="1">
        <v>3.0040688930839999E-3</v>
      </c>
      <c r="D3" s="1">
        <v>1.0002903601870001E-3</v>
      </c>
      <c r="E3" s="1">
        <v>6.7204683068230195E-4</v>
      </c>
      <c r="F3" s="1">
        <v>4.0156728941877998E-3</v>
      </c>
      <c r="G3" s="1">
        <v>6.8110538314109497E-3</v>
      </c>
      <c r="H3" s="1">
        <v>5.6766420199260001E-4</v>
      </c>
      <c r="I3" s="1">
        <v>3.04374315523121E-2</v>
      </c>
      <c r="J3" s="1">
        <v>9.8348340430052597E-3</v>
      </c>
      <c r="K3" s="1">
        <v>5.39262923965644E-3</v>
      </c>
      <c r="L3" s="1">
        <v>1.7078788774091999E-3</v>
      </c>
      <c r="M3" s="1">
        <v>9.7728460087970009E-4</v>
      </c>
      <c r="N3" s="1">
        <v>2.3795679327639899E-4</v>
      </c>
      <c r="O3" s="1">
        <v>6.28901641458403E-3</v>
      </c>
      <c r="P3" s="1">
        <v>1.3860348215839901E-4</v>
      </c>
      <c r="Q3" s="1">
        <v>2.4568491333919001E-3</v>
      </c>
      <c r="R3" s="1">
        <v>2.3206495420919999E-3</v>
      </c>
      <c r="S3" s="1">
        <v>7.14516540198387E-3</v>
      </c>
      <c r="T3" s="1">
        <v>1.31075888446224E-2</v>
      </c>
      <c r="U3" s="1">
        <v>1.22966309041629E-2</v>
      </c>
      <c r="V3" s="1">
        <v>6.8998379302841004E-3</v>
      </c>
      <c r="W3" s="1">
        <v>9.7586465485900008E-3</v>
      </c>
      <c r="X3" s="1">
        <v>9.4891871241997994E-3</v>
      </c>
      <c r="Y3" s="1">
        <v>7.5445974380194004E-3</v>
      </c>
      <c r="Z3" s="1">
        <v>1.49106035045451E-2</v>
      </c>
      <c r="AA3" s="1">
        <v>9.1347291460098998E-3</v>
      </c>
      <c r="AB3" s="1">
        <v>9.8791728575549896E-4</v>
      </c>
      <c r="AC3" s="1">
        <v>1.4750171825624E-3</v>
      </c>
      <c r="AD3" s="1">
        <v>7.7141587847771396E-3</v>
      </c>
      <c r="AE3" s="1">
        <v>3.3602465321172E-3</v>
      </c>
    </row>
    <row r="4" spans="1:31" x14ac:dyDescent="0.25">
      <c r="A4" s="3" t="s">
        <v>3</v>
      </c>
      <c r="B4" s="1">
        <v>3.0040688930839999E-3</v>
      </c>
      <c r="C4" s="7">
        <v>0</v>
      </c>
      <c r="D4" s="1">
        <v>4.0043592532710004E-3</v>
      </c>
      <c r="E4" s="1">
        <v>2.3320220624017001E-3</v>
      </c>
      <c r="F4" s="1">
        <v>7.0197417872718002E-3</v>
      </c>
      <c r="G4" s="1">
        <v>3.8069849383269498E-3</v>
      </c>
      <c r="H4" s="1">
        <v>2.4364046910913999E-3</v>
      </c>
      <c r="I4" s="1">
        <v>2.7433362659228099E-2</v>
      </c>
      <c r="J4" s="1">
        <v>6.8307651499212602E-3</v>
      </c>
      <c r="K4" s="1">
        <v>2.3885603465724401E-3</v>
      </c>
      <c r="L4" s="1">
        <v>4.7119477704931998E-3</v>
      </c>
      <c r="M4" s="1">
        <v>3.9813534939636998E-3</v>
      </c>
      <c r="N4" s="1">
        <v>3.2420256863603999E-3</v>
      </c>
      <c r="O4" s="1">
        <v>3.2849475215000301E-3</v>
      </c>
      <c r="P4" s="1">
        <v>3.1426723752424001E-3</v>
      </c>
      <c r="Q4" s="1">
        <v>5.4721975969210105E-4</v>
      </c>
      <c r="R4" s="1">
        <v>5.3247184351760003E-3</v>
      </c>
      <c r="S4" s="1">
        <v>4.1410965088998697E-3</v>
      </c>
      <c r="T4" s="1">
        <v>1.6111657737706401E-2</v>
      </c>
      <c r="U4" s="1">
        <v>1.53006997972469E-2</v>
      </c>
      <c r="V4" s="1">
        <v>9.9039068233680999E-3</v>
      </c>
      <c r="W4" s="1">
        <v>1.2762715441674E-2</v>
      </c>
      <c r="X4" s="1">
        <v>1.2493256017283801E-2</v>
      </c>
      <c r="Y4" s="1">
        <v>1.05486663311034E-2</v>
      </c>
      <c r="Z4" s="1">
        <v>1.7914672397629099E-2</v>
      </c>
      <c r="AA4" s="1">
        <v>1.2138798039093899E-2</v>
      </c>
      <c r="AB4" s="1">
        <v>3.9919861788395E-3</v>
      </c>
      <c r="AC4" s="1">
        <v>4.4790860756463999E-3</v>
      </c>
      <c r="AD4" s="1">
        <v>4.7100898916931401E-3</v>
      </c>
      <c r="AE4" s="1">
        <v>6.3643154252012004E-3</v>
      </c>
    </row>
    <row r="5" spans="1:31" x14ac:dyDescent="0.25">
      <c r="A5" s="3" t="s">
        <v>4</v>
      </c>
      <c r="B5" s="1">
        <v>1.0002903601870001E-3</v>
      </c>
      <c r="C5" s="1">
        <v>4.0043592532710004E-3</v>
      </c>
      <c r="D5" s="7">
        <v>0</v>
      </c>
      <c r="E5" s="1">
        <v>1.6723371908693001E-3</v>
      </c>
      <c r="F5" s="1">
        <v>3.0153825340007998E-3</v>
      </c>
      <c r="G5" s="1">
        <v>7.8113441915979498E-3</v>
      </c>
      <c r="H5" s="1">
        <v>1.5679545621796001E-3</v>
      </c>
      <c r="I5" s="1">
        <v>3.1437721912499099E-2</v>
      </c>
      <c r="J5" s="1">
        <v>1.0835124403192301E-2</v>
      </c>
      <c r="K5" s="1">
        <v>6.3929195998434401E-3</v>
      </c>
      <c r="L5" s="1">
        <v>7.0758851722220104E-4</v>
      </c>
      <c r="M5" s="1">
        <v>2.3005759307297099E-5</v>
      </c>
      <c r="N5" s="1">
        <v>7.62333566910599E-4</v>
      </c>
      <c r="O5" s="1">
        <v>7.2893067747710301E-3</v>
      </c>
      <c r="P5" s="1">
        <v>8.6168687802859803E-4</v>
      </c>
      <c r="Q5" s="1">
        <v>3.4571394935789001E-3</v>
      </c>
      <c r="R5" s="1">
        <v>1.3203591819050001E-3</v>
      </c>
      <c r="S5" s="1">
        <v>8.1454557621708692E-3</v>
      </c>
      <c r="T5" s="1">
        <v>1.21072984844354E-2</v>
      </c>
      <c r="U5" s="1">
        <v>1.1296340543975899E-2</v>
      </c>
      <c r="V5" s="1">
        <v>5.8995475700971004E-3</v>
      </c>
      <c r="W5" s="1">
        <v>8.7583561884029999E-3</v>
      </c>
      <c r="X5" s="1">
        <v>8.4888967640128002E-3</v>
      </c>
      <c r="Y5" s="1">
        <v>6.5443070778324003E-3</v>
      </c>
      <c r="Z5" s="1">
        <v>1.3910313144358101E-2</v>
      </c>
      <c r="AA5" s="1">
        <v>8.1344387858229006E-3</v>
      </c>
      <c r="AB5" s="1">
        <v>1.2373074431498699E-5</v>
      </c>
      <c r="AC5" s="1">
        <v>4.7472682237540201E-4</v>
      </c>
      <c r="AD5" s="1">
        <v>8.7144491449641405E-3</v>
      </c>
      <c r="AE5" s="1">
        <v>2.3599561719302E-3</v>
      </c>
    </row>
    <row r="6" spans="1:31" x14ac:dyDescent="0.25">
      <c r="A6" s="3" t="s">
        <v>5</v>
      </c>
      <c r="B6" s="1">
        <v>6.7204683068230195E-4</v>
      </c>
      <c r="C6" s="1">
        <v>2.3320220624017001E-3</v>
      </c>
      <c r="D6" s="1">
        <v>1.6723371908693001E-3</v>
      </c>
      <c r="E6" s="7">
        <v>0</v>
      </c>
      <c r="F6" s="1">
        <v>4.6877197248700996E-3</v>
      </c>
      <c r="G6" s="1">
        <v>6.1390070007286499E-3</v>
      </c>
      <c r="H6" s="1">
        <v>1.04382628689701E-4</v>
      </c>
      <c r="I6" s="1">
        <v>2.97653847216298E-2</v>
      </c>
      <c r="J6" s="1">
        <v>9.1627872123229599E-3</v>
      </c>
      <c r="K6" s="1">
        <v>4.7205824089741402E-3</v>
      </c>
      <c r="L6" s="1">
        <v>2.3799257080915001E-3</v>
      </c>
      <c r="M6" s="1">
        <v>1.6493314315620001E-3</v>
      </c>
      <c r="N6" s="1">
        <v>9.1000362395869997E-4</v>
      </c>
      <c r="O6" s="1">
        <v>5.6169695839017302E-3</v>
      </c>
      <c r="P6" s="1">
        <v>8.1065031284070104E-4</v>
      </c>
      <c r="Q6" s="1">
        <v>1.7848023027096001E-3</v>
      </c>
      <c r="R6" s="1">
        <v>2.9926963727743001E-3</v>
      </c>
      <c r="S6" s="1">
        <v>6.4731185713015702E-3</v>
      </c>
      <c r="T6" s="1">
        <v>1.3779635675304699E-2</v>
      </c>
      <c r="U6" s="1">
        <v>1.29686777348452E-2</v>
      </c>
      <c r="V6" s="1">
        <v>7.5718847609664002E-3</v>
      </c>
      <c r="W6" s="1">
        <v>1.0430693379272301E-2</v>
      </c>
      <c r="X6" s="1">
        <v>1.0161233954882099E-2</v>
      </c>
      <c r="Y6" s="1">
        <v>8.2166442687017002E-3</v>
      </c>
      <c r="Z6" s="1">
        <v>1.55826503352274E-2</v>
      </c>
      <c r="AA6" s="1">
        <v>9.8067759766921996E-3</v>
      </c>
      <c r="AB6" s="1">
        <v>1.6599641164378E-3</v>
      </c>
      <c r="AC6" s="1">
        <v>2.1470640132446998E-3</v>
      </c>
      <c r="AD6" s="1">
        <v>7.0421119540948398E-3</v>
      </c>
      <c r="AE6" s="1">
        <v>4.0322933627994998E-3</v>
      </c>
    </row>
    <row r="7" spans="1:31" x14ac:dyDescent="0.25">
      <c r="A7" s="3" t="s">
        <v>6</v>
      </c>
      <c r="B7" s="1">
        <v>4.0156728941877998E-3</v>
      </c>
      <c r="C7" s="1">
        <v>7.0197417872718002E-3</v>
      </c>
      <c r="D7" s="1">
        <v>3.0153825340007998E-3</v>
      </c>
      <c r="E7" s="1">
        <v>4.6877197248700996E-3</v>
      </c>
      <c r="F7" s="7">
        <v>0</v>
      </c>
      <c r="G7" s="1">
        <v>1.08267267255988E-2</v>
      </c>
      <c r="H7" s="1">
        <v>4.5833370961804003E-3</v>
      </c>
      <c r="I7" s="1">
        <v>3.4453104446499898E-2</v>
      </c>
      <c r="J7" s="1">
        <v>1.3850506937193099E-2</v>
      </c>
      <c r="K7" s="1">
        <v>9.4083021338442398E-3</v>
      </c>
      <c r="L7" s="1">
        <v>2.3077940167785999E-3</v>
      </c>
      <c r="M7" s="1">
        <v>3.0383882933081E-3</v>
      </c>
      <c r="N7" s="1">
        <v>3.7777161009113999E-3</v>
      </c>
      <c r="O7" s="1">
        <v>1.03046893087718E-2</v>
      </c>
      <c r="P7" s="1">
        <v>3.8770694120294001E-3</v>
      </c>
      <c r="Q7" s="1">
        <v>6.4725220275797003E-3</v>
      </c>
      <c r="R7" s="1">
        <v>1.6950233520957999E-3</v>
      </c>
      <c r="S7" s="1">
        <v>1.1160838296171699E-2</v>
      </c>
      <c r="T7" s="1">
        <v>9.0919159504345998E-3</v>
      </c>
      <c r="U7" s="1">
        <v>8.2809580099751003E-3</v>
      </c>
      <c r="V7" s="1">
        <v>2.8841650360963002E-3</v>
      </c>
      <c r="W7" s="1">
        <v>5.7429736544022001E-3</v>
      </c>
      <c r="X7" s="1">
        <v>5.4735142300120004E-3</v>
      </c>
      <c r="Y7" s="1">
        <v>3.5289245438316001E-3</v>
      </c>
      <c r="Z7" s="1">
        <v>1.08949306103573E-2</v>
      </c>
      <c r="AA7" s="1">
        <v>5.1190562518220999E-3</v>
      </c>
      <c r="AB7" s="1">
        <v>3.0277556084322998E-3</v>
      </c>
      <c r="AC7" s="1">
        <v>2.5406557116253998E-3</v>
      </c>
      <c r="AD7" s="1">
        <v>1.17298316789649E-2</v>
      </c>
      <c r="AE7" s="1">
        <v>6.5542636207060003E-4</v>
      </c>
    </row>
    <row r="8" spans="1:31" x14ac:dyDescent="0.25">
      <c r="A8" s="3" t="s">
        <v>7</v>
      </c>
      <c r="B8" s="1">
        <v>6.8110538314109497E-3</v>
      </c>
      <c r="C8" s="1">
        <v>3.8069849383269498E-3</v>
      </c>
      <c r="D8" s="1">
        <v>7.8113441915979498E-3</v>
      </c>
      <c r="E8" s="1">
        <v>6.1390070007286499E-3</v>
      </c>
      <c r="F8" s="1">
        <v>1.08267267255988E-2</v>
      </c>
      <c r="G8" s="7">
        <v>0</v>
      </c>
      <c r="H8" s="1">
        <v>6.2433896294183501E-3</v>
      </c>
      <c r="I8" s="1">
        <v>2.36263777209011E-2</v>
      </c>
      <c r="J8" s="1">
        <v>3.02378021159431E-3</v>
      </c>
      <c r="K8" s="1">
        <v>1.4184245917545099E-3</v>
      </c>
      <c r="L8" s="1">
        <v>8.51893270882015E-3</v>
      </c>
      <c r="M8" s="1">
        <v>7.78833843229065E-3</v>
      </c>
      <c r="N8" s="1">
        <v>7.0490106246873501E-3</v>
      </c>
      <c r="O8" s="1">
        <v>5.22037416826921E-4</v>
      </c>
      <c r="P8" s="1">
        <v>6.9496573135693499E-3</v>
      </c>
      <c r="Q8" s="1">
        <v>4.3542046980190501E-3</v>
      </c>
      <c r="R8" s="1">
        <v>9.1317033735029505E-3</v>
      </c>
      <c r="S8" s="1">
        <v>3.3411157057291899E-4</v>
      </c>
      <c r="T8" s="1">
        <v>1.9918642676033299E-2</v>
      </c>
      <c r="U8" s="1">
        <v>1.91076847355739E-2</v>
      </c>
      <c r="V8" s="1">
        <v>1.37108917616951E-2</v>
      </c>
      <c r="W8" s="1">
        <v>1.6569700380000999E-2</v>
      </c>
      <c r="X8" s="1">
        <v>1.6300240955610799E-2</v>
      </c>
      <c r="Y8" s="1">
        <v>1.43556512694304E-2</v>
      </c>
      <c r="Z8" s="1">
        <v>2.1721657335956102E-2</v>
      </c>
      <c r="AA8" s="1">
        <v>1.59457829774209E-2</v>
      </c>
      <c r="AB8" s="1">
        <v>7.7989711171664502E-3</v>
      </c>
      <c r="AC8" s="1">
        <v>8.2860710139733493E-3</v>
      </c>
      <c r="AD8" s="1">
        <v>9.03104953366189E-4</v>
      </c>
      <c r="AE8" s="1">
        <v>1.01713003635282E-2</v>
      </c>
    </row>
    <row r="9" spans="1:31" x14ac:dyDescent="0.25">
      <c r="A9" s="3" t="s">
        <v>8</v>
      </c>
      <c r="B9" s="1">
        <v>5.6766420199260001E-4</v>
      </c>
      <c r="C9" s="1">
        <v>2.4364046910913999E-3</v>
      </c>
      <c r="D9" s="1">
        <v>1.5679545621796001E-3</v>
      </c>
      <c r="E9" s="1">
        <v>1.04382628689701E-4</v>
      </c>
      <c r="F9" s="1">
        <v>4.5833370961804003E-3</v>
      </c>
      <c r="G9" s="1">
        <v>6.2433896294183501E-3</v>
      </c>
      <c r="H9" s="7">
        <v>0</v>
      </c>
      <c r="I9" s="1">
        <v>2.9869767350319501E-2</v>
      </c>
      <c r="J9" s="1">
        <v>9.2671698410126593E-3</v>
      </c>
      <c r="K9" s="1">
        <v>4.8249650376638404E-3</v>
      </c>
      <c r="L9" s="1">
        <v>2.2755430794017999E-3</v>
      </c>
      <c r="M9" s="1">
        <v>1.5449488028723001E-3</v>
      </c>
      <c r="N9" s="1">
        <v>8.05620995268999E-4</v>
      </c>
      <c r="O9" s="1">
        <v>5.7213522125914304E-3</v>
      </c>
      <c r="P9" s="1">
        <v>7.0626768415099996E-4</v>
      </c>
      <c r="Q9" s="1">
        <v>1.8891849313993E-3</v>
      </c>
      <c r="R9" s="1">
        <v>2.8883137440845999E-3</v>
      </c>
      <c r="S9" s="1">
        <v>6.5775011999912704E-3</v>
      </c>
      <c r="T9" s="1">
        <v>1.3675253046615E-2</v>
      </c>
      <c r="U9" s="1">
        <v>1.2864295106155501E-2</v>
      </c>
      <c r="V9" s="1">
        <v>7.4675021322767E-3</v>
      </c>
      <c r="W9" s="1">
        <v>1.03263107505826E-2</v>
      </c>
      <c r="X9" s="1">
        <v>1.00568513261924E-2</v>
      </c>
      <c r="Y9" s="1">
        <v>8.1122616400120008E-3</v>
      </c>
      <c r="Z9" s="1">
        <v>1.54782677065377E-2</v>
      </c>
      <c r="AA9" s="1">
        <v>9.7023933480025002E-3</v>
      </c>
      <c r="AB9" s="1">
        <v>1.5555814877481E-3</v>
      </c>
      <c r="AC9" s="1">
        <v>2.042681384555E-3</v>
      </c>
      <c r="AD9" s="1">
        <v>7.14649458278454E-3</v>
      </c>
      <c r="AE9" s="1">
        <v>3.9279107341097996E-3</v>
      </c>
    </row>
    <row r="10" spans="1:31" x14ac:dyDescent="0.25">
      <c r="A10" s="3" t="s">
        <v>9</v>
      </c>
      <c r="B10" s="1">
        <v>3.04374315523121E-2</v>
      </c>
      <c r="C10" s="1">
        <v>2.7433362659228099E-2</v>
      </c>
      <c r="D10" s="1">
        <v>3.1437721912499099E-2</v>
      </c>
      <c r="E10" s="1">
        <v>2.97653847216298E-2</v>
      </c>
      <c r="F10" s="1">
        <v>3.4453104446499898E-2</v>
      </c>
      <c r="G10" s="1">
        <v>2.36263777209011E-2</v>
      </c>
      <c r="H10" s="1">
        <v>2.9869767350319501E-2</v>
      </c>
      <c r="I10" s="7">
        <v>0</v>
      </c>
      <c r="J10" s="1">
        <v>2.0602597509306798E-2</v>
      </c>
      <c r="K10" s="1">
        <v>2.5044802312655701E-2</v>
      </c>
      <c r="L10" s="1">
        <v>3.2145310429721297E-2</v>
      </c>
      <c r="M10" s="1">
        <v>3.1414716153191802E-2</v>
      </c>
      <c r="N10" s="1">
        <v>3.06753883455885E-2</v>
      </c>
      <c r="O10" s="1">
        <v>2.4148415137728099E-2</v>
      </c>
      <c r="P10" s="1">
        <v>3.0576035034470501E-2</v>
      </c>
      <c r="Q10" s="1">
        <v>2.7980582418920201E-2</v>
      </c>
      <c r="R10" s="1">
        <v>3.2758081094404097E-2</v>
      </c>
      <c r="S10" s="1">
        <v>2.32922661503282E-2</v>
      </c>
      <c r="T10" s="1">
        <v>4.3545020396934503E-2</v>
      </c>
      <c r="U10" s="1">
        <v>4.2734062456475E-2</v>
      </c>
      <c r="V10" s="1">
        <v>3.7337269482596198E-2</v>
      </c>
      <c r="W10" s="1">
        <v>4.0196078100902102E-2</v>
      </c>
      <c r="X10" s="1">
        <v>3.9926618676511899E-2</v>
      </c>
      <c r="Y10" s="1">
        <v>3.7982028990331498E-2</v>
      </c>
      <c r="Z10" s="1">
        <v>4.5348035056857201E-2</v>
      </c>
      <c r="AA10" s="1">
        <v>3.9572160698322E-2</v>
      </c>
      <c r="AB10" s="1">
        <v>3.14253488380676E-2</v>
      </c>
      <c r="AC10" s="1">
        <v>3.1912448734874498E-2</v>
      </c>
      <c r="AD10" s="1">
        <v>2.2723272767535E-2</v>
      </c>
      <c r="AE10" s="1">
        <v>3.3797678084429301E-2</v>
      </c>
    </row>
    <row r="11" spans="1:31" x14ac:dyDescent="0.25">
      <c r="A11" s="3" t="s">
        <v>10</v>
      </c>
      <c r="B11" s="1">
        <v>9.8348340430052597E-3</v>
      </c>
      <c r="C11" s="1">
        <v>6.8307651499212602E-3</v>
      </c>
      <c r="D11" s="1">
        <v>1.0835124403192301E-2</v>
      </c>
      <c r="E11" s="1">
        <v>9.1627872123229599E-3</v>
      </c>
      <c r="F11" s="1">
        <v>1.3850506937193099E-2</v>
      </c>
      <c r="G11" s="1">
        <v>3.02378021159431E-3</v>
      </c>
      <c r="H11" s="1">
        <v>9.2671698410126593E-3</v>
      </c>
      <c r="I11" s="1">
        <v>2.0602597509306798E-2</v>
      </c>
      <c r="J11" s="7">
        <v>0</v>
      </c>
      <c r="K11" s="1">
        <v>4.4422048033488197E-3</v>
      </c>
      <c r="L11" s="1">
        <v>1.15427129204145E-2</v>
      </c>
      <c r="M11" s="1">
        <v>1.0812118643885E-2</v>
      </c>
      <c r="N11" s="1">
        <v>1.00727908362817E-2</v>
      </c>
      <c r="O11" s="1">
        <v>3.5458176284212301E-3</v>
      </c>
      <c r="P11" s="1">
        <v>9.9734375251636607E-3</v>
      </c>
      <c r="Q11" s="1">
        <v>7.3779849096133601E-3</v>
      </c>
      <c r="R11" s="1">
        <v>1.21554835850973E-2</v>
      </c>
      <c r="S11" s="1">
        <v>2.6896686410213901E-3</v>
      </c>
      <c r="T11" s="1">
        <v>2.2942422887627701E-2</v>
      </c>
      <c r="U11" s="1">
        <v>2.2131464947168202E-2</v>
      </c>
      <c r="V11" s="1">
        <v>1.67346719732894E-2</v>
      </c>
      <c r="W11" s="1">
        <v>1.95934805915953E-2</v>
      </c>
      <c r="X11" s="1">
        <v>1.9324021167205101E-2</v>
      </c>
      <c r="Y11" s="1">
        <v>1.73794314810247E-2</v>
      </c>
      <c r="Z11" s="1">
        <v>2.4745437547550399E-2</v>
      </c>
      <c r="AA11" s="1">
        <v>1.8969563189015201E-2</v>
      </c>
      <c r="AB11" s="1">
        <v>1.08227513287608E-2</v>
      </c>
      <c r="AC11" s="1">
        <v>1.1309851225567699E-2</v>
      </c>
      <c r="AD11" s="1">
        <v>2.1206752582281201E-3</v>
      </c>
      <c r="AE11" s="1">
        <v>1.31950805751225E-2</v>
      </c>
    </row>
    <row r="12" spans="1:31" x14ac:dyDescent="0.25">
      <c r="A12" s="3" t="s">
        <v>11</v>
      </c>
      <c r="B12" s="1">
        <v>5.39262923965644E-3</v>
      </c>
      <c r="C12" s="1">
        <v>2.3885603465724401E-3</v>
      </c>
      <c r="D12" s="1">
        <v>6.3929195998434401E-3</v>
      </c>
      <c r="E12" s="1">
        <v>4.7205824089741402E-3</v>
      </c>
      <c r="F12" s="1">
        <v>9.4083021338442398E-3</v>
      </c>
      <c r="G12" s="1">
        <v>1.4184245917545099E-3</v>
      </c>
      <c r="H12" s="1">
        <v>4.8249650376638404E-3</v>
      </c>
      <c r="I12" s="1">
        <v>2.5044802312655701E-2</v>
      </c>
      <c r="J12" s="1">
        <v>4.4422048033488197E-3</v>
      </c>
      <c r="K12" s="7">
        <v>0</v>
      </c>
      <c r="L12" s="1">
        <v>7.1005081170656403E-3</v>
      </c>
      <c r="M12" s="1">
        <v>6.3699138405361403E-3</v>
      </c>
      <c r="N12" s="1">
        <v>5.6305860329328404E-3</v>
      </c>
      <c r="O12" s="1">
        <v>8.9638717492759E-4</v>
      </c>
      <c r="P12" s="1">
        <v>5.5312327218148402E-3</v>
      </c>
      <c r="Q12" s="1">
        <v>2.9357801062645399E-3</v>
      </c>
      <c r="R12" s="1">
        <v>7.7132787817484399E-3</v>
      </c>
      <c r="S12" s="1">
        <v>1.75253616232743E-3</v>
      </c>
      <c r="T12" s="1">
        <v>1.8500218084278802E-2</v>
      </c>
      <c r="U12" s="1">
        <v>1.7689260143819299E-2</v>
      </c>
      <c r="V12" s="1">
        <v>1.2292467169940501E-2</v>
      </c>
      <c r="W12" s="1">
        <v>1.5151275788246399E-2</v>
      </c>
      <c r="X12" s="1">
        <v>1.4881816363856199E-2</v>
      </c>
      <c r="Y12" s="1">
        <v>1.29372266776758E-2</v>
      </c>
      <c r="Z12" s="1">
        <v>2.03032327442015E-2</v>
      </c>
      <c r="AA12" s="1">
        <v>1.45273583856663E-2</v>
      </c>
      <c r="AB12" s="1">
        <v>6.3805465254119396E-3</v>
      </c>
      <c r="AC12" s="1">
        <v>6.8676464222188396E-3</v>
      </c>
      <c r="AD12" s="1">
        <v>2.3215295451207E-3</v>
      </c>
      <c r="AE12" s="1">
        <v>8.75287577177364E-3</v>
      </c>
    </row>
    <row r="13" spans="1:31" x14ac:dyDescent="0.25">
      <c r="A13" s="3" t="s">
        <v>12</v>
      </c>
      <c r="B13" s="1">
        <v>1.7078788774091999E-3</v>
      </c>
      <c r="C13" s="1">
        <v>4.7119477704931998E-3</v>
      </c>
      <c r="D13" s="1">
        <v>7.0758851722220104E-4</v>
      </c>
      <c r="E13" s="1">
        <v>2.3799257080915001E-3</v>
      </c>
      <c r="F13" s="1">
        <v>2.3077940167785999E-3</v>
      </c>
      <c r="G13" s="1">
        <v>8.51893270882015E-3</v>
      </c>
      <c r="H13" s="1">
        <v>2.2755430794017999E-3</v>
      </c>
      <c r="I13" s="1">
        <v>3.2145310429721297E-2</v>
      </c>
      <c r="J13" s="1">
        <v>1.15427129204145E-2</v>
      </c>
      <c r="K13" s="1">
        <v>7.1005081170656403E-3</v>
      </c>
      <c r="L13" s="7">
        <v>0</v>
      </c>
      <c r="M13" s="1">
        <v>7.3059427652949797E-4</v>
      </c>
      <c r="N13" s="1">
        <v>1.4699220841327999E-3</v>
      </c>
      <c r="O13" s="1">
        <v>7.9968952919932303E-3</v>
      </c>
      <c r="P13" s="1">
        <v>1.5692753952507999E-3</v>
      </c>
      <c r="Q13" s="1">
        <v>4.1647280108011E-3</v>
      </c>
      <c r="R13" s="1">
        <v>6.1277066468280001E-4</v>
      </c>
      <c r="S13" s="1">
        <v>8.8530442793930703E-3</v>
      </c>
      <c r="T13" s="1">
        <v>1.1399709967213199E-2</v>
      </c>
      <c r="U13" s="1">
        <v>1.05887520267537E-2</v>
      </c>
      <c r="V13" s="1">
        <v>5.1919590528749001E-3</v>
      </c>
      <c r="W13" s="1">
        <v>8.0507676711808005E-3</v>
      </c>
      <c r="X13" s="1">
        <v>7.7813082467905999E-3</v>
      </c>
      <c r="Y13" s="1">
        <v>5.8367185606102E-3</v>
      </c>
      <c r="Z13" s="1">
        <v>1.32027246271359E-2</v>
      </c>
      <c r="AA13" s="1">
        <v>7.4268502686007003E-3</v>
      </c>
      <c r="AB13" s="1">
        <v>7.1996159165369996E-4</v>
      </c>
      <c r="AC13" s="1">
        <v>2.32861694846799E-4</v>
      </c>
      <c r="AD13" s="1">
        <v>9.4220376621863399E-3</v>
      </c>
      <c r="AE13" s="1">
        <v>1.6523676547079999E-3</v>
      </c>
    </row>
    <row r="14" spans="1:31" x14ac:dyDescent="0.25">
      <c r="A14" s="3" t="s">
        <v>13</v>
      </c>
      <c r="B14" s="1">
        <v>9.7728460087970009E-4</v>
      </c>
      <c r="C14" s="1">
        <v>3.9813534939636998E-3</v>
      </c>
      <c r="D14" s="1">
        <v>2.3005759307297099E-5</v>
      </c>
      <c r="E14" s="1">
        <v>1.6493314315620001E-3</v>
      </c>
      <c r="F14" s="1">
        <v>3.0383882933081E-3</v>
      </c>
      <c r="G14" s="1">
        <v>7.78833843229065E-3</v>
      </c>
      <c r="H14" s="1">
        <v>1.5449488028723001E-3</v>
      </c>
      <c r="I14" s="1">
        <v>3.1414716153191802E-2</v>
      </c>
      <c r="J14" s="1">
        <v>1.0812118643885E-2</v>
      </c>
      <c r="K14" s="1">
        <v>6.3699138405361403E-3</v>
      </c>
      <c r="L14" s="1">
        <v>7.3059427652949797E-4</v>
      </c>
      <c r="M14" s="7">
        <v>0</v>
      </c>
      <c r="N14" s="1">
        <v>7.3932780760330196E-4</v>
      </c>
      <c r="O14" s="1">
        <v>7.2663010154637303E-3</v>
      </c>
      <c r="P14" s="1">
        <v>8.3868111872130099E-4</v>
      </c>
      <c r="Q14" s="1">
        <v>3.4341337342715999E-3</v>
      </c>
      <c r="R14" s="1">
        <v>1.3433649412123E-3</v>
      </c>
      <c r="S14" s="1">
        <v>8.1224500028635703E-3</v>
      </c>
      <c r="T14" s="1">
        <v>1.2130304243742699E-2</v>
      </c>
      <c r="U14" s="1">
        <v>1.13193463032832E-2</v>
      </c>
      <c r="V14" s="1">
        <v>5.9225533294044001E-3</v>
      </c>
      <c r="W14" s="1">
        <v>8.7813619477103005E-3</v>
      </c>
      <c r="X14" s="1">
        <v>8.5119025233201008E-3</v>
      </c>
      <c r="Y14" s="1">
        <v>6.5673128371397001E-3</v>
      </c>
      <c r="Z14" s="1">
        <v>1.39333189036654E-2</v>
      </c>
      <c r="AA14" s="1">
        <v>8.1574445451301995E-3</v>
      </c>
      <c r="AB14" s="1">
        <v>1.06326848757984E-5</v>
      </c>
      <c r="AC14" s="1">
        <v>4.9773258168269905E-4</v>
      </c>
      <c r="AD14" s="1">
        <v>8.6914433856568399E-3</v>
      </c>
      <c r="AE14" s="1">
        <v>2.3829619312375002E-3</v>
      </c>
    </row>
    <row r="15" spans="1:31" x14ac:dyDescent="0.25">
      <c r="A15" s="3" t="s">
        <v>14</v>
      </c>
      <c r="B15" s="1">
        <v>2.3795679327639899E-4</v>
      </c>
      <c r="C15" s="1">
        <v>3.2420256863603999E-3</v>
      </c>
      <c r="D15" s="1">
        <v>7.62333566910599E-4</v>
      </c>
      <c r="E15" s="1">
        <v>9.1000362395869997E-4</v>
      </c>
      <c r="F15" s="1">
        <v>3.7777161009113999E-3</v>
      </c>
      <c r="G15" s="1">
        <v>7.0490106246873501E-3</v>
      </c>
      <c r="H15" s="1">
        <v>8.05620995268999E-4</v>
      </c>
      <c r="I15" s="1">
        <v>3.06753883455885E-2</v>
      </c>
      <c r="J15" s="1">
        <v>1.00727908362817E-2</v>
      </c>
      <c r="K15" s="1">
        <v>5.6305860329328404E-3</v>
      </c>
      <c r="L15" s="1">
        <v>1.4699220841327999E-3</v>
      </c>
      <c r="M15" s="1">
        <v>7.3932780760330196E-4</v>
      </c>
      <c r="N15" s="7">
        <v>0</v>
      </c>
      <c r="O15" s="1">
        <v>6.5269732078604304E-3</v>
      </c>
      <c r="P15" s="1">
        <v>9.9353311117999401E-5</v>
      </c>
      <c r="Q15" s="1">
        <v>2.6948059266683E-3</v>
      </c>
      <c r="R15" s="1">
        <v>2.0826927488155999E-3</v>
      </c>
      <c r="S15" s="1">
        <v>7.3831221952602704E-3</v>
      </c>
      <c r="T15" s="1">
        <v>1.2869632051345999E-2</v>
      </c>
      <c r="U15" s="1">
        <v>1.20586741108865E-2</v>
      </c>
      <c r="V15" s="1">
        <v>6.6618811370077E-3</v>
      </c>
      <c r="W15" s="1">
        <v>9.5206897553136004E-3</v>
      </c>
      <c r="X15" s="1">
        <v>9.2512303309234007E-3</v>
      </c>
      <c r="Y15" s="1">
        <v>7.306640644743E-3</v>
      </c>
      <c r="Z15" s="1">
        <v>1.4672646711268699E-2</v>
      </c>
      <c r="AA15" s="1">
        <v>8.8967723527334994E-3</v>
      </c>
      <c r="AB15" s="1">
        <v>7.4996049247909996E-4</v>
      </c>
      <c r="AC15" s="1">
        <v>1.237060389286E-3</v>
      </c>
      <c r="AD15" s="1">
        <v>7.95211557805354E-3</v>
      </c>
      <c r="AE15" s="1">
        <v>3.1222897388408001E-3</v>
      </c>
    </row>
    <row r="16" spans="1:31" x14ac:dyDescent="0.25">
      <c r="A16" s="3" t="s">
        <v>15</v>
      </c>
      <c r="B16" s="1">
        <v>6.28901641458403E-3</v>
      </c>
      <c r="C16" s="1">
        <v>3.2849475215000301E-3</v>
      </c>
      <c r="D16" s="1">
        <v>7.2893067747710301E-3</v>
      </c>
      <c r="E16" s="1">
        <v>5.6169695839017302E-3</v>
      </c>
      <c r="F16" s="1">
        <v>1.03046893087718E-2</v>
      </c>
      <c r="G16" s="1">
        <v>5.22037416826921E-4</v>
      </c>
      <c r="H16" s="1">
        <v>5.7213522125914304E-3</v>
      </c>
      <c r="I16" s="1">
        <v>2.4148415137728099E-2</v>
      </c>
      <c r="J16" s="1">
        <v>3.5458176284212301E-3</v>
      </c>
      <c r="K16" s="1">
        <v>8.9638717492759E-4</v>
      </c>
      <c r="L16" s="1">
        <v>7.9968952919932303E-3</v>
      </c>
      <c r="M16" s="1">
        <v>7.2663010154637303E-3</v>
      </c>
      <c r="N16" s="1">
        <v>6.5269732078604304E-3</v>
      </c>
      <c r="O16" s="7">
        <v>0</v>
      </c>
      <c r="P16" s="1">
        <v>6.4276198967424302E-3</v>
      </c>
      <c r="Q16" s="1">
        <v>3.8321672811921299E-3</v>
      </c>
      <c r="R16" s="1">
        <v>8.6096659566760308E-3</v>
      </c>
      <c r="S16" s="1">
        <v>8.5614898739983999E-4</v>
      </c>
      <c r="T16" s="1">
        <v>1.93966052592064E-2</v>
      </c>
      <c r="U16" s="1">
        <v>1.8585647318746901E-2</v>
      </c>
      <c r="V16" s="1">
        <v>1.3188854344868099E-2</v>
      </c>
      <c r="W16" s="1">
        <v>1.6047662963174E-2</v>
      </c>
      <c r="X16" s="1">
        <v>1.57782035387838E-2</v>
      </c>
      <c r="Y16" s="1">
        <v>1.3833613852603399E-2</v>
      </c>
      <c r="Z16" s="1">
        <v>2.1199619919129099E-2</v>
      </c>
      <c r="AA16" s="1">
        <v>1.54237455605939E-2</v>
      </c>
      <c r="AB16" s="1">
        <v>7.2769337003395296E-3</v>
      </c>
      <c r="AC16" s="1">
        <v>7.7640335971464296E-3</v>
      </c>
      <c r="AD16" s="1">
        <v>1.42514237019311E-3</v>
      </c>
      <c r="AE16" s="1">
        <v>9.64926294670123E-3</v>
      </c>
    </row>
    <row r="17" spans="1:31" x14ac:dyDescent="0.25">
      <c r="A17" s="3" t="s">
        <v>16</v>
      </c>
      <c r="B17" s="1">
        <v>1.3860348215839901E-4</v>
      </c>
      <c r="C17" s="1">
        <v>3.1426723752424001E-3</v>
      </c>
      <c r="D17" s="1">
        <v>8.6168687802859803E-4</v>
      </c>
      <c r="E17" s="1">
        <v>8.1065031284070104E-4</v>
      </c>
      <c r="F17" s="1">
        <v>3.8770694120294001E-3</v>
      </c>
      <c r="G17" s="1">
        <v>6.9496573135693499E-3</v>
      </c>
      <c r="H17" s="1">
        <v>7.0626768415099996E-4</v>
      </c>
      <c r="I17" s="1">
        <v>3.0576035034470501E-2</v>
      </c>
      <c r="J17" s="1">
        <v>9.9734375251636607E-3</v>
      </c>
      <c r="K17" s="1">
        <v>5.5312327218148402E-3</v>
      </c>
      <c r="L17" s="1">
        <v>1.5692753952507999E-3</v>
      </c>
      <c r="M17" s="1">
        <v>8.3868111872130099E-4</v>
      </c>
      <c r="N17" s="1">
        <v>9.9353311117999401E-5</v>
      </c>
      <c r="O17" s="1">
        <v>6.4276198967424302E-3</v>
      </c>
      <c r="P17" s="7">
        <v>0</v>
      </c>
      <c r="Q17" s="1">
        <v>2.5954526155502998E-3</v>
      </c>
      <c r="R17" s="1">
        <v>2.1820460599336002E-3</v>
      </c>
      <c r="S17" s="1">
        <v>7.2837688841422702E-3</v>
      </c>
      <c r="T17" s="1">
        <v>1.2968985362464E-2</v>
      </c>
      <c r="U17" s="1">
        <v>1.2158027422004501E-2</v>
      </c>
      <c r="V17" s="1">
        <v>6.7612344481257003E-3</v>
      </c>
      <c r="W17" s="1">
        <v>9.6200430664315998E-3</v>
      </c>
      <c r="X17" s="1">
        <v>9.3505836420414001E-3</v>
      </c>
      <c r="Y17" s="1">
        <v>7.4059939558610002E-3</v>
      </c>
      <c r="Z17" s="1">
        <v>1.4772000022386701E-2</v>
      </c>
      <c r="AA17" s="1">
        <v>8.9961256638515005E-3</v>
      </c>
      <c r="AB17" s="1">
        <v>8.49313803597099E-4</v>
      </c>
      <c r="AC17" s="1">
        <v>1.336413700404E-3</v>
      </c>
      <c r="AD17" s="1">
        <v>7.8527622669355406E-3</v>
      </c>
      <c r="AE17" s="1">
        <v>3.2216430499587998E-3</v>
      </c>
    </row>
    <row r="18" spans="1:31" x14ac:dyDescent="0.25">
      <c r="A18" s="3" t="s">
        <v>17</v>
      </c>
      <c r="B18" s="1">
        <v>2.4568491333919001E-3</v>
      </c>
      <c r="C18" s="1">
        <v>5.4721975969210105E-4</v>
      </c>
      <c r="D18" s="1">
        <v>3.4571394935789001E-3</v>
      </c>
      <c r="E18" s="1">
        <v>1.7848023027096001E-3</v>
      </c>
      <c r="F18" s="1">
        <v>6.4725220275797003E-3</v>
      </c>
      <c r="G18" s="1">
        <v>4.3542046980190501E-3</v>
      </c>
      <c r="H18" s="1">
        <v>1.8891849313993E-3</v>
      </c>
      <c r="I18" s="1">
        <v>2.7980582418920201E-2</v>
      </c>
      <c r="J18" s="1">
        <v>7.3779849096133601E-3</v>
      </c>
      <c r="K18" s="1">
        <v>2.9357801062645399E-3</v>
      </c>
      <c r="L18" s="1">
        <v>4.1647280108011E-3</v>
      </c>
      <c r="M18" s="1">
        <v>3.4341337342715999E-3</v>
      </c>
      <c r="N18" s="1">
        <v>2.6948059266683E-3</v>
      </c>
      <c r="O18" s="1">
        <v>3.8321672811921299E-3</v>
      </c>
      <c r="P18" s="1">
        <v>2.5954526155502998E-3</v>
      </c>
      <c r="Q18" s="7">
        <v>0</v>
      </c>
      <c r="R18" s="1">
        <v>4.7774986754839004E-3</v>
      </c>
      <c r="S18" s="1">
        <v>4.6883162685919704E-3</v>
      </c>
      <c r="T18" s="1">
        <v>1.55644379780143E-2</v>
      </c>
      <c r="U18" s="1">
        <v>1.4753480037554801E-2</v>
      </c>
      <c r="V18" s="1">
        <v>9.3566870636759992E-3</v>
      </c>
      <c r="W18" s="1">
        <v>1.22154956819819E-2</v>
      </c>
      <c r="X18" s="1">
        <v>1.19460362575917E-2</v>
      </c>
      <c r="Y18" s="1">
        <v>1.0001446571411301E-2</v>
      </c>
      <c r="Z18" s="1">
        <v>1.7367452637937E-2</v>
      </c>
      <c r="AA18" s="1">
        <v>1.15915782794018E-2</v>
      </c>
      <c r="AB18" s="1">
        <v>3.4447664191474001E-3</v>
      </c>
      <c r="AC18" s="1">
        <v>3.9318663159543001E-3</v>
      </c>
      <c r="AD18" s="1">
        <v>5.25730965138524E-3</v>
      </c>
      <c r="AE18" s="1">
        <v>5.8170956655090996E-3</v>
      </c>
    </row>
    <row r="19" spans="1:31" x14ac:dyDescent="0.25">
      <c r="A19" s="3" t="s">
        <v>18</v>
      </c>
      <c r="B19" s="1">
        <v>2.3206495420919999E-3</v>
      </c>
      <c r="C19" s="1">
        <v>5.3247184351760003E-3</v>
      </c>
      <c r="D19" s="1">
        <v>1.3203591819050001E-3</v>
      </c>
      <c r="E19" s="1">
        <v>2.9926963727743001E-3</v>
      </c>
      <c r="F19" s="1">
        <v>1.6950233520957999E-3</v>
      </c>
      <c r="G19" s="1">
        <v>9.1317033735029505E-3</v>
      </c>
      <c r="H19" s="1">
        <v>2.8883137440845999E-3</v>
      </c>
      <c r="I19" s="1">
        <v>3.2758081094404097E-2</v>
      </c>
      <c r="J19" s="1">
        <v>1.21554835850973E-2</v>
      </c>
      <c r="K19" s="1">
        <v>7.7132787817484399E-3</v>
      </c>
      <c r="L19" s="1">
        <v>6.1277066468280001E-4</v>
      </c>
      <c r="M19" s="1">
        <v>1.3433649412123E-3</v>
      </c>
      <c r="N19" s="1">
        <v>2.0826927488155999E-3</v>
      </c>
      <c r="O19" s="1">
        <v>8.6096659566760308E-3</v>
      </c>
      <c r="P19" s="1">
        <v>2.1820460599336002E-3</v>
      </c>
      <c r="Q19" s="1">
        <v>4.7774986754839004E-3</v>
      </c>
      <c r="R19" s="7">
        <v>0</v>
      </c>
      <c r="S19" s="1">
        <v>9.4658149440758708E-3</v>
      </c>
      <c r="T19" s="1">
        <v>1.0786939302530401E-2</v>
      </c>
      <c r="U19" s="1">
        <v>9.9759813620708994E-3</v>
      </c>
      <c r="V19" s="1">
        <v>4.5791883881920997E-3</v>
      </c>
      <c r="W19" s="1">
        <v>7.4379970064980001E-3</v>
      </c>
      <c r="X19" s="1">
        <v>7.1685375821078003E-3</v>
      </c>
      <c r="Y19" s="1">
        <v>5.2239478959273996E-3</v>
      </c>
      <c r="Z19" s="1">
        <v>1.2589953962453101E-2</v>
      </c>
      <c r="AA19" s="1">
        <v>6.8140796039178999E-3</v>
      </c>
      <c r="AB19" s="1">
        <v>1.3327322563365001E-3</v>
      </c>
      <c r="AC19" s="1">
        <v>8.4563235952959904E-4</v>
      </c>
      <c r="AD19" s="1">
        <v>1.00348083268691E-2</v>
      </c>
      <c r="AE19" s="1">
        <v>1.0395969900251999E-3</v>
      </c>
    </row>
    <row r="20" spans="1:31" x14ac:dyDescent="0.25">
      <c r="A20" s="3" t="s">
        <v>19</v>
      </c>
      <c r="B20" s="1">
        <v>7.14516540198387E-3</v>
      </c>
      <c r="C20" s="1">
        <v>4.1410965088998697E-3</v>
      </c>
      <c r="D20" s="1">
        <v>8.1454557621708692E-3</v>
      </c>
      <c r="E20" s="1">
        <v>6.4731185713015702E-3</v>
      </c>
      <c r="F20" s="1">
        <v>1.1160838296171699E-2</v>
      </c>
      <c r="G20" s="1">
        <v>3.3411157057291899E-4</v>
      </c>
      <c r="H20" s="1">
        <v>6.5775011999912704E-3</v>
      </c>
      <c r="I20" s="1">
        <v>2.32922661503282E-2</v>
      </c>
      <c r="J20" s="1">
        <v>2.6896686410213901E-3</v>
      </c>
      <c r="K20" s="1">
        <v>1.75253616232743E-3</v>
      </c>
      <c r="L20" s="1">
        <v>8.8530442793930703E-3</v>
      </c>
      <c r="M20" s="1">
        <v>8.1224500028635703E-3</v>
      </c>
      <c r="N20" s="1">
        <v>7.3831221952602704E-3</v>
      </c>
      <c r="O20" s="1">
        <v>8.5614898739983999E-4</v>
      </c>
      <c r="P20" s="1">
        <v>7.2837688841422702E-3</v>
      </c>
      <c r="Q20" s="1">
        <v>4.6883162685919704E-3</v>
      </c>
      <c r="R20" s="1">
        <v>9.4658149440758708E-3</v>
      </c>
      <c r="S20" s="7">
        <v>0</v>
      </c>
      <c r="T20" s="1">
        <v>2.0252754246606299E-2</v>
      </c>
      <c r="U20" s="1">
        <v>1.94417963061468E-2</v>
      </c>
      <c r="V20" s="1">
        <v>1.4045003332268E-2</v>
      </c>
      <c r="W20" s="1">
        <v>1.6903811950573899E-2</v>
      </c>
      <c r="X20" s="1">
        <v>1.6634352526183699E-2</v>
      </c>
      <c r="Y20" s="1">
        <v>1.46897628400033E-2</v>
      </c>
      <c r="Z20" s="1">
        <v>2.2055768906529001E-2</v>
      </c>
      <c r="AA20" s="1">
        <v>1.6279894547993799E-2</v>
      </c>
      <c r="AB20" s="1">
        <v>8.1330826877393705E-3</v>
      </c>
      <c r="AC20" s="1">
        <v>8.6201825845462696E-3</v>
      </c>
      <c r="AD20" s="1">
        <v>5.6899338279327001E-4</v>
      </c>
      <c r="AE20" s="1">
        <v>1.05054119341011E-2</v>
      </c>
    </row>
    <row r="21" spans="1:31" x14ac:dyDescent="0.25">
      <c r="A21" s="3" t="s">
        <v>20</v>
      </c>
      <c r="B21" s="1">
        <v>1.31075888446224E-2</v>
      </c>
      <c r="C21" s="1">
        <v>1.6111657737706401E-2</v>
      </c>
      <c r="D21" s="1">
        <v>1.21072984844354E-2</v>
      </c>
      <c r="E21" s="1">
        <v>1.3779635675304699E-2</v>
      </c>
      <c r="F21" s="1">
        <v>9.0919159504345998E-3</v>
      </c>
      <c r="G21" s="1">
        <v>1.9918642676033299E-2</v>
      </c>
      <c r="H21" s="1">
        <v>1.3675253046615E-2</v>
      </c>
      <c r="I21" s="1">
        <v>4.3545020396934503E-2</v>
      </c>
      <c r="J21" s="1">
        <v>2.2942422887627701E-2</v>
      </c>
      <c r="K21" s="1">
        <v>1.8500218084278802E-2</v>
      </c>
      <c r="L21" s="1">
        <v>1.1399709967213199E-2</v>
      </c>
      <c r="M21" s="1">
        <v>1.2130304243742699E-2</v>
      </c>
      <c r="N21" s="1">
        <v>1.2869632051345999E-2</v>
      </c>
      <c r="O21" s="1">
        <v>1.93966052592064E-2</v>
      </c>
      <c r="P21" s="1">
        <v>1.2968985362464E-2</v>
      </c>
      <c r="Q21" s="1">
        <v>1.55644379780143E-2</v>
      </c>
      <c r="R21" s="1">
        <v>1.0786939302530401E-2</v>
      </c>
      <c r="S21" s="1">
        <v>2.0252754246606299E-2</v>
      </c>
      <c r="T21" s="7">
        <v>0</v>
      </c>
      <c r="U21" s="1">
        <v>8.1095794045950005E-4</v>
      </c>
      <c r="V21" s="1">
        <v>6.2077509143383001E-3</v>
      </c>
      <c r="W21" s="1">
        <v>3.3489422960324001E-3</v>
      </c>
      <c r="X21" s="1">
        <v>3.6184017204225999E-3</v>
      </c>
      <c r="Y21" s="1">
        <v>5.5629914066030002E-3</v>
      </c>
      <c r="Z21" s="1">
        <v>1.8030146599227E-3</v>
      </c>
      <c r="AA21" s="1">
        <v>3.9728596986124999E-3</v>
      </c>
      <c r="AB21" s="1">
        <v>1.2119671558866899E-2</v>
      </c>
      <c r="AC21" s="1">
        <v>1.163257166206E-2</v>
      </c>
      <c r="AD21" s="1">
        <v>2.0821747629399499E-2</v>
      </c>
      <c r="AE21" s="1">
        <v>9.7473423125051997E-3</v>
      </c>
    </row>
    <row r="22" spans="1:31" x14ac:dyDescent="0.25">
      <c r="A22" s="3" t="s">
        <v>21</v>
      </c>
      <c r="B22" s="1">
        <v>1.22966309041629E-2</v>
      </c>
      <c r="C22" s="1">
        <v>1.53006997972469E-2</v>
      </c>
      <c r="D22" s="1">
        <v>1.1296340543975899E-2</v>
      </c>
      <c r="E22" s="1">
        <v>1.29686777348452E-2</v>
      </c>
      <c r="F22" s="1">
        <v>8.2809580099751003E-3</v>
      </c>
      <c r="G22" s="1">
        <v>1.91076847355739E-2</v>
      </c>
      <c r="H22" s="1">
        <v>1.2864295106155501E-2</v>
      </c>
      <c r="I22" s="1">
        <v>4.2734062456475E-2</v>
      </c>
      <c r="J22" s="1">
        <v>2.2131464947168202E-2</v>
      </c>
      <c r="K22" s="1">
        <v>1.7689260143819299E-2</v>
      </c>
      <c r="L22" s="1">
        <v>1.05887520267537E-2</v>
      </c>
      <c r="M22" s="1">
        <v>1.13193463032832E-2</v>
      </c>
      <c r="N22" s="1">
        <v>1.20586741108865E-2</v>
      </c>
      <c r="O22" s="1">
        <v>1.8585647318746901E-2</v>
      </c>
      <c r="P22" s="1">
        <v>1.2158027422004501E-2</v>
      </c>
      <c r="Q22" s="1">
        <v>1.4753480037554801E-2</v>
      </c>
      <c r="R22" s="1">
        <v>9.9759813620708994E-3</v>
      </c>
      <c r="S22" s="1">
        <v>1.94417963061468E-2</v>
      </c>
      <c r="T22" s="1">
        <v>8.1095794045950005E-4</v>
      </c>
      <c r="U22" s="7">
        <v>0</v>
      </c>
      <c r="V22" s="1">
        <v>5.3967929738787997E-3</v>
      </c>
      <c r="W22" s="1">
        <v>2.5379843555729002E-3</v>
      </c>
      <c r="X22" s="1">
        <v>2.8074437799630999E-3</v>
      </c>
      <c r="Y22" s="1">
        <v>4.7520334661434998E-3</v>
      </c>
      <c r="Z22" s="1">
        <v>2.6139726003822001E-3</v>
      </c>
      <c r="AA22" s="1">
        <v>3.161901758153E-3</v>
      </c>
      <c r="AB22" s="1">
        <v>1.13087136184074E-2</v>
      </c>
      <c r="AC22" s="1">
        <v>1.0821613721600501E-2</v>
      </c>
      <c r="AD22" s="1">
        <v>2.001078968894E-2</v>
      </c>
      <c r="AE22" s="1">
        <v>8.9363843720457001E-3</v>
      </c>
    </row>
    <row r="23" spans="1:31" x14ac:dyDescent="0.25">
      <c r="A23" s="3" t="s">
        <v>22</v>
      </c>
      <c r="B23" s="1">
        <v>6.8998379302841004E-3</v>
      </c>
      <c r="C23" s="1">
        <v>9.9039068233680999E-3</v>
      </c>
      <c r="D23" s="1">
        <v>5.8995475700971004E-3</v>
      </c>
      <c r="E23" s="1">
        <v>7.5718847609664002E-3</v>
      </c>
      <c r="F23" s="1">
        <v>2.8841650360963002E-3</v>
      </c>
      <c r="G23" s="1">
        <v>1.37108917616951E-2</v>
      </c>
      <c r="H23" s="1">
        <v>7.4675021322767E-3</v>
      </c>
      <c r="I23" s="1">
        <v>3.7337269482596198E-2</v>
      </c>
      <c r="J23" s="1">
        <v>1.67346719732894E-2</v>
      </c>
      <c r="K23" s="1">
        <v>1.2292467169940501E-2</v>
      </c>
      <c r="L23" s="1">
        <v>5.1919590528749001E-3</v>
      </c>
      <c r="M23" s="1">
        <v>5.9225533294044001E-3</v>
      </c>
      <c r="N23" s="1">
        <v>6.6618811370077E-3</v>
      </c>
      <c r="O23" s="1">
        <v>1.3188854344868099E-2</v>
      </c>
      <c r="P23" s="1">
        <v>6.7612344481257003E-3</v>
      </c>
      <c r="Q23" s="1">
        <v>9.3566870636759992E-3</v>
      </c>
      <c r="R23" s="1">
        <v>4.5791883881920997E-3</v>
      </c>
      <c r="S23" s="1">
        <v>1.4045003332268E-2</v>
      </c>
      <c r="T23" s="1">
        <v>6.2077509143383001E-3</v>
      </c>
      <c r="U23" s="1">
        <v>5.3967929738787997E-3</v>
      </c>
      <c r="V23" s="7">
        <v>0</v>
      </c>
      <c r="W23" s="1">
        <v>2.8588086183059E-3</v>
      </c>
      <c r="X23" s="1">
        <v>2.5893491939156998E-3</v>
      </c>
      <c r="Y23" s="1">
        <v>6.4475950773530005E-4</v>
      </c>
      <c r="Z23" s="1">
        <v>8.0107655742609994E-3</v>
      </c>
      <c r="AA23" s="1">
        <v>2.2348912157258002E-3</v>
      </c>
      <c r="AB23" s="1">
        <v>5.9119206445286E-3</v>
      </c>
      <c r="AC23" s="1">
        <v>5.4248207477217E-3</v>
      </c>
      <c r="AD23" s="1">
        <v>1.46139967150612E-2</v>
      </c>
      <c r="AE23" s="1">
        <v>3.5395913981669E-3</v>
      </c>
    </row>
    <row r="24" spans="1:31" x14ac:dyDescent="0.25">
      <c r="A24" s="3" t="s">
        <v>23</v>
      </c>
      <c r="B24" s="1">
        <v>9.7586465485900008E-3</v>
      </c>
      <c r="C24" s="1">
        <v>1.2762715441674E-2</v>
      </c>
      <c r="D24" s="1">
        <v>8.7583561884029999E-3</v>
      </c>
      <c r="E24" s="1">
        <v>1.0430693379272301E-2</v>
      </c>
      <c r="F24" s="1">
        <v>5.7429736544022001E-3</v>
      </c>
      <c r="G24" s="1">
        <v>1.6569700380000999E-2</v>
      </c>
      <c r="H24" s="1">
        <v>1.03263107505826E-2</v>
      </c>
      <c r="I24" s="1">
        <v>4.0196078100902102E-2</v>
      </c>
      <c r="J24" s="1">
        <v>1.95934805915953E-2</v>
      </c>
      <c r="K24" s="1">
        <v>1.5151275788246399E-2</v>
      </c>
      <c r="L24" s="1">
        <v>8.0507676711808005E-3</v>
      </c>
      <c r="M24" s="1">
        <v>8.7813619477103005E-3</v>
      </c>
      <c r="N24" s="1">
        <v>9.5206897553136004E-3</v>
      </c>
      <c r="O24" s="1">
        <v>1.6047662963174E-2</v>
      </c>
      <c r="P24" s="1">
        <v>9.6200430664315998E-3</v>
      </c>
      <c r="Q24" s="1">
        <v>1.22154956819819E-2</v>
      </c>
      <c r="R24" s="1">
        <v>7.4379970064980001E-3</v>
      </c>
      <c r="S24" s="1">
        <v>1.6903811950573899E-2</v>
      </c>
      <c r="T24" s="1">
        <v>3.3489422960324001E-3</v>
      </c>
      <c r="U24" s="1">
        <v>2.5379843555729002E-3</v>
      </c>
      <c r="V24" s="1">
        <v>2.8588086183059E-3</v>
      </c>
      <c r="W24" s="7">
        <v>0</v>
      </c>
      <c r="X24" s="1">
        <v>2.6945942439020299E-4</v>
      </c>
      <c r="Y24" s="1">
        <v>2.2140491105706E-3</v>
      </c>
      <c r="Z24" s="1">
        <v>5.1519569559550999E-3</v>
      </c>
      <c r="AA24" s="1">
        <v>6.2391740258010303E-4</v>
      </c>
      <c r="AB24" s="1">
        <v>8.7707292628345004E-3</v>
      </c>
      <c r="AC24" s="1">
        <v>8.2836293660275995E-3</v>
      </c>
      <c r="AD24" s="1">
        <v>1.7472805333367099E-2</v>
      </c>
      <c r="AE24" s="1">
        <v>6.3984000164728E-3</v>
      </c>
    </row>
    <row r="25" spans="1:31" x14ac:dyDescent="0.25">
      <c r="A25" s="3" t="s">
        <v>24</v>
      </c>
      <c r="B25" s="1">
        <v>9.4891871241997994E-3</v>
      </c>
      <c r="C25" s="1">
        <v>1.2493256017283801E-2</v>
      </c>
      <c r="D25" s="1">
        <v>8.4888967640128002E-3</v>
      </c>
      <c r="E25" s="1">
        <v>1.0161233954882099E-2</v>
      </c>
      <c r="F25" s="1">
        <v>5.4735142300120004E-3</v>
      </c>
      <c r="G25" s="1">
        <v>1.6300240955610799E-2</v>
      </c>
      <c r="H25" s="1">
        <v>1.00568513261924E-2</v>
      </c>
      <c r="I25" s="1">
        <v>3.9926618676511899E-2</v>
      </c>
      <c r="J25" s="1">
        <v>1.9324021167205101E-2</v>
      </c>
      <c r="K25" s="1">
        <v>1.4881816363856199E-2</v>
      </c>
      <c r="L25" s="1">
        <v>7.7813082467905999E-3</v>
      </c>
      <c r="M25" s="1">
        <v>8.5119025233201008E-3</v>
      </c>
      <c r="N25" s="1">
        <v>9.2512303309234007E-3</v>
      </c>
      <c r="O25" s="1">
        <v>1.57782035387838E-2</v>
      </c>
      <c r="P25" s="1">
        <v>9.3505836420414001E-3</v>
      </c>
      <c r="Q25" s="1">
        <v>1.19460362575917E-2</v>
      </c>
      <c r="R25" s="1">
        <v>7.1685375821078003E-3</v>
      </c>
      <c r="S25" s="1">
        <v>1.6634352526183699E-2</v>
      </c>
      <c r="T25" s="1">
        <v>3.6184017204225999E-3</v>
      </c>
      <c r="U25" s="1">
        <v>2.8074437799630999E-3</v>
      </c>
      <c r="V25" s="1">
        <v>2.5893491939156998E-3</v>
      </c>
      <c r="W25" s="1">
        <v>2.6945942439020299E-4</v>
      </c>
      <c r="X25" s="7">
        <v>0</v>
      </c>
      <c r="Y25" s="1">
        <v>1.9445896861804001E-3</v>
      </c>
      <c r="Z25" s="1">
        <v>5.4214163803452996E-3</v>
      </c>
      <c r="AA25" s="1">
        <v>3.5445797818989998E-4</v>
      </c>
      <c r="AB25" s="1">
        <v>8.5012698384443006E-3</v>
      </c>
      <c r="AC25" s="1">
        <v>8.0141699416373998E-3</v>
      </c>
      <c r="AD25" s="1">
        <v>1.7203345908976899E-2</v>
      </c>
      <c r="AE25" s="1">
        <v>6.1289405920826002E-3</v>
      </c>
    </row>
    <row r="26" spans="1:31" x14ac:dyDescent="0.25">
      <c r="A26" s="3" t="s">
        <v>25</v>
      </c>
      <c r="B26" s="1">
        <v>7.5445974380194004E-3</v>
      </c>
      <c r="C26" s="1">
        <v>1.05486663311034E-2</v>
      </c>
      <c r="D26" s="1">
        <v>6.5443070778324003E-3</v>
      </c>
      <c r="E26" s="1">
        <v>8.2166442687017002E-3</v>
      </c>
      <c r="F26" s="1">
        <v>3.5289245438316001E-3</v>
      </c>
      <c r="G26" s="1">
        <v>1.43556512694304E-2</v>
      </c>
      <c r="H26" s="1">
        <v>8.1122616400120008E-3</v>
      </c>
      <c r="I26" s="1">
        <v>3.7982028990331498E-2</v>
      </c>
      <c r="J26" s="1">
        <v>1.73794314810247E-2</v>
      </c>
      <c r="K26" s="1">
        <v>1.29372266776758E-2</v>
      </c>
      <c r="L26" s="1">
        <v>5.8367185606102E-3</v>
      </c>
      <c r="M26" s="1">
        <v>6.5673128371397001E-3</v>
      </c>
      <c r="N26" s="1">
        <v>7.306640644743E-3</v>
      </c>
      <c r="O26" s="1">
        <v>1.3833613852603399E-2</v>
      </c>
      <c r="P26" s="1">
        <v>7.4059939558610002E-3</v>
      </c>
      <c r="Q26" s="1">
        <v>1.0001446571411301E-2</v>
      </c>
      <c r="R26" s="1">
        <v>5.2239478959273996E-3</v>
      </c>
      <c r="S26" s="1">
        <v>1.46897628400033E-2</v>
      </c>
      <c r="T26" s="1">
        <v>5.5629914066030002E-3</v>
      </c>
      <c r="U26" s="1">
        <v>4.7520334661434998E-3</v>
      </c>
      <c r="V26" s="1">
        <v>6.4475950773530005E-4</v>
      </c>
      <c r="W26" s="1">
        <v>2.2140491105706E-3</v>
      </c>
      <c r="X26" s="1">
        <v>1.9445896861804001E-3</v>
      </c>
      <c r="Y26" s="7">
        <v>0</v>
      </c>
      <c r="Z26" s="1">
        <v>7.3660060665257003E-3</v>
      </c>
      <c r="AA26" s="1">
        <v>1.5901317079905E-3</v>
      </c>
      <c r="AB26" s="1">
        <v>6.5566801522638999E-3</v>
      </c>
      <c r="AC26" s="1">
        <v>6.0695802554569999E-3</v>
      </c>
      <c r="AD26" s="1">
        <v>1.52587562227965E-2</v>
      </c>
      <c r="AE26" s="1">
        <v>4.1843509059022004E-3</v>
      </c>
    </row>
    <row r="27" spans="1:31" x14ac:dyDescent="0.25">
      <c r="A27" s="3" t="s">
        <v>26</v>
      </c>
      <c r="B27" s="1">
        <v>1.49106035045451E-2</v>
      </c>
      <c r="C27" s="1">
        <v>1.7914672397629099E-2</v>
      </c>
      <c r="D27" s="1">
        <v>1.3910313144358101E-2</v>
      </c>
      <c r="E27" s="1">
        <v>1.55826503352274E-2</v>
      </c>
      <c r="F27" s="1">
        <v>1.08949306103573E-2</v>
      </c>
      <c r="G27" s="1">
        <v>2.1721657335956102E-2</v>
      </c>
      <c r="H27" s="1">
        <v>1.54782677065377E-2</v>
      </c>
      <c r="I27" s="1">
        <v>4.5348035056857201E-2</v>
      </c>
      <c r="J27" s="1">
        <v>2.4745437547550399E-2</v>
      </c>
      <c r="K27" s="1">
        <v>2.03032327442015E-2</v>
      </c>
      <c r="L27" s="1">
        <v>1.32027246271359E-2</v>
      </c>
      <c r="M27" s="1">
        <v>1.39333189036654E-2</v>
      </c>
      <c r="N27" s="1">
        <v>1.4672646711268699E-2</v>
      </c>
      <c r="O27" s="1">
        <v>2.1199619919129099E-2</v>
      </c>
      <c r="P27" s="1">
        <v>1.4772000022386701E-2</v>
      </c>
      <c r="Q27" s="1">
        <v>1.7367452637937E-2</v>
      </c>
      <c r="R27" s="1">
        <v>1.2589953962453101E-2</v>
      </c>
      <c r="S27" s="1">
        <v>2.2055768906529001E-2</v>
      </c>
      <c r="T27" s="1">
        <v>1.8030146599227E-3</v>
      </c>
      <c r="U27" s="1">
        <v>2.6139726003822001E-3</v>
      </c>
      <c r="V27" s="1">
        <v>8.0107655742609994E-3</v>
      </c>
      <c r="W27" s="1">
        <v>5.1519569559550999E-3</v>
      </c>
      <c r="X27" s="1">
        <v>5.4214163803452996E-3</v>
      </c>
      <c r="Y27" s="1">
        <v>7.3660060665257003E-3</v>
      </c>
      <c r="Z27" s="7">
        <v>0</v>
      </c>
      <c r="AA27" s="1">
        <v>5.7758743585352001E-3</v>
      </c>
      <c r="AB27" s="1">
        <v>1.3922686218789599E-2</v>
      </c>
      <c r="AC27" s="1">
        <v>1.34355863219827E-2</v>
      </c>
      <c r="AD27" s="1">
        <v>2.2624762289322201E-2</v>
      </c>
      <c r="AE27" s="1">
        <v>1.15503569724279E-2</v>
      </c>
    </row>
    <row r="28" spans="1:31" x14ac:dyDescent="0.25">
      <c r="A28" s="3" t="s">
        <v>27</v>
      </c>
      <c r="B28" s="1">
        <v>9.1347291460098998E-3</v>
      </c>
      <c r="C28" s="1">
        <v>1.2138798039093899E-2</v>
      </c>
      <c r="D28" s="1">
        <v>8.1344387858229006E-3</v>
      </c>
      <c r="E28" s="1">
        <v>9.8067759766921996E-3</v>
      </c>
      <c r="F28" s="1">
        <v>5.1190562518220999E-3</v>
      </c>
      <c r="G28" s="1">
        <v>1.59457829774209E-2</v>
      </c>
      <c r="H28" s="1">
        <v>9.7023933480025002E-3</v>
      </c>
      <c r="I28" s="1">
        <v>3.9572160698322E-2</v>
      </c>
      <c r="J28" s="1">
        <v>1.8969563189015201E-2</v>
      </c>
      <c r="K28" s="1">
        <v>1.45273583856663E-2</v>
      </c>
      <c r="L28" s="1">
        <v>7.4268502686007003E-3</v>
      </c>
      <c r="M28" s="1">
        <v>8.1574445451301995E-3</v>
      </c>
      <c r="N28" s="1">
        <v>8.8967723527334994E-3</v>
      </c>
      <c r="O28" s="1">
        <v>1.54237455605939E-2</v>
      </c>
      <c r="P28" s="1">
        <v>8.9961256638515005E-3</v>
      </c>
      <c r="Q28" s="1">
        <v>1.15915782794018E-2</v>
      </c>
      <c r="R28" s="1">
        <v>6.8140796039178999E-3</v>
      </c>
      <c r="S28" s="1">
        <v>1.6279894547993799E-2</v>
      </c>
      <c r="T28" s="1">
        <v>3.9728596986124999E-3</v>
      </c>
      <c r="U28" s="1">
        <v>3.161901758153E-3</v>
      </c>
      <c r="V28" s="1">
        <v>2.2348912157258002E-3</v>
      </c>
      <c r="W28" s="1">
        <v>6.2391740258010303E-4</v>
      </c>
      <c r="X28" s="1">
        <v>3.5445797818989998E-4</v>
      </c>
      <c r="Y28" s="1">
        <v>1.5901317079905E-3</v>
      </c>
      <c r="Z28" s="1">
        <v>5.7758743585352001E-3</v>
      </c>
      <c r="AA28" s="7">
        <v>0</v>
      </c>
      <c r="AB28" s="1">
        <v>8.1468118602543993E-3</v>
      </c>
      <c r="AC28" s="1">
        <v>7.6597119634475002E-3</v>
      </c>
      <c r="AD28" s="1">
        <v>1.6848887930786999E-2</v>
      </c>
      <c r="AE28" s="1">
        <v>5.7744826138926997E-3</v>
      </c>
    </row>
    <row r="29" spans="1:31" x14ac:dyDescent="0.25">
      <c r="A29" s="3" t="s">
        <v>28</v>
      </c>
      <c r="B29" s="1">
        <v>9.8791728575549896E-4</v>
      </c>
      <c r="C29" s="1">
        <v>3.9919861788395E-3</v>
      </c>
      <c r="D29" s="1">
        <v>1.2373074431498699E-5</v>
      </c>
      <c r="E29" s="1">
        <v>1.6599641164378E-3</v>
      </c>
      <c r="F29" s="1">
        <v>3.0277556084322998E-3</v>
      </c>
      <c r="G29" s="1">
        <v>7.7989711171664502E-3</v>
      </c>
      <c r="H29" s="1">
        <v>1.5555814877481E-3</v>
      </c>
      <c r="I29" s="1">
        <v>3.14253488380676E-2</v>
      </c>
      <c r="J29" s="1">
        <v>1.08227513287608E-2</v>
      </c>
      <c r="K29" s="1">
        <v>6.3805465254119396E-3</v>
      </c>
      <c r="L29" s="1">
        <v>7.1996159165369996E-4</v>
      </c>
      <c r="M29" s="1">
        <v>1.06326848757984E-5</v>
      </c>
      <c r="N29" s="1">
        <v>7.4996049247909996E-4</v>
      </c>
      <c r="O29" s="1">
        <v>7.2769337003395296E-3</v>
      </c>
      <c r="P29" s="1">
        <v>8.49313803597099E-4</v>
      </c>
      <c r="Q29" s="1">
        <v>3.4447664191474001E-3</v>
      </c>
      <c r="R29" s="1">
        <v>1.3327322563365001E-3</v>
      </c>
      <c r="S29" s="1">
        <v>8.1330826877393705E-3</v>
      </c>
      <c r="T29" s="1">
        <v>1.2119671558866899E-2</v>
      </c>
      <c r="U29" s="1">
        <v>1.13087136184074E-2</v>
      </c>
      <c r="V29" s="1">
        <v>5.9119206445286E-3</v>
      </c>
      <c r="W29" s="1">
        <v>8.7707292628345004E-3</v>
      </c>
      <c r="X29" s="1">
        <v>8.5012698384443006E-3</v>
      </c>
      <c r="Y29" s="1">
        <v>6.5566801522638999E-3</v>
      </c>
      <c r="Z29" s="1">
        <v>1.3922686218789599E-2</v>
      </c>
      <c r="AA29" s="1">
        <v>8.1468118602543993E-3</v>
      </c>
      <c r="AB29" s="7">
        <v>0</v>
      </c>
      <c r="AC29" s="1">
        <v>4.8709989680690099E-4</v>
      </c>
      <c r="AD29" s="1">
        <v>8.7020760705326401E-3</v>
      </c>
      <c r="AE29" s="1">
        <v>2.3723292463617E-3</v>
      </c>
    </row>
    <row r="30" spans="1:31" x14ac:dyDescent="0.25">
      <c r="A30" s="3" t="s">
        <v>29</v>
      </c>
      <c r="B30" s="1">
        <v>1.4750171825624E-3</v>
      </c>
      <c r="C30" s="1">
        <v>4.4790860756463999E-3</v>
      </c>
      <c r="D30" s="1">
        <v>4.7472682237540201E-4</v>
      </c>
      <c r="E30" s="1">
        <v>2.1470640132446998E-3</v>
      </c>
      <c r="F30" s="1">
        <v>2.5406557116253998E-3</v>
      </c>
      <c r="G30" s="1">
        <v>8.2860710139733493E-3</v>
      </c>
      <c r="H30" s="1">
        <v>2.042681384555E-3</v>
      </c>
      <c r="I30" s="1">
        <v>3.1912448734874498E-2</v>
      </c>
      <c r="J30" s="1">
        <v>1.1309851225567699E-2</v>
      </c>
      <c r="K30" s="1">
        <v>6.8676464222188396E-3</v>
      </c>
      <c r="L30" s="1">
        <v>2.32861694846799E-4</v>
      </c>
      <c r="M30" s="1">
        <v>4.9773258168269905E-4</v>
      </c>
      <c r="N30" s="1">
        <v>1.237060389286E-3</v>
      </c>
      <c r="O30" s="1">
        <v>7.7640335971464296E-3</v>
      </c>
      <c r="P30" s="1">
        <v>1.336413700404E-3</v>
      </c>
      <c r="Q30" s="1">
        <v>3.9318663159543001E-3</v>
      </c>
      <c r="R30" s="1">
        <v>8.4563235952959904E-4</v>
      </c>
      <c r="S30" s="1">
        <v>8.6201825845462696E-3</v>
      </c>
      <c r="T30" s="1">
        <v>1.163257166206E-2</v>
      </c>
      <c r="U30" s="1">
        <v>1.0821613721600501E-2</v>
      </c>
      <c r="V30" s="1">
        <v>5.4248207477217E-3</v>
      </c>
      <c r="W30" s="1">
        <v>8.2836293660275995E-3</v>
      </c>
      <c r="X30" s="1">
        <v>8.0141699416373998E-3</v>
      </c>
      <c r="Y30" s="1">
        <v>6.0695802554569999E-3</v>
      </c>
      <c r="Z30" s="1">
        <v>1.34355863219827E-2</v>
      </c>
      <c r="AA30" s="1">
        <v>7.6597119634475002E-3</v>
      </c>
      <c r="AB30" s="1">
        <v>4.8709989680690099E-4</v>
      </c>
      <c r="AC30" s="7">
        <v>0</v>
      </c>
      <c r="AD30" s="1">
        <v>9.1891759673395391E-3</v>
      </c>
      <c r="AE30" s="1">
        <v>1.8852293495548E-3</v>
      </c>
    </row>
    <row r="31" spans="1:31" x14ac:dyDescent="0.25">
      <c r="A31" s="3" t="s">
        <v>30</v>
      </c>
      <c r="B31" s="1">
        <v>7.7141587847771396E-3</v>
      </c>
      <c r="C31" s="1">
        <v>4.7100898916931401E-3</v>
      </c>
      <c r="D31" s="1">
        <v>8.7144491449641405E-3</v>
      </c>
      <c r="E31" s="1">
        <v>7.0421119540948398E-3</v>
      </c>
      <c r="F31" s="1">
        <v>1.17298316789649E-2</v>
      </c>
      <c r="G31" s="1">
        <v>9.03104953366189E-4</v>
      </c>
      <c r="H31" s="1">
        <v>7.14649458278454E-3</v>
      </c>
      <c r="I31" s="1">
        <v>2.2723272767535E-2</v>
      </c>
      <c r="J31" s="1">
        <v>2.1206752582281201E-3</v>
      </c>
      <c r="K31" s="1">
        <v>2.3215295451207E-3</v>
      </c>
      <c r="L31" s="1">
        <v>9.4220376621863399E-3</v>
      </c>
      <c r="M31" s="1">
        <v>8.6914433856568399E-3</v>
      </c>
      <c r="N31" s="1">
        <v>7.95211557805354E-3</v>
      </c>
      <c r="O31" s="1">
        <v>1.42514237019311E-3</v>
      </c>
      <c r="P31" s="1">
        <v>7.8527622669355406E-3</v>
      </c>
      <c r="Q31" s="1">
        <v>5.25730965138524E-3</v>
      </c>
      <c r="R31" s="1">
        <v>1.00348083268691E-2</v>
      </c>
      <c r="S31" s="1">
        <v>5.6899338279327001E-4</v>
      </c>
      <c r="T31" s="1">
        <v>2.0821747629399499E-2</v>
      </c>
      <c r="U31" s="1">
        <v>2.001078968894E-2</v>
      </c>
      <c r="V31" s="1">
        <v>1.46139967150612E-2</v>
      </c>
      <c r="W31" s="1">
        <v>1.7472805333367099E-2</v>
      </c>
      <c r="X31" s="1">
        <v>1.7203345908976899E-2</v>
      </c>
      <c r="Y31" s="1">
        <v>1.52587562227965E-2</v>
      </c>
      <c r="Z31" s="1">
        <v>2.2624762289322201E-2</v>
      </c>
      <c r="AA31" s="1">
        <v>1.6848887930786999E-2</v>
      </c>
      <c r="AB31" s="1">
        <v>8.7020760705326401E-3</v>
      </c>
      <c r="AC31" s="1">
        <v>9.1891759673395391E-3</v>
      </c>
      <c r="AD31" s="7">
        <v>0</v>
      </c>
      <c r="AE31" s="1">
        <v>1.10744053168943E-2</v>
      </c>
    </row>
    <row r="32" spans="1:31" x14ac:dyDescent="0.25">
      <c r="A32" s="3" t="s">
        <v>31</v>
      </c>
      <c r="B32" s="1">
        <v>3.3602465321172E-3</v>
      </c>
      <c r="C32" s="1">
        <v>6.3643154252012004E-3</v>
      </c>
      <c r="D32" s="1">
        <v>2.3599561719302E-3</v>
      </c>
      <c r="E32" s="1">
        <v>4.0322933627994998E-3</v>
      </c>
      <c r="F32" s="1">
        <v>6.5542636207060003E-4</v>
      </c>
      <c r="G32" s="1">
        <v>1.01713003635282E-2</v>
      </c>
      <c r="H32" s="1">
        <v>3.9279107341097996E-3</v>
      </c>
      <c r="I32" s="1">
        <v>3.3797678084429301E-2</v>
      </c>
      <c r="J32" s="1">
        <v>1.31950805751225E-2</v>
      </c>
      <c r="K32" s="1">
        <v>8.75287577177364E-3</v>
      </c>
      <c r="L32" s="1">
        <v>1.6523676547079999E-3</v>
      </c>
      <c r="M32" s="1">
        <v>2.3829619312375002E-3</v>
      </c>
      <c r="N32" s="1">
        <v>3.1222897388408001E-3</v>
      </c>
      <c r="O32" s="1">
        <v>9.64926294670123E-3</v>
      </c>
      <c r="P32" s="1">
        <v>3.2216430499587998E-3</v>
      </c>
      <c r="Q32" s="1">
        <v>5.8170956655090996E-3</v>
      </c>
      <c r="R32" s="1">
        <v>1.0395969900251999E-3</v>
      </c>
      <c r="S32" s="1">
        <v>1.05054119341011E-2</v>
      </c>
      <c r="T32" s="1">
        <v>9.7473423125051997E-3</v>
      </c>
      <c r="U32" s="1">
        <v>8.9363843720457001E-3</v>
      </c>
      <c r="V32" s="1">
        <v>3.5395913981669E-3</v>
      </c>
      <c r="W32" s="1">
        <v>6.3984000164728E-3</v>
      </c>
      <c r="X32" s="1">
        <v>6.1289405920826002E-3</v>
      </c>
      <c r="Y32" s="1">
        <v>4.1843509059022004E-3</v>
      </c>
      <c r="Z32" s="1">
        <v>1.15503569724279E-2</v>
      </c>
      <c r="AA32" s="1">
        <v>5.7744826138926997E-3</v>
      </c>
      <c r="AB32" s="1">
        <v>2.3723292463617E-3</v>
      </c>
      <c r="AC32" s="1">
        <v>1.8852293495548E-3</v>
      </c>
      <c r="AD32" s="1">
        <v>1.10744053168943E-2</v>
      </c>
      <c r="AE32" s="7">
        <v>0</v>
      </c>
    </row>
    <row r="35" spans="1:31" x14ac:dyDescent="0.25">
      <c r="B35" s="4" t="s">
        <v>34</v>
      </c>
      <c r="C35" s="1">
        <f>SUM(B3:AE32)/870</f>
        <v>9.2020028146372803E-3</v>
      </c>
    </row>
    <row r="36" spans="1:31" x14ac:dyDescent="0.25"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  <c r="U36" s="3" t="s">
        <v>21</v>
      </c>
      <c r="V36" s="3" t="s">
        <v>22</v>
      </c>
      <c r="W36" s="3" t="s">
        <v>23</v>
      </c>
      <c r="X36" s="3" t="s">
        <v>24</v>
      </c>
      <c r="Y36" s="3" t="s">
        <v>25</v>
      </c>
      <c r="Z36" s="3" t="s">
        <v>26</v>
      </c>
      <c r="AA36" s="3" t="s">
        <v>27</v>
      </c>
      <c r="AB36" s="3" t="s">
        <v>28</v>
      </c>
      <c r="AC36" s="3" t="s">
        <v>29</v>
      </c>
      <c r="AD36" s="3" t="s">
        <v>30</v>
      </c>
      <c r="AE36" s="3" t="s">
        <v>31</v>
      </c>
    </row>
    <row r="37" spans="1:31" x14ac:dyDescent="0.25">
      <c r="A37" s="3" t="s">
        <v>2</v>
      </c>
      <c r="B37" s="1">
        <f>IF(B3&gt;$C$35,1,0)</f>
        <v>0</v>
      </c>
      <c r="C37" s="1">
        <f t="shared" ref="C37:AE37" si="0">IF(C3&gt;$C$35,1,0)</f>
        <v>0</v>
      </c>
      <c r="D37" s="1">
        <f t="shared" si="0"/>
        <v>0</v>
      </c>
      <c r="E37" s="1">
        <f t="shared" si="0"/>
        <v>0</v>
      </c>
      <c r="F37" s="1">
        <f t="shared" si="0"/>
        <v>0</v>
      </c>
      <c r="G37" s="1">
        <f t="shared" si="0"/>
        <v>0</v>
      </c>
      <c r="H37" s="1">
        <f t="shared" si="0"/>
        <v>0</v>
      </c>
      <c r="I37" s="1">
        <f t="shared" si="0"/>
        <v>1</v>
      </c>
      <c r="J37" s="1">
        <f t="shared" si="0"/>
        <v>1</v>
      </c>
      <c r="K37" s="1">
        <f t="shared" si="0"/>
        <v>0</v>
      </c>
      <c r="L37" s="1">
        <f t="shared" si="0"/>
        <v>0</v>
      </c>
      <c r="M37" s="1">
        <f t="shared" si="0"/>
        <v>0</v>
      </c>
      <c r="N37" s="1">
        <f t="shared" si="0"/>
        <v>0</v>
      </c>
      <c r="O37" s="1">
        <f t="shared" si="0"/>
        <v>0</v>
      </c>
      <c r="P37" s="1">
        <f t="shared" si="0"/>
        <v>0</v>
      </c>
      <c r="Q37" s="1">
        <f t="shared" si="0"/>
        <v>0</v>
      </c>
      <c r="R37" s="1">
        <f t="shared" si="0"/>
        <v>0</v>
      </c>
      <c r="S37" s="1">
        <f t="shared" si="0"/>
        <v>0</v>
      </c>
      <c r="T37" s="1">
        <f t="shared" si="0"/>
        <v>1</v>
      </c>
      <c r="U37" s="1">
        <f t="shared" si="0"/>
        <v>1</v>
      </c>
      <c r="V37" s="1">
        <f t="shared" si="0"/>
        <v>0</v>
      </c>
      <c r="W37" s="1">
        <f t="shared" si="0"/>
        <v>1</v>
      </c>
      <c r="X37" s="1">
        <f t="shared" si="0"/>
        <v>1</v>
      </c>
      <c r="Y37" s="1">
        <f t="shared" si="0"/>
        <v>0</v>
      </c>
      <c r="Z37" s="1">
        <f t="shared" si="0"/>
        <v>1</v>
      </c>
      <c r="AA37" s="1">
        <f t="shared" si="0"/>
        <v>0</v>
      </c>
      <c r="AB37" s="1">
        <f t="shared" si="0"/>
        <v>0</v>
      </c>
      <c r="AC37" s="1">
        <f t="shared" si="0"/>
        <v>0</v>
      </c>
      <c r="AD37" s="1">
        <f t="shared" si="0"/>
        <v>0</v>
      </c>
      <c r="AE37" s="1">
        <f t="shared" si="0"/>
        <v>0</v>
      </c>
    </row>
    <row r="38" spans="1:31" x14ac:dyDescent="0.25">
      <c r="A38" s="3" t="s">
        <v>3</v>
      </c>
      <c r="B38" s="1">
        <f t="shared" ref="B38:B66" si="1">IF(B4&gt;$C$35,1,0)</f>
        <v>0</v>
      </c>
      <c r="C38" s="1">
        <f t="shared" ref="C38:AE38" si="2">IF(C4&gt;$C$35,1,0)</f>
        <v>0</v>
      </c>
      <c r="D38" s="1">
        <f t="shared" si="2"/>
        <v>0</v>
      </c>
      <c r="E38" s="1">
        <f t="shared" si="2"/>
        <v>0</v>
      </c>
      <c r="F38" s="1">
        <f t="shared" si="2"/>
        <v>0</v>
      </c>
      <c r="G38" s="1">
        <f t="shared" si="2"/>
        <v>0</v>
      </c>
      <c r="H38" s="1">
        <f t="shared" si="2"/>
        <v>0</v>
      </c>
      <c r="I38" s="1">
        <f t="shared" si="2"/>
        <v>1</v>
      </c>
      <c r="J38" s="1">
        <f t="shared" si="2"/>
        <v>0</v>
      </c>
      <c r="K38" s="1">
        <f t="shared" si="2"/>
        <v>0</v>
      </c>
      <c r="L38" s="1">
        <f t="shared" si="2"/>
        <v>0</v>
      </c>
      <c r="M38" s="1">
        <f t="shared" si="2"/>
        <v>0</v>
      </c>
      <c r="N38" s="1">
        <f t="shared" si="2"/>
        <v>0</v>
      </c>
      <c r="O38" s="1">
        <f t="shared" si="2"/>
        <v>0</v>
      </c>
      <c r="P38" s="1">
        <f t="shared" si="2"/>
        <v>0</v>
      </c>
      <c r="Q38" s="1">
        <f t="shared" si="2"/>
        <v>0</v>
      </c>
      <c r="R38" s="1">
        <f t="shared" si="2"/>
        <v>0</v>
      </c>
      <c r="S38" s="1">
        <f t="shared" si="2"/>
        <v>0</v>
      </c>
      <c r="T38" s="1">
        <f t="shared" si="2"/>
        <v>1</v>
      </c>
      <c r="U38" s="1">
        <f t="shared" si="2"/>
        <v>1</v>
      </c>
      <c r="V38" s="1">
        <f t="shared" si="2"/>
        <v>1</v>
      </c>
      <c r="W38" s="1">
        <f t="shared" si="2"/>
        <v>1</v>
      </c>
      <c r="X38" s="1">
        <f t="shared" si="2"/>
        <v>1</v>
      </c>
      <c r="Y38" s="1">
        <f t="shared" si="2"/>
        <v>1</v>
      </c>
      <c r="Z38" s="1">
        <f t="shared" si="2"/>
        <v>1</v>
      </c>
      <c r="AA38" s="1">
        <f t="shared" si="2"/>
        <v>1</v>
      </c>
      <c r="AB38" s="1">
        <f t="shared" si="2"/>
        <v>0</v>
      </c>
      <c r="AC38" s="1">
        <f t="shared" si="2"/>
        <v>0</v>
      </c>
      <c r="AD38" s="1">
        <f t="shared" si="2"/>
        <v>0</v>
      </c>
      <c r="AE38" s="1">
        <f t="shared" si="2"/>
        <v>0</v>
      </c>
    </row>
    <row r="39" spans="1:31" x14ac:dyDescent="0.25">
      <c r="A39" s="3" t="s">
        <v>4</v>
      </c>
      <c r="B39" s="1">
        <f t="shared" si="1"/>
        <v>0</v>
      </c>
      <c r="C39" s="1">
        <f t="shared" ref="C39:AE39" si="3">IF(C5&gt;$C$35,1,0)</f>
        <v>0</v>
      </c>
      <c r="D39" s="1">
        <f t="shared" si="3"/>
        <v>0</v>
      </c>
      <c r="E39" s="1">
        <f t="shared" si="3"/>
        <v>0</v>
      </c>
      <c r="F39" s="1">
        <f t="shared" si="3"/>
        <v>0</v>
      </c>
      <c r="G39" s="1">
        <f t="shared" si="3"/>
        <v>0</v>
      </c>
      <c r="H39" s="1">
        <f t="shared" si="3"/>
        <v>0</v>
      </c>
      <c r="I39" s="1">
        <f t="shared" si="3"/>
        <v>1</v>
      </c>
      <c r="J39" s="1">
        <f t="shared" si="3"/>
        <v>1</v>
      </c>
      <c r="K39" s="1">
        <f t="shared" si="3"/>
        <v>0</v>
      </c>
      <c r="L39" s="1">
        <f t="shared" si="3"/>
        <v>0</v>
      </c>
      <c r="M39" s="1">
        <f t="shared" si="3"/>
        <v>0</v>
      </c>
      <c r="N39" s="1">
        <f t="shared" si="3"/>
        <v>0</v>
      </c>
      <c r="O39" s="1">
        <f t="shared" si="3"/>
        <v>0</v>
      </c>
      <c r="P39" s="1">
        <f t="shared" si="3"/>
        <v>0</v>
      </c>
      <c r="Q39" s="1">
        <f t="shared" si="3"/>
        <v>0</v>
      </c>
      <c r="R39" s="1">
        <f t="shared" si="3"/>
        <v>0</v>
      </c>
      <c r="S39" s="1">
        <f t="shared" si="3"/>
        <v>0</v>
      </c>
      <c r="T39" s="1">
        <f t="shared" si="3"/>
        <v>1</v>
      </c>
      <c r="U39" s="1">
        <f t="shared" si="3"/>
        <v>1</v>
      </c>
      <c r="V39" s="1">
        <f t="shared" si="3"/>
        <v>0</v>
      </c>
      <c r="W39" s="1">
        <f t="shared" si="3"/>
        <v>0</v>
      </c>
      <c r="X39" s="1">
        <f t="shared" si="3"/>
        <v>0</v>
      </c>
      <c r="Y39" s="1">
        <f t="shared" si="3"/>
        <v>0</v>
      </c>
      <c r="Z39" s="1">
        <f t="shared" si="3"/>
        <v>1</v>
      </c>
      <c r="AA39" s="1">
        <f t="shared" si="3"/>
        <v>0</v>
      </c>
      <c r="AB39" s="1">
        <f t="shared" si="3"/>
        <v>0</v>
      </c>
      <c r="AC39" s="1">
        <f t="shared" si="3"/>
        <v>0</v>
      </c>
      <c r="AD39" s="1">
        <f t="shared" si="3"/>
        <v>0</v>
      </c>
      <c r="AE39" s="1">
        <f t="shared" si="3"/>
        <v>0</v>
      </c>
    </row>
    <row r="40" spans="1:31" x14ac:dyDescent="0.25">
      <c r="A40" s="3" t="s">
        <v>5</v>
      </c>
      <c r="B40" s="1">
        <f t="shared" si="1"/>
        <v>0</v>
      </c>
      <c r="C40" s="1">
        <f t="shared" ref="C40:AE40" si="4">IF(C6&gt;$C$35,1,0)</f>
        <v>0</v>
      </c>
      <c r="D40" s="1">
        <f t="shared" si="4"/>
        <v>0</v>
      </c>
      <c r="E40" s="1">
        <f t="shared" si="4"/>
        <v>0</v>
      </c>
      <c r="F40" s="1">
        <f t="shared" si="4"/>
        <v>0</v>
      </c>
      <c r="G40" s="1">
        <f t="shared" si="4"/>
        <v>0</v>
      </c>
      <c r="H40" s="1">
        <f t="shared" si="4"/>
        <v>0</v>
      </c>
      <c r="I40" s="1">
        <f t="shared" si="4"/>
        <v>1</v>
      </c>
      <c r="J40" s="1">
        <f t="shared" si="4"/>
        <v>0</v>
      </c>
      <c r="K40" s="1">
        <f t="shared" si="4"/>
        <v>0</v>
      </c>
      <c r="L40" s="1">
        <f t="shared" si="4"/>
        <v>0</v>
      </c>
      <c r="M40" s="1">
        <f t="shared" si="4"/>
        <v>0</v>
      </c>
      <c r="N40" s="1">
        <f t="shared" si="4"/>
        <v>0</v>
      </c>
      <c r="O40" s="1">
        <f t="shared" si="4"/>
        <v>0</v>
      </c>
      <c r="P40" s="1">
        <f t="shared" si="4"/>
        <v>0</v>
      </c>
      <c r="Q40" s="1">
        <f t="shared" si="4"/>
        <v>0</v>
      </c>
      <c r="R40" s="1">
        <f t="shared" si="4"/>
        <v>0</v>
      </c>
      <c r="S40" s="1">
        <f t="shared" si="4"/>
        <v>0</v>
      </c>
      <c r="T40" s="1">
        <f t="shared" si="4"/>
        <v>1</v>
      </c>
      <c r="U40" s="1">
        <f t="shared" si="4"/>
        <v>1</v>
      </c>
      <c r="V40" s="1">
        <f t="shared" si="4"/>
        <v>0</v>
      </c>
      <c r="W40" s="1">
        <f t="shared" si="4"/>
        <v>1</v>
      </c>
      <c r="X40" s="1">
        <f t="shared" si="4"/>
        <v>1</v>
      </c>
      <c r="Y40" s="1">
        <f t="shared" si="4"/>
        <v>0</v>
      </c>
      <c r="Z40" s="1">
        <f t="shared" si="4"/>
        <v>1</v>
      </c>
      <c r="AA40" s="1">
        <f t="shared" si="4"/>
        <v>1</v>
      </c>
      <c r="AB40" s="1">
        <f t="shared" si="4"/>
        <v>0</v>
      </c>
      <c r="AC40" s="1">
        <f t="shared" si="4"/>
        <v>0</v>
      </c>
      <c r="AD40" s="1">
        <f t="shared" si="4"/>
        <v>0</v>
      </c>
      <c r="AE40" s="1">
        <f t="shared" si="4"/>
        <v>0</v>
      </c>
    </row>
    <row r="41" spans="1:31" x14ac:dyDescent="0.25">
      <c r="A41" s="3" t="s">
        <v>6</v>
      </c>
      <c r="B41" s="1">
        <f t="shared" si="1"/>
        <v>0</v>
      </c>
      <c r="C41" s="1">
        <f t="shared" ref="C41:AE41" si="5">IF(C7&gt;$C$35,1,0)</f>
        <v>0</v>
      </c>
      <c r="D41" s="1">
        <f t="shared" si="5"/>
        <v>0</v>
      </c>
      <c r="E41" s="1">
        <f t="shared" si="5"/>
        <v>0</v>
      </c>
      <c r="F41" s="1">
        <f t="shared" si="5"/>
        <v>0</v>
      </c>
      <c r="G41" s="1">
        <f t="shared" si="5"/>
        <v>1</v>
      </c>
      <c r="H41" s="1">
        <f t="shared" si="5"/>
        <v>0</v>
      </c>
      <c r="I41" s="1">
        <f t="shared" si="5"/>
        <v>1</v>
      </c>
      <c r="J41" s="1">
        <f t="shared" si="5"/>
        <v>1</v>
      </c>
      <c r="K41" s="1">
        <f t="shared" si="5"/>
        <v>1</v>
      </c>
      <c r="L41" s="1">
        <f t="shared" si="5"/>
        <v>0</v>
      </c>
      <c r="M41" s="1">
        <f t="shared" si="5"/>
        <v>0</v>
      </c>
      <c r="N41" s="1">
        <f t="shared" si="5"/>
        <v>0</v>
      </c>
      <c r="O41" s="1">
        <f t="shared" si="5"/>
        <v>1</v>
      </c>
      <c r="P41" s="1">
        <f t="shared" si="5"/>
        <v>0</v>
      </c>
      <c r="Q41" s="1">
        <f t="shared" si="5"/>
        <v>0</v>
      </c>
      <c r="R41" s="1">
        <f t="shared" si="5"/>
        <v>0</v>
      </c>
      <c r="S41" s="1">
        <f t="shared" si="5"/>
        <v>1</v>
      </c>
      <c r="T41" s="1">
        <f t="shared" si="5"/>
        <v>0</v>
      </c>
      <c r="U41" s="1">
        <f t="shared" si="5"/>
        <v>0</v>
      </c>
      <c r="V41" s="1">
        <f t="shared" si="5"/>
        <v>0</v>
      </c>
      <c r="W41" s="1">
        <f t="shared" si="5"/>
        <v>0</v>
      </c>
      <c r="X41" s="1">
        <f t="shared" si="5"/>
        <v>0</v>
      </c>
      <c r="Y41" s="1">
        <f t="shared" si="5"/>
        <v>0</v>
      </c>
      <c r="Z41" s="1">
        <f t="shared" si="5"/>
        <v>1</v>
      </c>
      <c r="AA41" s="1">
        <f t="shared" si="5"/>
        <v>0</v>
      </c>
      <c r="AB41" s="1">
        <f t="shared" si="5"/>
        <v>0</v>
      </c>
      <c r="AC41" s="1">
        <f t="shared" si="5"/>
        <v>0</v>
      </c>
      <c r="AD41" s="1">
        <f t="shared" si="5"/>
        <v>1</v>
      </c>
      <c r="AE41" s="1">
        <f t="shared" si="5"/>
        <v>0</v>
      </c>
    </row>
    <row r="42" spans="1:31" x14ac:dyDescent="0.25">
      <c r="A42" s="3" t="s">
        <v>7</v>
      </c>
      <c r="B42" s="1">
        <f t="shared" si="1"/>
        <v>0</v>
      </c>
      <c r="C42" s="1">
        <f t="shared" ref="C42:AE42" si="6">IF(C8&gt;$C$35,1,0)</f>
        <v>0</v>
      </c>
      <c r="D42" s="1">
        <f t="shared" si="6"/>
        <v>0</v>
      </c>
      <c r="E42" s="1">
        <f t="shared" si="6"/>
        <v>0</v>
      </c>
      <c r="F42" s="1">
        <f t="shared" si="6"/>
        <v>1</v>
      </c>
      <c r="G42" s="1">
        <f t="shared" si="6"/>
        <v>0</v>
      </c>
      <c r="H42" s="1">
        <f t="shared" si="6"/>
        <v>0</v>
      </c>
      <c r="I42" s="1">
        <f t="shared" si="6"/>
        <v>1</v>
      </c>
      <c r="J42" s="1">
        <f t="shared" si="6"/>
        <v>0</v>
      </c>
      <c r="K42" s="1">
        <f t="shared" si="6"/>
        <v>0</v>
      </c>
      <c r="L42" s="1">
        <f t="shared" si="6"/>
        <v>0</v>
      </c>
      <c r="M42" s="1">
        <f t="shared" si="6"/>
        <v>0</v>
      </c>
      <c r="N42" s="1">
        <f t="shared" si="6"/>
        <v>0</v>
      </c>
      <c r="O42" s="1">
        <f t="shared" si="6"/>
        <v>0</v>
      </c>
      <c r="P42" s="1">
        <f t="shared" si="6"/>
        <v>0</v>
      </c>
      <c r="Q42" s="1">
        <f t="shared" si="6"/>
        <v>0</v>
      </c>
      <c r="R42" s="1">
        <f t="shared" si="6"/>
        <v>0</v>
      </c>
      <c r="S42" s="1">
        <f t="shared" si="6"/>
        <v>0</v>
      </c>
      <c r="T42" s="1">
        <f t="shared" si="6"/>
        <v>1</v>
      </c>
      <c r="U42" s="1">
        <f t="shared" si="6"/>
        <v>1</v>
      </c>
      <c r="V42" s="1">
        <f t="shared" si="6"/>
        <v>1</v>
      </c>
      <c r="W42" s="1">
        <f t="shared" si="6"/>
        <v>1</v>
      </c>
      <c r="X42" s="1">
        <f t="shared" si="6"/>
        <v>1</v>
      </c>
      <c r="Y42" s="1">
        <f t="shared" si="6"/>
        <v>1</v>
      </c>
      <c r="Z42" s="1">
        <f t="shared" si="6"/>
        <v>1</v>
      </c>
      <c r="AA42" s="1">
        <f t="shared" si="6"/>
        <v>1</v>
      </c>
      <c r="AB42" s="1">
        <f t="shared" si="6"/>
        <v>0</v>
      </c>
      <c r="AC42" s="1">
        <f t="shared" si="6"/>
        <v>0</v>
      </c>
      <c r="AD42" s="1">
        <f t="shared" si="6"/>
        <v>0</v>
      </c>
      <c r="AE42" s="1">
        <f t="shared" si="6"/>
        <v>1</v>
      </c>
    </row>
    <row r="43" spans="1:31" x14ac:dyDescent="0.25">
      <c r="A43" s="3" t="s">
        <v>8</v>
      </c>
      <c r="B43" s="1">
        <f t="shared" si="1"/>
        <v>0</v>
      </c>
      <c r="C43" s="1">
        <f t="shared" ref="C43:AE43" si="7">IF(C9&gt;$C$35,1,0)</f>
        <v>0</v>
      </c>
      <c r="D43" s="1">
        <f t="shared" si="7"/>
        <v>0</v>
      </c>
      <c r="E43" s="1">
        <f t="shared" si="7"/>
        <v>0</v>
      </c>
      <c r="F43" s="1">
        <f t="shared" si="7"/>
        <v>0</v>
      </c>
      <c r="G43" s="1">
        <f t="shared" si="7"/>
        <v>0</v>
      </c>
      <c r="H43" s="1">
        <f t="shared" si="7"/>
        <v>0</v>
      </c>
      <c r="I43" s="1">
        <f t="shared" si="7"/>
        <v>1</v>
      </c>
      <c r="J43" s="1">
        <f t="shared" si="7"/>
        <v>1</v>
      </c>
      <c r="K43" s="1">
        <f t="shared" si="7"/>
        <v>0</v>
      </c>
      <c r="L43" s="1">
        <f t="shared" si="7"/>
        <v>0</v>
      </c>
      <c r="M43" s="1">
        <f t="shared" si="7"/>
        <v>0</v>
      </c>
      <c r="N43" s="1">
        <f t="shared" si="7"/>
        <v>0</v>
      </c>
      <c r="O43" s="1">
        <f t="shared" si="7"/>
        <v>0</v>
      </c>
      <c r="P43" s="1">
        <f t="shared" si="7"/>
        <v>0</v>
      </c>
      <c r="Q43" s="1">
        <f t="shared" si="7"/>
        <v>0</v>
      </c>
      <c r="R43" s="1">
        <f t="shared" si="7"/>
        <v>0</v>
      </c>
      <c r="S43" s="1">
        <f t="shared" si="7"/>
        <v>0</v>
      </c>
      <c r="T43" s="1">
        <f t="shared" si="7"/>
        <v>1</v>
      </c>
      <c r="U43" s="1">
        <f t="shared" si="7"/>
        <v>1</v>
      </c>
      <c r="V43" s="1">
        <f t="shared" si="7"/>
        <v>0</v>
      </c>
      <c r="W43" s="1">
        <f t="shared" si="7"/>
        <v>1</v>
      </c>
      <c r="X43" s="1">
        <f t="shared" si="7"/>
        <v>1</v>
      </c>
      <c r="Y43" s="1">
        <f t="shared" si="7"/>
        <v>0</v>
      </c>
      <c r="Z43" s="1">
        <f t="shared" si="7"/>
        <v>1</v>
      </c>
      <c r="AA43" s="1">
        <f t="shared" si="7"/>
        <v>1</v>
      </c>
      <c r="AB43" s="1">
        <f t="shared" si="7"/>
        <v>0</v>
      </c>
      <c r="AC43" s="1">
        <f t="shared" si="7"/>
        <v>0</v>
      </c>
      <c r="AD43" s="1">
        <f t="shared" si="7"/>
        <v>0</v>
      </c>
      <c r="AE43" s="1">
        <f t="shared" si="7"/>
        <v>0</v>
      </c>
    </row>
    <row r="44" spans="1:31" x14ac:dyDescent="0.25">
      <c r="A44" s="3" t="s">
        <v>9</v>
      </c>
      <c r="B44" s="1">
        <f t="shared" si="1"/>
        <v>1</v>
      </c>
      <c r="C44" s="1">
        <f t="shared" ref="C44:AE44" si="8">IF(C10&gt;$C$35,1,0)</f>
        <v>1</v>
      </c>
      <c r="D44" s="1">
        <f t="shared" si="8"/>
        <v>1</v>
      </c>
      <c r="E44" s="1">
        <f t="shared" si="8"/>
        <v>1</v>
      </c>
      <c r="F44" s="1">
        <f t="shared" si="8"/>
        <v>1</v>
      </c>
      <c r="G44" s="1">
        <f t="shared" si="8"/>
        <v>1</v>
      </c>
      <c r="H44" s="1">
        <f t="shared" si="8"/>
        <v>1</v>
      </c>
      <c r="I44" s="1">
        <f t="shared" si="8"/>
        <v>0</v>
      </c>
      <c r="J44" s="1">
        <f t="shared" si="8"/>
        <v>1</v>
      </c>
      <c r="K44" s="1">
        <f t="shared" si="8"/>
        <v>1</v>
      </c>
      <c r="L44" s="1">
        <f t="shared" si="8"/>
        <v>1</v>
      </c>
      <c r="M44" s="1">
        <f t="shared" si="8"/>
        <v>1</v>
      </c>
      <c r="N44" s="1">
        <f t="shared" si="8"/>
        <v>1</v>
      </c>
      <c r="O44" s="1">
        <f t="shared" si="8"/>
        <v>1</v>
      </c>
      <c r="P44" s="1">
        <f t="shared" si="8"/>
        <v>1</v>
      </c>
      <c r="Q44" s="1">
        <f t="shared" si="8"/>
        <v>1</v>
      </c>
      <c r="R44" s="1">
        <f t="shared" si="8"/>
        <v>1</v>
      </c>
      <c r="S44" s="1">
        <f t="shared" si="8"/>
        <v>1</v>
      </c>
      <c r="T44" s="1">
        <f t="shared" si="8"/>
        <v>1</v>
      </c>
      <c r="U44" s="1">
        <f t="shared" si="8"/>
        <v>1</v>
      </c>
      <c r="V44" s="1">
        <f t="shared" si="8"/>
        <v>1</v>
      </c>
      <c r="W44" s="1">
        <f t="shared" si="8"/>
        <v>1</v>
      </c>
      <c r="X44" s="1">
        <f t="shared" si="8"/>
        <v>1</v>
      </c>
      <c r="Y44" s="1">
        <f t="shared" si="8"/>
        <v>1</v>
      </c>
      <c r="Z44" s="1">
        <f t="shared" si="8"/>
        <v>1</v>
      </c>
      <c r="AA44" s="1">
        <f t="shared" si="8"/>
        <v>1</v>
      </c>
      <c r="AB44" s="1">
        <f t="shared" si="8"/>
        <v>1</v>
      </c>
      <c r="AC44" s="1">
        <f t="shared" si="8"/>
        <v>1</v>
      </c>
      <c r="AD44" s="1">
        <f t="shared" si="8"/>
        <v>1</v>
      </c>
      <c r="AE44" s="1">
        <f t="shared" si="8"/>
        <v>1</v>
      </c>
    </row>
    <row r="45" spans="1:31" x14ac:dyDescent="0.25">
      <c r="A45" s="3" t="s">
        <v>10</v>
      </c>
      <c r="B45" s="1">
        <f t="shared" si="1"/>
        <v>1</v>
      </c>
      <c r="C45" s="1">
        <f t="shared" ref="C45:AE45" si="9">IF(C11&gt;$C$35,1,0)</f>
        <v>0</v>
      </c>
      <c r="D45" s="1">
        <f t="shared" si="9"/>
        <v>1</v>
      </c>
      <c r="E45" s="1">
        <f t="shared" si="9"/>
        <v>0</v>
      </c>
      <c r="F45" s="1">
        <f t="shared" si="9"/>
        <v>1</v>
      </c>
      <c r="G45" s="1">
        <f t="shared" si="9"/>
        <v>0</v>
      </c>
      <c r="H45" s="1">
        <f t="shared" si="9"/>
        <v>1</v>
      </c>
      <c r="I45" s="1">
        <f t="shared" si="9"/>
        <v>1</v>
      </c>
      <c r="J45" s="1">
        <f t="shared" si="9"/>
        <v>0</v>
      </c>
      <c r="K45" s="1">
        <f t="shared" si="9"/>
        <v>0</v>
      </c>
      <c r="L45" s="1">
        <f t="shared" si="9"/>
        <v>1</v>
      </c>
      <c r="M45" s="1">
        <f t="shared" si="9"/>
        <v>1</v>
      </c>
      <c r="N45" s="1">
        <f t="shared" si="9"/>
        <v>1</v>
      </c>
      <c r="O45" s="1">
        <f t="shared" si="9"/>
        <v>0</v>
      </c>
      <c r="P45" s="1">
        <f t="shared" si="9"/>
        <v>1</v>
      </c>
      <c r="Q45" s="1">
        <f t="shared" si="9"/>
        <v>0</v>
      </c>
      <c r="R45" s="1">
        <f t="shared" si="9"/>
        <v>1</v>
      </c>
      <c r="S45" s="1">
        <f t="shared" si="9"/>
        <v>0</v>
      </c>
      <c r="T45" s="1">
        <f t="shared" si="9"/>
        <v>1</v>
      </c>
      <c r="U45" s="1">
        <f t="shared" si="9"/>
        <v>1</v>
      </c>
      <c r="V45" s="1">
        <f t="shared" si="9"/>
        <v>1</v>
      </c>
      <c r="W45" s="1">
        <f t="shared" si="9"/>
        <v>1</v>
      </c>
      <c r="X45" s="1">
        <f t="shared" si="9"/>
        <v>1</v>
      </c>
      <c r="Y45" s="1">
        <f t="shared" si="9"/>
        <v>1</v>
      </c>
      <c r="Z45" s="1">
        <f t="shared" si="9"/>
        <v>1</v>
      </c>
      <c r="AA45" s="1">
        <f t="shared" si="9"/>
        <v>1</v>
      </c>
      <c r="AB45" s="1">
        <f t="shared" si="9"/>
        <v>1</v>
      </c>
      <c r="AC45" s="1">
        <f t="shared" si="9"/>
        <v>1</v>
      </c>
      <c r="AD45" s="1">
        <f t="shared" si="9"/>
        <v>0</v>
      </c>
      <c r="AE45" s="1">
        <f t="shared" si="9"/>
        <v>1</v>
      </c>
    </row>
    <row r="46" spans="1:31" x14ac:dyDescent="0.25">
      <c r="A46" s="3" t="s">
        <v>11</v>
      </c>
      <c r="B46" s="1">
        <f t="shared" si="1"/>
        <v>0</v>
      </c>
      <c r="C46" s="1">
        <f t="shared" ref="C46:AE46" si="10">IF(C12&gt;$C$35,1,0)</f>
        <v>0</v>
      </c>
      <c r="D46" s="1">
        <f t="shared" si="10"/>
        <v>0</v>
      </c>
      <c r="E46" s="1">
        <f t="shared" si="10"/>
        <v>0</v>
      </c>
      <c r="F46" s="1">
        <f t="shared" si="10"/>
        <v>1</v>
      </c>
      <c r="G46" s="1">
        <f t="shared" si="10"/>
        <v>0</v>
      </c>
      <c r="H46" s="1">
        <f t="shared" si="10"/>
        <v>0</v>
      </c>
      <c r="I46" s="1">
        <f t="shared" si="10"/>
        <v>1</v>
      </c>
      <c r="J46" s="1">
        <f t="shared" si="10"/>
        <v>0</v>
      </c>
      <c r="K46" s="1">
        <f t="shared" si="10"/>
        <v>0</v>
      </c>
      <c r="L46" s="1">
        <f t="shared" si="10"/>
        <v>0</v>
      </c>
      <c r="M46" s="1">
        <f t="shared" si="10"/>
        <v>0</v>
      </c>
      <c r="N46" s="1">
        <f t="shared" si="10"/>
        <v>0</v>
      </c>
      <c r="O46" s="1">
        <f t="shared" si="10"/>
        <v>0</v>
      </c>
      <c r="P46" s="1">
        <f t="shared" si="10"/>
        <v>0</v>
      </c>
      <c r="Q46" s="1">
        <f t="shared" si="10"/>
        <v>0</v>
      </c>
      <c r="R46" s="1">
        <f t="shared" si="10"/>
        <v>0</v>
      </c>
      <c r="S46" s="1">
        <f t="shared" si="10"/>
        <v>0</v>
      </c>
      <c r="T46" s="1">
        <f t="shared" si="10"/>
        <v>1</v>
      </c>
      <c r="U46" s="1">
        <f t="shared" si="10"/>
        <v>1</v>
      </c>
      <c r="V46" s="1">
        <f t="shared" si="10"/>
        <v>1</v>
      </c>
      <c r="W46" s="1">
        <f t="shared" si="10"/>
        <v>1</v>
      </c>
      <c r="X46" s="1">
        <f t="shared" si="10"/>
        <v>1</v>
      </c>
      <c r="Y46" s="1">
        <f t="shared" si="10"/>
        <v>1</v>
      </c>
      <c r="Z46" s="1">
        <f t="shared" si="10"/>
        <v>1</v>
      </c>
      <c r="AA46" s="1">
        <f t="shared" si="10"/>
        <v>1</v>
      </c>
      <c r="AB46" s="1">
        <f t="shared" si="10"/>
        <v>0</v>
      </c>
      <c r="AC46" s="1">
        <f t="shared" si="10"/>
        <v>0</v>
      </c>
      <c r="AD46" s="1">
        <f t="shared" si="10"/>
        <v>0</v>
      </c>
      <c r="AE46" s="1">
        <f t="shared" si="10"/>
        <v>0</v>
      </c>
    </row>
    <row r="47" spans="1:31" x14ac:dyDescent="0.25">
      <c r="A47" s="3" t="s">
        <v>12</v>
      </c>
      <c r="B47" s="1">
        <f t="shared" si="1"/>
        <v>0</v>
      </c>
      <c r="C47" s="1">
        <f t="shared" ref="C47:AE47" si="11">IF(C13&gt;$C$35,1,0)</f>
        <v>0</v>
      </c>
      <c r="D47" s="1">
        <f t="shared" si="11"/>
        <v>0</v>
      </c>
      <c r="E47" s="1">
        <f t="shared" si="11"/>
        <v>0</v>
      </c>
      <c r="F47" s="1">
        <f t="shared" si="11"/>
        <v>0</v>
      </c>
      <c r="G47" s="1">
        <f t="shared" si="11"/>
        <v>0</v>
      </c>
      <c r="H47" s="1">
        <f t="shared" si="11"/>
        <v>0</v>
      </c>
      <c r="I47" s="1">
        <f t="shared" si="11"/>
        <v>1</v>
      </c>
      <c r="J47" s="1">
        <f t="shared" si="11"/>
        <v>1</v>
      </c>
      <c r="K47" s="1">
        <f t="shared" si="11"/>
        <v>0</v>
      </c>
      <c r="L47" s="1">
        <f t="shared" si="11"/>
        <v>0</v>
      </c>
      <c r="M47" s="1">
        <f t="shared" si="11"/>
        <v>0</v>
      </c>
      <c r="N47" s="1">
        <f t="shared" si="11"/>
        <v>0</v>
      </c>
      <c r="O47" s="1">
        <f t="shared" si="11"/>
        <v>0</v>
      </c>
      <c r="P47" s="1">
        <f t="shared" si="11"/>
        <v>0</v>
      </c>
      <c r="Q47" s="1">
        <f t="shared" si="11"/>
        <v>0</v>
      </c>
      <c r="R47" s="1">
        <f t="shared" si="11"/>
        <v>0</v>
      </c>
      <c r="S47" s="1">
        <f t="shared" si="11"/>
        <v>0</v>
      </c>
      <c r="T47" s="1">
        <f t="shared" si="11"/>
        <v>1</v>
      </c>
      <c r="U47" s="1">
        <f t="shared" si="11"/>
        <v>1</v>
      </c>
      <c r="V47" s="1">
        <f t="shared" si="11"/>
        <v>0</v>
      </c>
      <c r="W47" s="1">
        <f t="shared" si="11"/>
        <v>0</v>
      </c>
      <c r="X47" s="1">
        <f t="shared" si="11"/>
        <v>0</v>
      </c>
      <c r="Y47" s="1">
        <f t="shared" si="11"/>
        <v>0</v>
      </c>
      <c r="Z47" s="1">
        <f t="shared" si="11"/>
        <v>1</v>
      </c>
      <c r="AA47" s="1">
        <f t="shared" si="11"/>
        <v>0</v>
      </c>
      <c r="AB47" s="1">
        <f t="shared" si="11"/>
        <v>0</v>
      </c>
      <c r="AC47" s="1">
        <f t="shared" si="11"/>
        <v>0</v>
      </c>
      <c r="AD47" s="1">
        <f t="shared" si="11"/>
        <v>1</v>
      </c>
      <c r="AE47" s="1">
        <f t="shared" si="11"/>
        <v>0</v>
      </c>
    </row>
    <row r="48" spans="1:31" x14ac:dyDescent="0.25">
      <c r="A48" s="3" t="s">
        <v>13</v>
      </c>
      <c r="B48" s="1">
        <f t="shared" si="1"/>
        <v>0</v>
      </c>
      <c r="C48" s="1">
        <f t="shared" ref="C48:AE48" si="12">IF(C14&gt;$C$35,1,0)</f>
        <v>0</v>
      </c>
      <c r="D48" s="1">
        <f t="shared" si="12"/>
        <v>0</v>
      </c>
      <c r="E48" s="1">
        <f t="shared" si="12"/>
        <v>0</v>
      </c>
      <c r="F48" s="1">
        <f t="shared" si="12"/>
        <v>0</v>
      </c>
      <c r="G48" s="1">
        <f t="shared" si="12"/>
        <v>0</v>
      </c>
      <c r="H48" s="1">
        <f t="shared" si="12"/>
        <v>0</v>
      </c>
      <c r="I48" s="1">
        <f t="shared" si="12"/>
        <v>1</v>
      </c>
      <c r="J48" s="1">
        <f t="shared" si="12"/>
        <v>1</v>
      </c>
      <c r="K48" s="1">
        <f t="shared" si="12"/>
        <v>0</v>
      </c>
      <c r="L48" s="1">
        <f t="shared" si="12"/>
        <v>0</v>
      </c>
      <c r="M48" s="1">
        <f t="shared" si="12"/>
        <v>0</v>
      </c>
      <c r="N48" s="1">
        <f t="shared" si="12"/>
        <v>0</v>
      </c>
      <c r="O48" s="1">
        <f t="shared" si="12"/>
        <v>0</v>
      </c>
      <c r="P48" s="1">
        <f t="shared" si="12"/>
        <v>0</v>
      </c>
      <c r="Q48" s="1">
        <f t="shared" si="12"/>
        <v>0</v>
      </c>
      <c r="R48" s="1">
        <f t="shared" si="12"/>
        <v>0</v>
      </c>
      <c r="S48" s="1">
        <f t="shared" si="12"/>
        <v>0</v>
      </c>
      <c r="T48" s="1">
        <f t="shared" si="12"/>
        <v>1</v>
      </c>
      <c r="U48" s="1">
        <f t="shared" si="12"/>
        <v>1</v>
      </c>
      <c r="V48" s="1">
        <f t="shared" si="12"/>
        <v>0</v>
      </c>
      <c r="W48" s="1">
        <f t="shared" si="12"/>
        <v>0</v>
      </c>
      <c r="X48" s="1">
        <f t="shared" si="12"/>
        <v>0</v>
      </c>
      <c r="Y48" s="1">
        <f t="shared" si="12"/>
        <v>0</v>
      </c>
      <c r="Z48" s="1">
        <f t="shared" si="12"/>
        <v>1</v>
      </c>
      <c r="AA48" s="1">
        <f t="shared" si="12"/>
        <v>0</v>
      </c>
      <c r="AB48" s="1">
        <f t="shared" si="12"/>
        <v>0</v>
      </c>
      <c r="AC48" s="1">
        <f t="shared" si="12"/>
        <v>0</v>
      </c>
      <c r="AD48" s="1">
        <f t="shared" si="12"/>
        <v>0</v>
      </c>
      <c r="AE48" s="1">
        <f t="shared" si="12"/>
        <v>0</v>
      </c>
    </row>
    <row r="49" spans="1:31" x14ac:dyDescent="0.25">
      <c r="A49" s="3" t="s">
        <v>14</v>
      </c>
      <c r="B49" s="1">
        <f t="shared" si="1"/>
        <v>0</v>
      </c>
      <c r="C49" s="1">
        <f t="shared" ref="C49:AE49" si="13">IF(C15&gt;$C$35,1,0)</f>
        <v>0</v>
      </c>
      <c r="D49" s="1">
        <f t="shared" si="13"/>
        <v>0</v>
      </c>
      <c r="E49" s="1">
        <f t="shared" si="13"/>
        <v>0</v>
      </c>
      <c r="F49" s="1">
        <f t="shared" si="13"/>
        <v>0</v>
      </c>
      <c r="G49" s="1">
        <f t="shared" si="13"/>
        <v>0</v>
      </c>
      <c r="H49" s="1">
        <f t="shared" si="13"/>
        <v>0</v>
      </c>
      <c r="I49" s="1">
        <f t="shared" si="13"/>
        <v>1</v>
      </c>
      <c r="J49" s="1">
        <f t="shared" si="13"/>
        <v>1</v>
      </c>
      <c r="K49" s="1">
        <f t="shared" si="13"/>
        <v>0</v>
      </c>
      <c r="L49" s="1">
        <f t="shared" si="13"/>
        <v>0</v>
      </c>
      <c r="M49" s="1">
        <f t="shared" si="13"/>
        <v>0</v>
      </c>
      <c r="N49" s="1">
        <f t="shared" si="13"/>
        <v>0</v>
      </c>
      <c r="O49" s="1">
        <f t="shared" si="13"/>
        <v>0</v>
      </c>
      <c r="P49" s="1">
        <f t="shared" si="13"/>
        <v>0</v>
      </c>
      <c r="Q49" s="1">
        <f t="shared" si="13"/>
        <v>0</v>
      </c>
      <c r="R49" s="1">
        <f t="shared" si="13"/>
        <v>0</v>
      </c>
      <c r="S49" s="1">
        <f t="shared" si="13"/>
        <v>0</v>
      </c>
      <c r="T49" s="1">
        <f t="shared" si="13"/>
        <v>1</v>
      </c>
      <c r="U49" s="1">
        <f t="shared" si="13"/>
        <v>1</v>
      </c>
      <c r="V49" s="1">
        <f t="shared" si="13"/>
        <v>0</v>
      </c>
      <c r="W49" s="1">
        <f t="shared" si="13"/>
        <v>1</v>
      </c>
      <c r="X49" s="1">
        <f t="shared" si="13"/>
        <v>1</v>
      </c>
      <c r="Y49" s="1">
        <f t="shared" si="13"/>
        <v>0</v>
      </c>
      <c r="Z49" s="1">
        <f t="shared" si="13"/>
        <v>1</v>
      </c>
      <c r="AA49" s="1">
        <f t="shared" si="13"/>
        <v>0</v>
      </c>
      <c r="AB49" s="1">
        <f t="shared" si="13"/>
        <v>0</v>
      </c>
      <c r="AC49" s="1">
        <f t="shared" si="13"/>
        <v>0</v>
      </c>
      <c r="AD49" s="1">
        <f t="shared" si="13"/>
        <v>0</v>
      </c>
      <c r="AE49" s="1">
        <f t="shared" si="13"/>
        <v>0</v>
      </c>
    </row>
    <row r="50" spans="1:31" x14ac:dyDescent="0.25">
      <c r="A50" s="3" t="s">
        <v>15</v>
      </c>
      <c r="B50" s="1">
        <f t="shared" si="1"/>
        <v>0</v>
      </c>
      <c r="C50" s="1">
        <f t="shared" ref="C50:AE50" si="14">IF(C16&gt;$C$35,1,0)</f>
        <v>0</v>
      </c>
      <c r="D50" s="1">
        <f t="shared" si="14"/>
        <v>0</v>
      </c>
      <c r="E50" s="1">
        <f t="shared" si="14"/>
        <v>0</v>
      </c>
      <c r="F50" s="1">
        <f t="shared" si="14"/>
        <v>1</v>
      </c>
      <c r="G50" s="1">
        <f t="shared" si="14"/>
        <v>0</v>
      </c>
      <c r="H50" s="1">
        <f t="shared" si="14"/>
        <v>0</v>
      </c>
      <c r="I50" s="1">
        <f t="shared" si="14"/>
        <v>1</v>
      </c>
      <c r="J50" s="1">
        <f t="shared" si="14"/>
        <v>0</v>
      </c>
      <c r="K50" s="1">
        <f t="shared" si="14"/>
        <v>0</v>
      </c>
      <c r="L50" s="1">
        <f t="shared" si="14"/>
        <v>0</v>
      </c>
      <c r="M50" s="1">
        <f t="shared" si="14"/>
        <v>0</v>
      </c>
      <c r="N50" s="1">
        <f t="shared" si="14"/>
        <v>0</v>
      </c>
      <c r="O50" s="1">
        <f t="shared" si="14"/>
        <v>0</v>
      </c>
      <c r="P50" s="1">
        <f t="shared" si="14"/>
        <v>0</v>
      </c>
      <c r="Q50" s="1">
        <f t="shared" si="14"/>
        <v>0</v>
      </c>
      <c r="R50" s="1">
        <f t="shared" si="14"/>
        <v>0</v>
      </c>
      <c r="S50" s="1">
        <f t="shared" si="14"/>
        <v>0</v>
      </c>
      <c r="T50" s="1">
        <f t="shared" si="14"/>
        <v>1</v>
      </c>
      <c r="U50" s="1">
        <f t="shared" si="14"/>
        <v>1</v>
      </c>
      <c r="V50" s="1">
        <f t="shared" si="14"/>
        <v>1</v>
      </c>
      <c r="W50" s="1">
        <f t="shared" si="14"/>
        <v>1</v>
      </c>
      <c r="X50" s="1">
        <f t="shared" si="14"/>
        <v>1</v>
      </c>
      <c r="Y50" s="1">
        <f t="shared" si="14"/>
        <v>1</v>
      </c>
      <c r="Z50" s="1">
        <f t="shared" si="14"/>
        <v>1</v>
      </c>
      <c r="AA50" s="1">
        <f t="shared" si="14"/>
        <v>1</v>
      </c>
      <c r="AB50" s="1">
        <f t="shared" si="14"/>
        <v>0</v>
      </c>
      <c r="AC50" s="1">
        <f t="shared" si="14"/>
        <v>0</v>
      </c>
      <c r="AD50" s="1">
        <f t="shared" si="14"/>
        <v>0</v>
      </c>
      <c r="AE50" s="1">
        <f t="shared" si="14"/>
        <v>1</v>
      </c>
    </row>
    <row r="51" spans="1:31" x14ac:dyDescent="0.25">
      <c r="A51" s="3" t="s">
        <v>16</v>
      </c>
      <c r="B51" s="1">
        <f t="shared" si="1"/>
        <v>0</v>
      </c>
      <c r="C51" s="1">
        <f t="shared" ref="C51:AE51" si="15">IF(C17&gt;$C$35,1,0)</f>
        <v>0</v>
      </c>
      <c r="D51" s="1">
        <f t="shared" si="15"/>
        <v>0</v>
      </c>
      <c r="E51" s="1">
        <f t="shared" si="15"/>
        <v>0</v>
      </c>
      <c r="F51" s="1">
        <f t="shared" si="15"/>
        <v>0</v>
      </c>
      <c r="G51" s="1">
        <f t="shared" si="15"/>
        <v>0</v>
      </c>
      <c r="H51" s="1">
        <f t="shared" si="15"/>
        <v>0</v>
      </c>
      <c r="I51" s="1">
        <f t="shared" si="15"/>
        <v>1</v>
      </c>
      <c r="J51" s="1">
        <f t="shared" si="15"/>
        <v>1</v>
      </c>
      <c r="K51" s="1">
        <f t="shared" si="15"/>
        <v>0</v>
      </c>
      <c r="L51" s="1">
        <f t="shared" si="15"/>
        <v>0</v>
      </c>
      <c r="M51" s="1">
        <f t="shared" si="15"/>
        <v>0</v>
      </c>
      <c r="N51" s="1">
        <f t="shared" si="15"/>
        <v>0</v>
      </c>
      <c r="O51" s="1">
        <f t="shared" si="15"/>
        <v>0</v>
      </c>
      <c r="P51" s="1">
        <f t="shared" si="15"/>
        <v>0</v>
      </c>
      <c r="Q51" s="1">
        <f t="shared" si="15"/>
        <v>0</v>
      </c>
      <c r="R51" s="1">
        <f t="shared" si="15"/>
        <v>0</v>
      </c>
      <c r="S51" s="1">
        <f t="shared" si="15"/>
        <v>0</v>
      </c>
      <c r="T51" s="1">
        <f t="shared" si="15"/>
        <v>1</v>
      </c>
      <c r="U51" s="1">
        <f t="shared" si="15"/>
        <v>1</v>
      </c>
      <c r="V51" s="1">
        <f t="shared" si="15"/>
        <v>0</v>
      </c>
      <c r="W51" s="1">
        <f t="shared" si="15"/>
        <v>1</v>
      </c>
      <c r="X51" s="1">
        <f t="shared" si="15"/>
        <v>1</v>
      </c>
      <c r="Y51" s="1">
        <f t="shared" si="15"/>
        <v>0</v>
      </c>
      <c r="Z51" s="1">
        <f t="shared" si="15"/>
        <v>1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</row>
    <row r="52" spans="1:31" x14ac:dyDescent="0.25">
      <c r="A52" s="3" t="s">
        <v>17</v>
      </c>
      <c r="B52" s="1">
        <f t="shared" si="1"/>
        <v>0</v>
      </c>
      <c r="C52" s="1">
        <f t="shared" ref="C52:AE52" si="16">IF(C18&gt;$C$35,1,0)</f>
        <v>0</v>
      </c>
      <c r="D52" s="1">
        <f t="shared" si="16"/>
        <v>0</v>
      </c>
      <c r="E52" s="1">
        <f t="shared" si="16"/>
        <v>0</v>
      </c>
      <c r="F52" s="1">
        <f t="shared" si="16"/>
        <v>0</v>
      </c>
      <c r="G52" s="1">
        <f t="shared" si="16"/>
        <v>0</v>
      </c>
      <c r="H52" s="1">
        <f t="shared" si="16"/>
        <v>0</v>
      </c>
      <c r="I52" s="1">
        <f t="shared" si="16"/>
        <v>1</v>
      </c>
      <c r="J52" s="1">
        <f t="shared" si="16"/>
        <v>0</v>
      </c>
      <c r="K52" s="1">
        <f t="shared" si="16"/>
        <v>0</v>
      </c>
      <c r="L52" s="1">
        <f t="shared" si="16"/>
        <v>0</v>
      </c>
      <c r="M52" s="1">
        <f t="shared" si="16"/>
        <v>0</v>
      </c>
      <c r="N52" s="1">
        <f t="shared" si="16"/>
        <v>0</v>
      </c>
      <c r="O52" s="1">
        <f t="shared" si="16"/>
        <v>0</v>
      </c>
      <c r="P52" s="1">
        <f t="shared" si="16"/>
        <v>0</v>
      </c>
      <c r="Q52" s="1">
        <f t="shared" si="16"/>
        <v>0</v>
      </c>
      <c r="R52" s="1">
        <f t="shared" si="16"/>
        <v>0</v>
      </c>
      <c r="S52" s="1">
        <f t="shared" si="16"/>
        <v>0</v>
      </c>
      <c r="T52" s="1">
        <f t="shared" si="16"/>
        <v>1</v>
      </c>
      <c r="U52" s="1">
        <f t="shared" si="16"/>
        <v>1</v>
      </c>
      <c r="V52" s="1">
        <f t="shared" si="16"/>
        <v>1</v>
      </c>
      <c r="W52" s="1">
        <f t="shared" si="16"/>
        <v>1</v>
      </c>
      <c r="X52" s="1">
        <f t="shared" si="16"/>
        <v>1</v>
      </c>
      <c r="Y52" s="1">
        <f t="shared" si="16"/>
        <v>1</v>
      </c>
      <c r="Z52" s="1">
        <f t="shared" si="16"/>
        <v>1</v>
      </c>
      <c r="AA52" s="1">
        <f t="shared" si="16"/>
        <v>1</v>
      </c>
      <c r="AB52" s="1">
        <f t="shared" si="16"/>
        <v>0</v>
      </c>
      <c r="AC52" s="1">
        <f t="shared" si="16"/>
        <v>0</v>
      </c>
      <c r="AD52" s="1">
        <f t="shared" si="16"/>
        <v>0</v>
      </c>
      <c r="AE52" s="1">
        <f t="shared" si="16"/>
        <v>0</v>
      </c>
    </row>
    <row r="53" spans="1:31" x14ac:dyDescent="0.25">
      <c r="A53" s="3" t="s">
        <v>18</v>
      </c>
      <c r="B53" s="1">
        <f t="shared" si="1"/>
        <v>0</v>
      </c>
      <c r="C53" s="1">
        <f t="shared" ref="C53:AE53" si="17">IF(C19&gt;$C$35,1,0)</f>
        <v>0</v>
      </c>
      <c r="D53" s="1">
        <f t="shared" si="17"/>
        <v>0</v>
      </c>
      <c r="E53" s="1">
        <f t="shared" si="17"/>
        <v>0</v>
      </c>
      <c r="F53" s="1">
        <f t="shared" si="17"/>
        <v>0</v>
      </c>
      <c r="G53" s="1">
        <f t="shared" si="17"/>
        <v>0</v>
      </c>
      <c r="H53" s="1">
        <f t="shared" si="17"/>
        <v>0</v>
      </c>
      <c r="I53" s="1">
        <f t="shared" si="17"/>
        <v>1</v>
      </c>
      <c r="J53" s="1">
        <f t="shared" si="17"/>
        <v>1</v>
      </c>
      <c r="K53" s="1">
        <f t="shared" si="17"/>
        <v>0</v>
      </c>
      <c r="L53" s="1">
        <f t="shared" si="17"/>
        <v>0</v>
      </c>
      <c r="M53" s="1">
        <f t="shared" si="17"/>
        <v>0</v>
      </c>
      <c r="N53" s="1">
        <f t="shared" si="17"/>
        <v>0</v>
      </c>
      <c r="O53" s="1">
        <f t="shared" si="17"/>
        <v>0</v>
      </c>
      <c r="P53" s="1">
        <f t="shared" si="17"/>
        <v>0</v>
      </c>
      <c r="Q53" s="1">
        <f t="shared" si="17"/>
        <v>0</v>
      </c>
      <c r="R53" s="1">
        <f t="shared" si="17"/>
        <v>0</v>
      </c>
      <c r="S53" s="1">
        <f t="shared" si="17"/>
        <v>1</v>
      </c>
      <c r="T53" s="1">
        <f t="shared" si="17"/>
        <v>1</v>
      </c>
      <c r="U53" s="1">
        <f t="shared" si="17"/>
        <v>1</v>
      </c>
      <c r="V53" s="1">
        <f t="shared" si="17"/>
        <v>0</v>
      </c>
      <c r="W53" s="1">
        <f t="shared" si="17"/>
        <v>0</v>
      </c>
      <c r="X53" s="1">
        <f t="shared" si="17"/>
        <v>0</v>
      </c>
      <c r="Y53" s="1">
        <f t="shared" si="17"/>
        <v>0</v>
      </c>
      <c r="Z53" s="1">
        <f t="shared" si="17"/>
        <v>1</v>
      </c>
      <c r="AA53" s="1">
        <f t="shared" si="17"/>
        <v>0</v>
      </c>
      <c r="AB53" s="1">
        <f t="shared" si="17"/>
        <v>0</v>
      </c>
      <c r="AC53" s="1">
        <f t="shared" si="17"/>
        <v>0</v>
      </c>
      <c r="AD53" s="1">
        <f t="shared" si="17"/>
        <v>1</v>
      </c>
      <c r="AE53" s="1">
        <f t="shared" si="17"/>
        <v>0</v>
      </c>
    </row>
    <row r="54" spans="1:31" x14ac:dyDescent="0.25">
      <c r="A54" s="3" t="s">
        <v>19</v>
      </c>
      <c r="B54" s="1">
        <f t="shared" si="1"/>
        <v>0</v>
      </c>
      <c r="C54" s="1">
        <f t="shared" ref="C54:AE54" si="18">IF(C20&gt;$C$35,1,0)</f>
        <v>0</v>
      </c>
      <c r="D54" s="1">
        <f t="shared" si="18"/>
        <v>0</v>
      </c>
      <c r="E54" s="1">
        <f t="shared" si="18"/>
        <v>0</v>
      </c>
      <c r="F54" s="1">
        <f t="shared" si="18"/>
        <v>1</v>
      </c>
      <c r="G54" s="1">
        <f t="shared" si="18"/>
        <v>0</v>
      </c>
      <c r="H54" s="1">
        <f t="shared" si="18"/>
        <v>0</v>
      </c>
      <c r="I54" s="1">
        <f t="shared" si="18"/>
        <v>1</v>
      </c>
      <c r="J54" s="1">
        <f t="shared" si="18"/>
        <v>0</v>
      </c>
      <c r="K54" s="1">
        <f t="shared" si="18"/>
        <v>0</v>
      </c>
      <c r="L54" s="1">
        <f t="shared" si="18"/>
        <v>0</v>
      </c>
      <c r="M54" s="1">
        <f t="shared" si="18"/>
        <v>0</v>
      </c>
      <c r="N54" s="1">
        <f t="shared" si="18"/>
        <v>0</v>
      </c>
      <c r="O54" s="1">
        <f t="shared" si="18"/>
        <v>0</v>
      </c>
      <c r="P54" s="1">
        <f t="shared" si="18"/>
        <v>0</v>
      </c>
      <c r="Q54" s="1">
        <f t="shared" si="18"/>
        <v>0</v>
      </c>
      <c r="R54" s="1">
        <f t="shared" si="18"/>
        <v>1</v>
      </c>
      <c r="S54" s="1">
        <f t="shared" si="18"/>
        <v>0</v>
      </c>
      <c r="T54" s="1">
        <f t="shared" si="18"/>
        <v>1</v>
      </c>
      <c r="U54" s="1">
        <f t="shared" si="18"/>
        <v>1</v>
      </c>
      <c r="V54" s="1">
        <f t="shared" si="18"/>
        <v>1</v>
      </c>
      <c r="W54" s="1">
        <f t="shared" si="18"/>
        <v>1</v>
      </c>
      <c r="X54" s="1">
        <f t="shared" si="18"/>
        <v>1</v>
      </c>
      <c r="Y54" s="1">
        <f t="shared" si="18"/>
        <v>1</v>
      </c>
      <c r="Z54" s="1">
        <f t="shared" si="18"/>
        <v>1</v>
      </c>
      <c r="AA54" s="1">
        <f t="shared" si="18"/>
        <v>1</v>
      </c>
      <c r="AB54" s="1">
        <f t="shared" si="18"/>
        <v>0</v>
      </c>
      <c r="AC54" s="1">
        <f t="shared" si="18"/>
        <v>0</v>
      </c>
      <c r="AD54" s="1">
        <f t="shared" si="18"/>
        <v>0</v>
      </c>
      <c r="AE54" s="1">
        <f t="shared" si="18"/>
        <v>1</v>
      </c>
    </row>
    <row r="55" spans="1:31" x14ac:dyDescent="0.25">
      <c r="A55" s="3" t="s">
        <v>20</v>
      </c>
      <c r="B55" s="1">
        <f t="shared" si="1"/>
        <v>1</v>
      </c>
      <c r="C55" s="1">
        <f t="shared" ref="C55:AE55" si="19">IF(C21&gt;$C$35,1,0)</f>
        <v>1</v>
      </c>
      <c r="D55" s="1">
        <f t="shared" si="19"/>
        <v>1</v>
      </c>
      <c r="E55" s="1">
        <f t="shared" si="19"/>
        <v>1</v>
      </c>
      <c r="F55" s="1">
        <f t="shared" si="19"/>
        <v>0</v>
      </c>
      <c r="G55" s="1">
        <f t="shared" si="19"/>
        <v>1</v>
      </c>
      <c r="H55" s="1">
        <f t="shared" si="19"/>
        <v>1</v>
      </c>
      <c r="I55" s="1">
        <f t="shared" si="19"/>
        <v>1</v>
      </c>
      <c r="J55" s="1">
        <f t="shared" si="19"/>
        <v>1</v>
      </c>
      <c r="K55" s="1">
        <f t="shared" si="19"/>
        <v>1</v>
      </c>
      <c r="L55" s="1">
        <f t="shared" si="19"/>
        <v>1</v>
      </c>
      <c r="M55" s="1">
        <f t="shared" si="19"/>
        <v>1</v>
      </c>
      <c r="N55" s="1">
        <f t="shared" si="19"/>
        <v>1</v>
      </c>
      <c r="O55" s="1">
        <f t="shared" si="19"/>
        <v>1</v>
      </c>
      <c r="P55" s="1">
        <f t="shared" si="19"/>
        <v>1</v>
      </c>
      <c r="Q55" s="1">
        <f t="shared" si="19"/>
        <v>1</v>
      </c>
      <c r="R55" s="1">
        <f t="shared" si="19"/>
        <v>1</v>
      </c>
      <c r="S55" s="1">
        <f t="shared" si="19"/>
        <v>1</v>
      </c>
      <c r="T55" s="1">
        <f t="shared" si="19"/>
        <v>0</v>
      </c>
      <c r="U55" s="1">
        <f t="shared" si="19"/>
        <v>0</v>
      </c>
      <c r="V55" s="1">
        <f t="shared" si="19"/>
        <v>0</v>
      </c>
      <c r="W55" s="1">
        <f t="shared" si="19"/>
        <v>0</v>
      </c>
      <c r="X55" s="1">
        <f t="shared" si="19"/>
        <v>0</v>
      </c>
      <c r="Y55" s="1">
        <f t="shared" si="19"/>
        <v>0</v>
      </c>
      <c r="Z55" s="1">
        <f t="shared" si="19"/>
        <v>0</v>
      </c>
      <c r="AA55" s="1">
        <f t="shared" si="19"/>
        <v>0</v>
      </c>
      <c r="AB55" s="1">
        <f t="shared" si="19"/>
        <v>1</v>
      </c>
      <c r="AC55" s="1">
        <f t="shared" si="19"/>
        <v>1</v>
      </c>
      <c r="AD55" s="1">
        <f t="shared" si="19"/>
        <v>1</v>
      </c>
      <c r="AE55" s="1">
        <f t="shared" si="19"/>
        <v>1</v>
      </c>
    </row>
    <row r="56" spans="1:31" x14ac:dyDescent="0.25">
      <c r="A56" s="3" t="s">
        <v>21</v>
      </c>
      <c r="B56" s="1">
        <f t="shared" si="1"/>
        <v>1</v>
      </c>
      <c r="C56" s="1">
        <f t="shared" ref="C56:AE56" si="20">IF(C22&gt;$C$35,1,0)</f>
        <v>1</v>
      </c>
      <c r="D56" s="1">
        <f t="shared" si="20"/>
        <v>1</v>
      </c>
      <c r="E56" s="1">
        <f t="shared" si="20"/>
        <v>1</v>
      </c>
      <c r="F56" s="1">
        <f t="shared" si="20"/>
        <v>0</v>
      </c>
      <c r="G56" s="1">
        <f t="shared" si="20"/>
        <v>1</v>
      </c>
      <c r="H56" s="1">
        <f t="shared" si="20"/>
        <v>1</v>
      </c>
      <c r="I56" s="1">
        <f t="shared" si="20"/>
        <v>1</v>
      </c>
      <c r="J56" s="1">
        <f t="shared" si="20"/>
        <v>1</v>
      </c>
      <c r="K56" s="1">
        <f t="shared" si="20"/>
        <v>1</v>
      </c>
      <c r="L56" s="1">
        <f t="shared" si="20"/>
        <v>1</v>
      </c>
      <c r="M56" s="1">
        <f t="shared" si="20"/>
        <v>1</v>
      </c>
      <c r="N56" s="1">
        <f t="shared" si="20"/>
        <v>1</v>
      </c>
      <c r="O56" s="1">
        <f t="shared" si="20"/>
        <v>1</v>
      </c>
      <c r="P56" s="1">
        <f t="shared" si="20"/>
        <v>1</v>
      </c>
      <c r="Q56" s="1">
        <f t="shared" si="20"/>
        <v>1</v>
      </c>
      <c r="R56" s="1">
        <f t="shared" si="20"/>
        <v>1</v>
      </c>
      <c r="S56" s="1">
        <f t="shared" si="20"/>
        <v>1</v>
      </c>
      <c r="T56" s="1">
        <f t="shared" si="20"/>
        <v>0</v>
      </c>
      <c r="U56" s="1">
        <f t="shared" si="20"/>
        <v>0</v>
      </c>
      <c r="V56" s="1">
        <f t="shared" si="20"/>
        <v>0</v>
      </c>
      <c r="W56" s="1">
        <f t="shared" si="20"/>
        <v>0</v>
      </c>
      <c r="X56" s="1">
        <f t="shared" si="20"/>
        <v>0</v>
      </c>
      <c r="Y56" s="1">
        <f t="shared" si="20"/>
        <v>0</v>
      </c>
      <c r="Z56" s="1">
        <f t="shared" si="20"/>
        <v>0</v>
      </c>
      <c r="AA56" s="1">
        <f t="shared" si="20"/>
        <v>0</v>
      </c>
      <c r="AB56" s="1">
        <f t="shared" si="20"/>
        <v>1</v>
      </c>
      <c r="AC56" s="1">
        <f t="shared" si="20"/>
        <v>1</v>
      </c>
      <c r="AD56" s="1">
        <f t="shared" si="20"/>
        <v>1</v>
      </c>
      <c r="AE56" s="1">
        <f t="shared" si="20"/>
        <v>0</v>
      </c>
    </row>
    <row r="57" spans="1:31" x14ac:dyDescent="0.25">
      <c r="A57" s="3" t="s">
        <v>22</v>
      </c>
      <c r="B57" s="1">
        <f t="shared" si="1"/>
        <v>0</v>
      </c>
      <c r="C57" s="1">
        <f t="shared" ref="C57:AE57" si="21">IF(C23&gt;$C$35,1,0)</f>
        <v>1</v>
      </c>
      <c r="D57" s="1">
        <f t="shared" si="21"/>
        <v>0</v>
      </c>
      <c r="E57" s="1">
        <f t="shared" si="21"/>
        <v>0</v>
      </c>
      <c r="F57" s="1">
        <f t="shared" si="21"/>
        <v>0</v>
      </c>
      <c r="G57" s="1">
        <f t="shared" si="21"/>
        <v>1</v>
      </c>
      <c r="H57" s="1">
        <f t="shared" si="21"/>
        <v>0</v>
      </c>
      <c r="I57" s="1">
        <f t="shared" si="21"/>
        <v>1</v>
      </c>
      <c r="J57" s="1">
        <f t="shared" si="21"/>
        <v>1</v>
      </c>
      <c r="K57" s="1">
        <f t="shared" si="21"/>
        <v>1</v>
      </c>
      <c r="L57" s="1">
        <f t="shared" si="21"/>
        <v>0</v>
      </c>
      <c r="M57" s="1">
        <f t="shared" si="21"/>
        <v>0</v>
      </c>
      <c r="N57" s="1">
        <f t="shared" si="21"/>
        <v>0</v>
      </c>
      <c r="O57" s="1">
        <f t="shared" si="21"/>
        <v>1</v>
      </c>
      <c r="P57" s="1">
        <f t="shared" si="21"/>
        <v>0</v>
      </c>
      <c r="Q57" s="1">
        <f t="shared" si="21"/>
        <v>1</v>
      </c>
      <c r="R57" s="1">
        <f t="shared" si="21"/>
        <v>0</v>
      </c>
      <c r="S57" s="1">
        <f t="shared" si="21"/>
        <v>1</v>
      </c>
      <c r="T57" s="1">
        <f t="shared" si="21"/>
        <v>0</v>
      </c>
      <c r="U57" s="1">
        <f t="shared" si="21"/>
        <v>0</v>
      </c>
      <c r="V57" s="1">
        <f t="shared" si="21"/>
        <v>0</v>
      </c>
      <c r="W57" s="1">
        <f t="shared" si="21"/>
        <v>0</v>
      </c>
      <c r="X57" s="1">
        <f t="shared" si="21"/>
        <v>0</v>
      </c>
      <c r="Y57" s="1">
        <f t="shared" si="21"/>
        <v>0</v>
      </c>
      <c r="Z57" s="1">
        <f t="shared" si="21"/>
        <v>0</v>
      </c>
      <c r="AA57" s="1">
        <f t="shared" si="21"/>
        <v>0</v>
      </c>
      <c r="AB57" s="1">
        <f t="shared" si="21"/>
        <v>0</v>
      </c>
      <c r="AC57" s="1">
        <f t="shared" si="21"/>
        <v>0</v>
      </c>
      <c r="AD57" s="1">
        <f t="shared" si="21"/>
        <v>1</v>
      </c>
      <c r="AE57" s="1">
        <f t="shared" si="21"/>
        <v>0</v>
      </c>
    </row>
    <row r="58" spans="1:31" x14ac:dyDescent="0.25">
      <c r="A58" s="3" t="s">
        <v>23</v>
      </c>
      <c r="B58" s="1">
        <f t="shared" si="1"/>
        <v>1</v>
      </c>
      <c r="C58" s="1">
        <f t="shared" ref="C58:AE58" si="22">IF(C24&gt;$C$35,1,0)</f>
        <v>1</v>
      </c>
      <c r="D58" s="1">
        <f t="shared" si="22"/>
        <v>0</v>
      </c>
      <c r="E58" s="1">
        <f t="shared" si="22"/>
        <v>1</v>
      </c>
      <c r="F58" s="1">
        <f t="shared" si="22"/>
        <v>0</v>
      </c>
      <c r="G58" s="1">
        <f t="shared" si="22"/>
        <v>1</v>
      </c>
      <c r="H58" s="1">
        <f t="shared" si="22"/>
        <v>1</v>
      </c>
      <c r="I58" s="1">
        <f t="shared" si="22"/>
        <v>1</v>
      </c>
      <c r="J58" s="1">
        <f t="shared" si="22"/>
        <v>1</v>
      </c>
      <c r="K58" s="1">
        <f t="shared" si="22"/>
        <v>1</v>
      </c>
      <c r="L58" s="1">
        <f t="shared" si="22"/>
        <v>0</v>
      </c>
      <c r="M58" s="1">
        <f t="shared" si="22"/>
        <v>0</v>
      </c>
      <c r="N58" s="1">
        <f t="shared" si="22"/>
        <v>1</v>
      </c>
      <c r="O58" s="1">
        <f t="shared" si="22"/>
        <v>1</v>
      </c>
      <c r="P58" s="1">
        <f t="shared" si="22"/>
        <v>1</v>
      </c>
      <c r="Q58" s="1">
        <f t="shared" si="22"/>
        <v>1</v>
      </c>
      <c r="R58" s="1">
        <f t="shared" si="22"/>
        <v>0</v>
      </c>
      <c r="S58" s="1">
        <f t="shared" si="22"/>
        <v>1</v>
      </c>
      <c r="T58" s="1">
        <f t="shared" si="22"/>
        <v>0</v>
      </c>
      <c r="U58" s="1">
        <f t="shared" si="22"/>
        <v>0</v>
      </c>
      <c r="V58" s="1">
        <f t="shared" si="22"/>
        <v>0</v>
      </c>
      <c r="W58" s="1">
        <f t="shared" si="22"/>
        <v>0</v>
      </c>
      <c r="X58" s="1">
        <f t="shared" si="22"/>
        <v>0</v>
      </c>
      <c r="Y58" s="1">
        <f t="shared" si="22"/>
        <v>0</v>
      </c>
      <c r="Z58" s="1">
        <f t="shared" si="22"/>
        <v>0</v>
      </c>
      <c r="AA58" s="1">
        <f t="shared" si="22"/>
        <v>0</v>
      </c>
      <c r="AB58" s="1">
        <f t="shared" si="22"/>
        <v>0</v>
      </c>
      <c r="AC58" s="1">
        <f t="shared" si="22"/>
        <v>0</v>
      </c>
      <c r="AD58" s="1">
        <f t="shared" si="22"/>
        <v>1</v>
      </c>
      <c r="AE58" s="1">
        <f t="shared" si="22"/>
        <v>0</v>
      </c>
    </row>
    <row r="59" spans="1:31" x14ac:dyDescent="0.25">
      <c r="A59" s="3" t="s">
        <v>24</v>
      </c>
      <c r="B59" s="1">
        <f t="shared" si="1"/>
        <v>1</v>
      </c>
      <c r="C59" s="1">
        <f t="shared" ref="C59:AE59" si="23">IF(C25&gt;$C$35,1,0)</f>
        <v>1</v>
      </c>
      <c r="D59" s="1">
        <f t="shared" si="23"/>
        <v>0</v>
      </c>
      <c r="E59" s="1">
        <f t="shared" si="23"/>
        <v>1</v>
      </c>
      <c r="F59" s="1">
        <f t="shared" si="23"/>
        <v>0</v>
      </c>
      <c r="G59" s="1">
        <f t="shared" si="23"/>
        <v>1</v>
      </c>
      <c r="H59" s="1">
        <f t="shared" si="23"/>
        <v>1</v>
      </c>
      <c r="I59" s="1">
        <f t="shared" si="23"/>
        <v>1</v>
      </c>
      <c r="J59" s="1">
        <f t="shared" si="23"/>
        <v>1</v>
      </c>
      <c r="K59" s="1">
        <f t="shared" si="23"/>
        <v>1</v>
      </c>
      <c r="L59" s="1">
        <f t="shared" si="23"/>
        <v>0</v>
      </c>
      <c r="M59" s="1">
        <f t="shared" si="23"/>
        <v>0</v>
      </c>
      <c r="N59" s="1">
        <f t="shared" si="23"/>
        <v>1</v>
      </c>
      <c r="O59" s="1">
        <f t="shared" si="23"/>
        <v>1</v>
      </c>
      <c r="P59" s="1">
        <f t="shared" si="23"/>
        <v>1</v>
      </c>
      <c r="Q59" s="1">
        <f t="shared" si="23"/>
        <v>1</v>
      </c>
      <c r="R59" s="1">
        <f t="shared" si="23"/>
        <v>0</v>
      </c>
      <c r="S59" s="1">
        <f t="shared" si="23"/>
        <v>1</v>
      </c>
      <c r="T59" s="1">
        <f t="shared" si="23"/>
        <v>0</v>
      </c>
      <c r="U59" s="1">
        <f t="shared" si="23"/>
        <v>0</v>
      </c>
      <c r="V59" s="1">
        <f t="shared" si="23"/>
        <v>0</v>
      </c>
      <c r="W59" s="1">
        <f t="shared" si="23"/>
        <v>0</v>
      </c>
      <c r="X59" s="1">
        <f t="shared" si="23"/>
        <v>0</v>
      </c>
      <c r="Y59" s="1">
        <f t="shared" si="23"/>
        <v>0</v>
      </c>
      <c r="Z59" s="1">
        <f t="shared" si="23"/>
        <v>0</v>
      </c>
      <c r="AA59" s="1">
        <f t="shared" si="23"/>
        <v>0</v>
      </c>
      <c r="AB59" s="1">
        <f t="shared" si="23"/>
        <v>0</v>
      </c>
      <c r="AC59" s="1">
        <f t="shared" si="23"/>
        <v>0</v>
      </c>
      <c r="AD59" s="1">
        <f t="shared" si="23"/>
        <v>1</v>
      </c>
      <c r="AE59" s="1">
        <f t="shared" si="23"/>
        <v>0</v>
      </c>
    </row>
    <row r="60" spans="1:31" x14ac:dyDescent="0.25">
      <c r="A60" s="3" t="s">
        <v>25</v>
      </c>
      <c r="B60" s="1">
        <f t="shared" si="1"/>
        <v>0</v>
      </c>
      <c r="C60" s="1">
        <f t="shared" ref="C60:AE60" si="24">IF(C26&gt;$C$35,1,0)</f>
        <v>1</v>
      </c>
      <c r="D60" s="1">
        <f t="shared" si="24"/>
        <v>0</v>
      </c>
      <c r="E60" s="1">
        <f t="shared" si="24"/>
        <v>0</v>
      </c>
      <c r="F60" s="1">
        <f t="shared" si="24"/>
        <v>0</v>
      </c>
      <c r="G60" s="1">
        <f t="shared" si="24"/>
        <v>1</v>
      </c>
      <c r="H60" s="1">
        <f t="shared" si="24"/>
        <v>0</v>
      </c>
      <c r="I60" s="1">
        <f t="shared" si="24"/>
        <v>1</v>
      </c>
      <c r="J60" s="1">
        <f t="shared" si="24"/>
        <v>1</v>
      </c>
      <c r="K60" s="1">
        <f t="shared" si="24"/>
        <v>1</v>
      </c>
      <c r="L60" s="1">
        <f t="shared" si="24"/>
        <v>0</v>
      </c>
      <c r="M60" s="1">
        <f t="shared" si="24"/>
        <v>0</v>
      </c>
      <c r="N60" s="1">
        <f t="shared" si="24"/>
        <v>0</v>
      </c>
      <c r="O60" s="1">
        <f t="shared" si="24"/>
        <v>1</v>
      </c>
      <c r="P60" s="1">
        <f t="shared" si="24"/>
        <v>0</v>
      </c>
      <c r="Q60" s="1">
        <f t="shared" si="24"/>
        <v>1</v>
      </c>
      <c r="R60" s="1">
        <f t="shared" si="24"/>
        <v>0</v>
      </c>
      <c r="S60" s="1">
        <f t="shared" si="24"/>
        <v>1</v>
      </c>
      <c r="T60" s="1">
        <f t="shared" si="24"/>
        <v>0</v>
      </c>
      <c r="U60" s="1">
        <f t="shared" si="24"/>
        <v>0</v>
      </c>
      <c r="V60" s="1">
        <f t="shared" si="24"/>
        <v>0</v>
      </c>
      <c r="W60" s="1">
        <f t="shared" si="24"/>
        <v>0</v>
      </c>
      <c r="X60" s="1">
        <f t="shared" si="24"/>
        <v>0</v>
      </c>
      <c r="Y60" s="1">
        <f t="shared" si="24"/>
        <v>0</v>
      </c>
      <c r="Z60" s="1">
        <f t="shared" si="24"/>
        <v>0</v>
      </c>
      <c r="AA60" s="1">
        <f t="shared" si="24"/>
        <v>0</v>
      </c>
      <c r="AB60" s="1">
        <f t="shared" si="24"/>
        <v>0</v>
      </c>
      <c r="AC60" s="1">
        <f t="shared" si="24"/>
        <v>0</v>
      </c>
      <c r="AD60" s="1">
        <f t="shared" si="24"/>
        <v>1</v>
      </c>
      <c r="AE60" s="1">
        <f t="shared" si="24"/>
        <v>0</v>
      </c>
    </row>
    <row r="61" spans="1:31" x14ac:dyDescent="0.25">
      <c r="A61" s="3" t="s">
        <v>26</v>
      </c>
      <c r="B61" s="1">
        <f t="shared" si="1"/>
        <v>1</v>
      </c>
      <c r="C61" s="1">
        <f t="shared" ref="C61:AE61" si="25">IF(C27&gt;$C$35,1,0)</f>
        <v>1</v>
      </c>
      <c r="D61" s="1">
        <f t="shared" si="25"/>
        <v>1</v>
      </c>
      <c r="E61" s="1">
        <f t="shared" si="25"/>
        <v>1</v>
      </c>
      <c r="F61" s="1">
        <f t="shared" si="25"/>
        <v>1</v>
      </c>
      <c r="G61" s="1">
        <f t="shared" si="25"/>
        <v>1</v>
      </c>
      <c r="H61" s="1">
        <f t="shared" si="25"/>
        <v>1</v>
      </c>
      <c r="I61" s="1">
        <f t="shared" si="25"/>
        <v>1</v>
      </c>
      <c r="J61" s="1">
        <f t="shared" si="25"/>
        <v>1</v>
      </c>
      <c r="K61" s="1">
        <f t="shared" si="25"/>
        <v>1</v>
      </c>
      <c r="L61" s="1">
        <f t="shared" si="25"/>
        <v>1</v>
      </c>
      <c r="M61" s="1">
        <f t="shared" si="25"/>
        <v>1</v>
      </c>
      <c r="N61" s="1">
        <f t="shared" si="25"/>
        <v>1</v>
      </c>
      <c r="O61" s="1">
        <f t="shared" si="25"/>
        <v>1</v>
      </c>
      <c r="P61" s="1">
        <f t="shared" si="25"/>
        <v>1</v>
      </c>
      <c r="Q61" s="1">
        <f t="shared" si="25"/>
        <v>1</v>
      </c>
      <c r="R61" s="1">
        <f t="shared" si="25"/>
        <v>1</v>
      </c>
      <c r="S61" s="1">
        <f t="shared" si="25"/>
        <v>1</v>
      </c>
      <c r="T61" s="1">
        <f t="shared" si="25"/>
        <v>0</v>
      </c>
      <c r="U61" s="1">
        <f t="shared" si="25"/>
        <v>0</v>
      </c>
      <c r="V61" s="1">
        <f t="shared" si="25"/>
        <v>0</v>
      </c>
      <c r="W61" s="1">
        <f t="shared" si="25"/>
        <v>0</v>
      </c>
      <c r="X61" s="1">
        <f t="shared" si="25"/>
        <v>0</v>
      </c>
      <c r="Y61" s="1">
        <f t="shared" si="25"/>
        <v>0</v>
      </c>
      <c r="Z61" s="1">
        <f t="shared" si="25"/>
        <v>0</v>
      </c>
      <c r="AA61" s="1">
        <f t="shared" si="25"/>
        <v>0</v>
      </c>
      <c r="AB61" s="1">
        <f t="shared" si="25"/>
        <v>1</v>
      </c>
      <c r="AC61" s="1">
        <f t="shared" si="25"/>
        <v>1</v>
      </c>
      <c r="AD61" s="1">
        <f t="shared" si="25"/>
        <v>1</v>
      </c>
      <c r="AE61" s="1">
        <f t="shared" si="25"/>
        <v>1</v>
      </c>
    </row>
    <row r="62" spans="1:31" x14ac:dyDescent="0.25">
      <c r="A62" s="3" t="s">
        <v>27</v>
      </c>
      <c r="B62" s="1">
        <f t="shared" si="1"/>
        <v>0</v>
      </c>
      <c r="C62" s="1">
        <f t="shared" ref="C62:AE62" si="26">IF(C28&gt;$C$35,1,0)</f>
        <v>1</v>
      </c>
      <c r="D62" s="1">
        <f t="shared" si="26"/>
        <v>0</v>
      </c>
      <c r="E62" s="1">
        <f t="shared" si="26"/>
        <v>1</v>
      </c>
      <c r="F62" s="1">
        <f t="shared" si="26"/>
        <v>0</v>
      </c>
      <c r="G62" s="1">
        <f t="shared" si="26"/>
        <v>1</v>
      </c>
      <c r="H62" s="1">
        <f t="shared" si="26"/>
        <v>1</v>
      </c>
      <c r="I62" s="1">
        <f t="shared" si="26"/>
        <v>1</v>
      </c>
      <c r="J62" s="1">
        <f t="shared" si="26"/>
        <v>1</v>
      </c>
      <c r="K62" s="1">
        <f t="shared" si="26"/>
        <v>1</v>
      </c>
      <c r="L62" s="1">
        <f t="shared" si="26"/>
        <v>0</v>
      </c>
      <c r="M62" s="1">
        <f t="shared" si="26"/>
        <v>0</v>
      </c>
      <c r="N62" s="1">
        <f t="shared" si="26"/>
        <v>0</v>
      </c>
      <c r="O62" s="1">
        <f t="shared" si="26"/>
        <v>1</v>
      </c>
      <c r="P62" s="1">
        <f t="shared" si="26"/>
        <v>0</v>
      </c>
      <c r="Q62" s="1">
        <f t="shared" si="26"/>
        <v>1</v>
      </c>
      <c r="R62" s="1">
        <f t="shared" si="26"/>
        <v>0</v>
      </c>
      <c r="S62" s="1">
        <f t="shared" si="26"/>
        <v>1</v>
      </c>
      <c r="T62" s="1">
        <f t="shared" si="26"/>
        <v>0</v>
      </c>
      <c r="U62" s="1">
        <f t="shared" si="26"/>
        <v>0</v>
      </c>
      <c r="V62" s="1">
        <f t="shared" si="26"/>
        <v>0</v>
      </c>
      <c r="W62" s="1">
        <f t="shared" si="26"/>
        <v>0</v>
      </c>
      <c r="X62" s="1">
        <f t="shared" si="26"/>
        <v>0</v>
      </c>
      <c r="Y62" s="1">
        <f t="shared" si="26"/>
        <v>0</v>
      </c>
      <c r="Z62" s="1">
        <f t="shared" si="26"/>
        <v>0</v>
      </c>
      <c r="AA62" s="1">
        <f t="shared" si="26"/>
        <v>0</v>
      </c>
      <c r="AB62" s="1">
        <f t="shared" si="26"/>
        <v>0</v>
      </c>
      <c r="AC62" s="1">
        <f t="shared" si="26"/>
        <v>0</v>
      </c>
      <c r="AD62" s="1">
        <f t="shared" si="26"/>
        <v>1</v>
      </c>
      <c r="AE62" s="1">
        <f t="shared" si="26"/>
        <v>0</v>
      </c>
    </row>
    <row r="63" spans="1:31" x14ac:dyDescent="0.25">
      <c r="A63" s="3" t="s">
        <v>28</v>
      </c>
      <c r="B63" s="1">
        <f t="shared" si="1"/>
        <v>0</v>
      </c>
      <c r="C63" s="1">
        <f t="shared" ref="C63:AE63" si="27">IF(C29&gt;$C$35,1,0)</f>
        <v>0</v>
      </c>
      <c r="D63" s="1">
        <f t="shared" si="27"/>
        <v>0</v>
      </c>
      <c r="E63" s="1">
        <f t="shared" si="27"/>
        <v>0</v>
      </c>
      <c r="F63" s="1">
        <f t="shared" si="27"/>
        <v>0</v>
      </c>
      <c r="G63" s="1">
        <f t="shared" si="27"/>
        <v>0</v>
      </c>
      <c r="H63" s="1">
        <f t="shared" si="27"/>
        <v>0</v>
      </c>
      <c r="I63" s="1">
        <f t="shared" si="27"/>
        <v>1</v>
      </c>
      <c r="J63" s="1">
        <f t="shared" si="27"/>
        <v>1</v>
      </c>
      <c r="K63" s="1">
        <f t="shared" si="27"/>
        <v>0</v>
      </c>
      <c r="L63" s="1">
        <f t="shared" si="27"/>
        <v>0</v>
      </c>
      <c r="M63" s="1">
        <f t="shared" si="27"/>
        <v>0</v>
      </c>
      <c r="N63" s="1">
        <f t="shared" si="27"/>
        <v>0</v>
      </c>
      <c r="O63" s="1">
        <f t="shared" si="27"/>
        <v>0</v>
      </c>
      <c r="P63" s="1">
        <f t="shared" si="27"/>
        <v>0</v>
      </c>
      <c r="Q63" s="1">
        <f t="shared" si="27"/>
        <v>0</v>
      </c>
      <c r="R63" s="1">
        <f t="shared" si="27"/>
        <v>0</v>
      </c>
      <c r="S63" s="1">
        <f t="shared" si="27"/>
        <v>0</v>
      </c>
      <c r="T63" s="1">
        <f t="shared" si="27"/>
        <v>1</v>
      </c>
      <c r="U63" s="1">
        <f t="shared" si="27"/>
        <v>1</v>
      </c>
      <c r="V63" s="1">
        <f t="shared" si="27"/>
        <v>0</v>
      </c>
      <c r="W63" s="1">
        <f t="shared" si="27"/>
        <v>0</v>
      </c>
      <c r="X63" s="1">
        <f t="shared" si="27"/>
        <v>0</v>
      </c>
      <c r="Y63" s="1">
        <f t="shared" si="27"/>
        <v>0</v>
      </c>
      <c r="Z63" s="1">
        <f t="shared" si="27"/>
        <v>1</v>
      </c>
      <c r="AA63" s="1">
        <f t="shared" si="27"/>
        <v>0</v>
      </c>
      <c r="AB63" s="1">
        <f t="shared" si="27"/>
        <v>0</v>
      </c>
      <c r="AC63" s="1">
        <f t="shared" si="27"/>
        <v>0</v>
      </c>
      <c r="AD63" s="1">
        <f t="shared" si="27"/>
        <v>0</v>
      </c>
      <c r="AE63" s="1">
        <f t="shared" si="27"/>
        <v>0</v>
      </c>
    </row>
    <row r="64" spans="1:31" x14ac:dyDescent="0.25">
      <c r="A64" s="3" t="s">
        <v>29</v>
      </c>
      <c r="B64" s="1">
        <f t="shared" si="1"/>
        <v>0</v>
      </c>
      <c r="C64" s="1">
        <f t="shared" ref="C64:AE64" si="28">IF(C30&gt;$C$35,1,0)</f>
        <v>0</v>
      </c>
      <c r="D64" s="1">
        <f t="shared" si="28"/>
        <v>0</v>
      </c>
      <c r="E64" s="1">
        <f t="shared" si="28"/>
        <v>0</v>
      </c>
      <c r="F64" s="1">
        <f t="shared" si="28"/>
        <v>0</v>
      </c>
      <c r="G64" s="1">
        <f t="shared" si="28"/>
        <v>0</v>
      </c>
      <c r="H64" s="1">
        <f t="shared" si="28"/>
        <v>0</v>
      </c>
      <c r="I64" s="1">
        <f t="shared" si="28"/>
        <v>1</v>
      </c>
      <c r="J64" s="1">
        <f t="shared" si="28"/>
        <v>1</v>
      </c>
      <c r="K64" s="1">
        <f t="shared" si="28"/>
        <v>0</v>
      </c>
      <c r="L64" s="1">
        <f t="shared" si="28"/>
        <v>0</v>
      </c>
      <c r="M64" s="1">
        <f t="shared" si="28"/>
        <v>0</v>
      </c>
      <c r="N64" s="1">
        <f t="shared" si="28"/>
        <v>0</v>
      </c>
      <c r="O64" s="1">
        <f t="shared" si="28"/>
        <v>0</v>
      </c>
      <c r="P64" s="1">
        <f t="shared" si="28"/>
        <v>0</v>
      </c>
      <c r="Q64" s="1">
        <f t="shared" si="28"/>
        <v>0</v>
      </c>
      <c r="R64" s="1">
        <f t="shared" si="28"/>
        <v>0</v>
      </c>
      <c r="S64" s="1">
        <f t="shared" si="28"/>
        <v>0</v>
      </c>
      <c r="T64" s="1">
        <f t="shared" si="28"/>
        <v>1</v>
      </c>
      <c r="U64" s="1">
        <f t="shared" si="28"/>
        <v>1</v>
      </c>
      <c r="V64" s="1">
        <f t="shared" si="28"/>
        <v>0</v>
      </c>
      <c r="W64" s="1">
        <f t="shared" si="28"/>
        <v>0</v>
      </c>
      <c r="X64" s="1">
        <f t="shared" si="28"/>
        <v>0</v>
      </c>
      <c r="Y64" s="1">
        <f t="shared" si="28"/>
        <v>0</v>
      </c>
      <c r="Z64" s="1">
        <f t="shared" si="28"/>
        <v>1</v>
      </c>
      <c r="AA64" s="1">
        <f t="shared" si="28"/>
        <v>0</v>
      </c>
      <c r="AB64" s="1">
        <f t="shared" si="28"/>
        <v>0</v>
      </c>
      <c r="AC64" s="1">
        <f t="shared" si="28"/>
        <v>0</v>
      </c>
      <c r="AD64" s="1">
        <f t="shared" si="28"/>
        <v>0</v>
      </c>
      <c r="AE64" s="1">
        <f t="shared" si="28"/>
        <v>0</v>
      </c>
    </row>
    <row r="65" spans="1:32" x14ac:dyDescent="0.25">
      <c r="A65" s="3" t="s">
        <v>30</v>
      </c>
      <c r="B65" s="1">
        <f t="shared" si="1"/>
        <v>0</v>
      </c>
      <c r="C65" s="1">
        <f t="shared" ref="C65:AE65" si="29">IF(C31&gt;$C$35,1,0)</f>
        <v>0</v>
      </c>
      <c r="D65" s="1">
        <f t="shared" si="29"/>
        <v>0</v>
      </c>
      <c r="E65" s="1">
        <f t="shared" si="29"/>
        <v>0</v>
      </c>
      <c r="F65" s="1">
        <f t="shared" si="29"/>
        <v>1</v>
      </c>
      <c r="G65" s="1">
        <f t="shared" si="29"/>
        <v>0</v>
      </c>
      <c r="H65" s="1">
        <f t="shared" si="29"/>
        <v>0</v>
      </c>
      <c r="I65" s="1">
        <f t="shared" si="29"/>
        <v>1</v>
      </c>
      <c r="J65" s="1">
        <f t="shared" si="29"/>
        <v>0</v>
      </c>
      <c r="K65" s="1">
        <f t="shared" si="29"/>
        <v>0</v>
      </c>
      <c r="L65" s="1">
        <f t="shared" si="29"/>
        <v>1</v>
      </c>
      <c r="M65" s="1">
        <f t="shared" si="29"/>
        <v>0</v>
      </c>
      <c r="N65" s="1">
        <f t="shared" si="29"/>
        <v>0</v>
      </c>
      <c r="O65" s="1">
        <f t="shared" si="29"/>
        <v>0</v>
      </c>
      <c r="P65" s="1">
        <f t="shared" si="29"/>
        <v>0</v>
      </c>
      <c r="Q65" s="1">
        <f t="shared" si="29"/>
        <v>0</v>
      </c>
      <c r="R65" s="1">
        <f t="shared" si="29"/>
        <v>1</v>
      </c>
      <c r="S65" s="1">
        <f t="shared" si="29"/>
        <v>0</v>
      </c>
      <c r="T65" s="1">
        <f t="shared" si="29"/>
        <v>1</v>
      </c>
      <c r="U65" s="1">
        <f t="shared" si="29"/>
        <v>1</v>
      </c>
      <c r="V65" s="1">
        <f t="shared" si="29"/>
        <v>1</v>
      </c>
      <c r="W65" s="1">
        <f t="shared" si="29"/>
        <v>1</v>
      </c>
      <c r="X65" s="1">
        <f t="shared" si="29"/>
        <v>1</v>
      </c>
      <c r="Y65" s="1">
        <f t="shared" si="29"/>
        <v>1</v>
      </c>
      <c r="Z65" s="1">
        <f t="shared" si="29"/>
        <v>1</v>
      </c>
      <c r="AA65" s="1">
        <f t="shared" si="29"/>
        <v>1</v>
      </c>
      <c r="AB65" s="1">
        <f t="shared" si="29"/>
        <v>0</v>
      </c>
      <c r="AC65" s="1">
        <f t="shared" si="29"/>
        <v>0</v>
      </c>
      <c r="AD65" s="1">
        <f t="shared" si="29"/>
        <v>0</v>
      </c>
      <c r="AE65" s="1">
        <f t="shared" si="29"/>
        <v>1</v>
      </c>
    </row>
    <row r="66" spans="1:32" x14ac:dyDescent="0.25">
      <c r="A66" s="3" t="s">
        <v>31</v>
      </c>
      <c r="B66" s="1">
        <f t="shared" si="1"/>
        <v>0</v>
      </c>
      <c r="C66" s="1">
        <f t="shared" ref="C66:AE66" si="30">IF(C32&gt;$C$35,1,0)</f>
        <v>0</v>
      </c>
      <c r="D66" s="1">
        <f t="shared" si="30"/>
        <v>0</v>
      </c>
      <c r="E66" s="1">
        <f t="shared" si="30"/>
        <v>0</v>
      </c>
      <c r="F66" s="1">
        <f t="shared" si="30"/>
        <v>0</v>
      </c>
      <c r="G66" s="1">
        <f t="shared" si="30"/>
        <v>1</v>
      </c>
      <c r="H66" s="1">
        <f t="shared" si="30"/>
        <v>0</v>
      </c>
      <c r="I66" s="1">
        <f t="shared" si="30"/>
        <v>1</v>
      </c>
      <c r="J66" s="1">
        <f t="shared" si="30"/>
        <v>1</v>
      </c>
      <c r="K66" s="1">
        <f t="shared" si="30"/>
        <v>0</v>
      </c>
      <c r="L66" s="1">
        <f t="shared" si="30"/>
        <v>0</v>
      </c>
      <c r="M66" s="1">
        <f t="shared" si="30"/>
        <v>0</v>
      </c>
      <c r="N66" s="1">
        <f t="shared" si="30"/>
        <v>0</v>
      </c>
      <c r="O66" s="1">
        <f t="shared" si="30"/>
        <v>1</v>
      </c>
      <c r="P66" s="1">
        <f t="shared" si="30"/>
        <v>0</v>
      </c>
      <c r="Q66" s="1">
        <f t="shared" si="30"/>
        <v>0</v>
      </c>
      <c r="R66" s="1">
        <f t="shared" si="30"/>
        <v>0</v>
      </c>
      <c r="S66" s="1">
        <f t="shared" si="30"/>
        <v>1</v>
      </c>
      <c r="T66" s="1">
        <f t="shared" si="30"/>
        <v>1</v>
      </c>
      <c r="U66" s="1">
        <f t="shared" si="30"/>
        <v>0</v>
      </c>
      <c r="V66" s="1">
        <f t="shared" si="30"/>
        <v>0</v>
      </c>
      <c r="W66" s="1">
        <f t="shared" si="30"/>
        <v>0</v>
      </c>
      <c r="X66" s="1">
        <f t="shared" si="30"/>
        <v>0</v>
      </c>
      <c r="Y66" s="1">
        <f t="shared" si="30"/>
        <v>0</v>
      </c>
      <c r="Z66" s="1">
        <f t="shared" si="30"/>
        <v>1</v>
      </c>
      <c r="AA66" s="1">
        <f t="shared" si="30"/>
        <v>0</v>
      </c>
      <c r="AB66" s="1">
        <f t="shared" si="30"/>
        <v>0</v>
      </c>
      <c r="AC66" s="1">
        <f t="shared" si="30"/>
        <v>0</v>
      </c>
      <c r="AD66" s="1">
        <f t="shared" si="30"/>
        <v>1</v>
      </c>
      <c r="AE66" s="1">
        <f t="shared" si="30"/>
        <v>0</v>
      </c>
    </row>
    <row r="70" spans="1:32" x14ac:dyDescent="0.25">
      <c r="C70" s="3" t="s">
        <v>2</v>
      </c>
      <c r="D70" s="3" t="s">
        <v>3</v>
      </c>
      <c r="E70" s="3" t="s">
        <v>4</v>
      </c>
      <c r="F70" s="3" t="s">
        <v>5</v>
      </c>
      <c r="G70" s="3" t="s">
        <v>6</v>
      </c>
      <c r="H70" s="3" t="s">
        <v>7</v>
      </c>
      <c r="I70" s="3" t="s">
        <v>8</v>
      </c>
      <c r="J70" s="3" t="s">
        <v>9</v>
      </c>
      <c r="K70" s="3" t="s">
        <v>10</v>
      </c>
      <c r="L70" s="3" t="s">
        <v>11</v>
      </c>
      <c r="M70" s="3" t="s">
        <v>12</v>
      </c>
      <c r="N70" s="3" t="s">
        <v>13</v>
      </c>
      <c r="O70" s="3" t="s">
        <v>14</v>
      </c>
      <c r="P70" s="3" t="s">
        <v>15</v>
      </c>
      <c r="Q70" s="3" t="s">
        <v>16</v>
      </c>
      <c r="R70" s="3" t="s">
        <v>17</v>
      </c>
      <c r="S70" s="3" t="s">
        <v>18</v>
      </c>
      <c r="T70" s="3" t="s">
        <v>19</v>
      </c>
      <c r="U70" s="3" t="s">
        <v>20</v>
      </c>
      <c r="V70" s="3" t="s">
        <v>21</v>
      </c>
      <c r="W70" s="3" t="s">
        <v>22</v>
      </c>
      <c r="X70" s="3" t="s">
        <v>23</v>
      </c>
      <c r="Y70" s="3" t="s">
        <v>24</v>
      </c>
      <c r="Z70" s="3" t="s">
        <v>25</v>
      </c>
      <c r="AA70" s="3" t="s">
        <v>26</v>
      </c>
      <c r="AB70" s="3" t="s">
        <v>27</v>
      </c>
      <c r="AC70" s="3" t="s">
        <v>28</v>
      </c>
      <c r="AD70" s="3" t="s">
        <v>29</v>
      </c>
      <c r="AE70" s="3" t="s">
        <v>30</v>
      </c>
      <c r="AF70" s="3" t="s">
        <v>31</v>
      </c>
    </row>
    <row r="71" spans="1:32" x14ac:dyDescent="0.25">
      <c r="A71" s="3" t="s">
        <v>2</v>
      </c>
      <c r="B71" s="13" t="s">
        <v>76</v>
      </c>
    </row>
    <row r="72" spans="1:32" x14ac:dyDescent="0.25">
      <c r="A72" s="3" t="s">
        <v>3</v>
      </c>
      <c r="B72" s="1">
        <v>1.21762520922664E-2</v>
      </c>
      <c r="C72" s="1">
        <f t="shared" ref="C72:C77" si="31">ABS($B$71-B72)</f>
        <v>3.0040688930839999E-3</v>
      </c>
    </row>
    <row r="73" spans="1:32" x14ac:dyDescent="0.25">
      <c r="A73" s="3" t="s">
        <v>4</v>
      </c>
      <c r="B73" s="1">
        <v>1.6180611345537398E-2</v>
      </c>
      <c r="C73" s="1">
        <f t="shared" si="31"/>
        <v>1.0002903601870001E-3</v>
      </c>
      <c r="D73" s="1">
        <f>ABS($B$72-B73)</f>
        <v>4.0043592532710004E-3</v>
      </c>
    </row>
    <row r="74" spans="1:32" x14ac:dyDescent="0.25">
      <c r="A74" s="3" t="s">
        <v>5</v>
      </c>
      <c r="B74" s="1">
        <v>1.4508274154668099E-2</v>
      </c>
      <c r="C74" s="1">
        <f t="shared" si="31"/>
        <v>6.7204683068230195E-4</v>
      </c>
      <c r="D74" s="1">
        <f t="shared" ref="D74:D100" si="32">ABS($B$72-B74)</f>
        <v>2.3320220624017001E-3</v>
      </c>
      <c r="E74" s="1">
        <f>ABS($B$73-B74)</f>
        <v>1.6723371908693001E-3</v>
      </c>
    </row>
    <row r="75" spans="1:32" x14ac:dyDescent="0.25">
      <c r="A75" s="3" t="s">
        <v>6</v>
      </c>
      <c r="B75" s="1">
        <v>1.9195993879538201E-2</v>
      </c>
      <c r="C75" s="1">
        <f t="shared" si="31"/>
        <v>4.0156728941877998E-3</v>
      </c>
      <c r="D75" s="1">
        <f t="shared" si="32"/>
        <v>7.0197417872718002E-3</v>
      </c>
      <c r="E75" s="1">
        <f t="shared" ref="E75:E100" si="33">ABS($B$73-B75)</f>
        <v>3.0153825340007998E-3</v>
      </c>
      <c r="F75" s="1">
        <f>ABS($B$74-B75)</f>
        <v>4.6877197248700996E-3</v>
      </c>
    </row>
    <row r="76" spans="1:32" x14ac:dyDescent="0.25">
      <c r="A76" s="3" t="s">
        <v>7</v>
      </c>
      <c r="B76" s="1">
        <v>8.3692671539394494E-3</v>
      </c>
      <c r="C76" s="1">
        <f t="shared" si="31"/>
        <v>6.8110538314109497E-3</v>
      </c>
      <c r="D76" s="1">
        <f t="shared" si="32"/>
        <v>3.8069849383269498E-3</v>
      </c>
      <c r="E76" s="1">
        <f t="shared" si="33"/>
        <v>7.8113441915979498E-3</v>
      </c>
      <c r="F76" s="1">
        <f t="shared" ref="F76:F100" si="34">ABS($B$74-B76)</f>
        <v>6.1390070007286499E-3</v>
      </c>
      <c r="G76" s="1">
        <f>ABS($B$75-B76)</f>
        <v>1.08267267255988E-2</v>
      </c>
    </row>
    <row r="77" spans="1:32" x14ac:dyDescent="0.25">
      <c r="A77" s="3" t="s">
        <v>8</v>
      </c>
      <c r="B77" s="1">
        <v>1.46126567833578E-2</v>
      </c>
      <c r="C77" s="1">
        <f t="shared" si="31"/>
        <v>5.6766420199260001E-4</v>
      </c>
      <c r="D77" s="1">
        <f t="shared" si="32"/>
        <v>2.4364046910913999E-3</v>
      </c>
      <c r="E77" s="1">
        <f t="shared" si="33"/>
        <v>1.5679545621796001E-3</v>
      </c>
      <c r="F77" s="1">
        <f t="shared" si="34"/>
        <v>1.04382628689701E-4</v>
      </c>
      <c r="G77" s="1">
        <f t="shared" ref="G77:G100" si="35">ABS($B$75-B77)</f>
        <v>4.5833370961804003E-3</v>
      </c>
      <c r="H77" s="1">
        <f>ABS($B$76-B77)</f>
        <v>6.2433896294183501E-3</v>
      </c>
    </row>
    <row r="78" spans="1:32" x14ac:dyDescent="0.25">
      <c r="A78" s="3" t="s">
        <v>9</v>
      </c>
      <c r="B78" s="1">
        <v>-1.5257110566961701E-2</v>
      </c>
      <c r="C78" s="1">
        <f t="shared" ref="C78:C100" si="36">ABS($B$71-B78)</f>
        <v>3.04374315523121E-2</v>
      </c>
      <c r="D78" s="1">
        <f t="shared" si="32"/>
        <v>2.7433362659228099E-2</v>
      </c>
      <c r="E78" s="1">
        <f t="shared" si="33"/>
        <v>3.1437721912499099E-2</v>
      </c>
      <c r="F78" s="1">
        <f t="shared" si="34"/>
        <v>2.97653847216298E-2</v>
      </c>
      <c r="G78" s="1">
        <f t="shared" si="35"/>
        <v>3.4453104446499898E-2</v>
      </c>
      <c r="H78" s="1">
        <f t="shared" ref="H78:H100" si="37">ABS($B$76-B78)</f>
        <v>2.36263777209011E-2</v>
      </c>
      <c r="I78" s="1">
        <f>ABS($B$77-B78)</f>
        <v>2.9869767350319501E-2</v>
      </c>
    </row>
    <row r="79" spans="1:32" x14ac:dyDescent="0.25">
      <c r="A79" s="3" t="s">
        <v>10</v>
      </c>
      <c r="B79" s="1">
        <v>5.3454869423451403E-3</v>
      </c>
      <c r="C79" s="1">
        <f t="shared" si="36"/>
        <v>9.8348340430052597E-3</v>
      </c>
      <c r="D79" s="1">
        <f t="shared" si="32"/>
        <v>6.8307651499212602E-3</v>
      </c>
      <c r="E79" s="1">
        <f t="shared" si="33"/>
        <v>1.0835124403192301E-2</v>
      </c>
      <c r="F79" s="1">
        <f t="shared" si="34"/>
        <v>9.1627872123229599E-3</v>
      </c>
      <c r="G79" s="1">
        <f t="shared" si="35"/>
        <v>1.3850506937193099E-2</v>
      </c>
      <c r="H79" s="1">
        <f t="shared" si="37"/>
        <v>3.02378021159431E-3</v>
      </c>
      <c r="I79" s="1">
        <f t="shared" ref="I79:I100" si="38">ABS($B$77-B79)</f>
        <v>9.2671698410126593E-3</v>
      </c>
      <c r="J79" s="1">
        <f>ABS($B$78-B79)</f>
        <v>2.0602597509306798E-2</v>
      </c>
    </row>
    <row r="80" spans="1:32" x14ac:dyDescent="0.25">
      <c r="A80" s="3" t="s">
        <v>11</v>
      </c>
      <c r="B80" s="1">
        <v>9.7876917456939608E-3</v>
      </c>
      <c r="C80" s="1">
        <f t="shared" si="36"/>
        <v>5.39262923965644E-3</v>
      </c>
      <c r="D80" s="1">
        <f t="shared" si="32"/>
        <v>2.3885603465724401E-3</v>
      </c>
      <c r="E80" s="1">
        <f t="shared" si="33"/>
        <v>6.3929195998434401E-3</v>
      </c>
      <c r="F80" s="1">
        <f t="shared" si="34"/>
        <v>4.7205824089741402E-3</v>
      </c>
      <c r="G80" s="1">
        <f t="shared" si="35"/>
        <v>9.4083021338442398E-3</v>
      </c>
      <c r="H80" s="1">
        <f t="shared" si="37"/>
        <v>1.4184245917545099E-3</v>
      </c>
      <c r="I80" s="1">
        <f t="shared" si="38"/>
        <v>4.8249650376638404E-3</v>
      </c>
      <c r="J80" s="1">
        <f t="shared" ref="J80:J100" si="39">ABS($B$78-B80)</f>
        <v>2.5044802312655701E-2</v>
      </c>
      <c r="K80" s="1">
        <f>ABS($B$79-B80)</f>
        <v>4.4422048033488197E-3</v>
      </c>
    </row>
    <row r="81" spans="1:27" x14ac:dyDescent="0.25">
      <c r="A81" s="3" t="s">
        <v>12</v>
      </c>
      <c r="B81" s="1">
        <v>1.6888199862759599E-2</v>
      </c>
      <c r="C81" s="1">
        <f t="shared" si="36"/>
        <v>1.7078788774091999E-3</v>
      </c>
      <c r="D81" s="1">
        <f t="shared" si="32"/>
        <v>4.7119477704931998E-3</v>
      </c>
      <c r="E81" s="1">
        <f t="shared" si="33"/>
        <v>7.0758851722220104E-4</v>
      </c>
      <c r="F81" s="1">
        <f t="shared" si="34"/>
        <v>2.3799257080915001E-3</v>
      </c>
      <c r="G81" s="1">
        <f t="shared" si="35"/>
        <v>2.3077940167785999E-3</v>
      </c>
      <c r="H81" s="1">
        <f t="shared" si="37"/>
        <v>8.51893270882015E-3</v>
      </c>
      <c r="I81" s="1">
        <f t="shared" si="38"/>
        <v>2.2755430794017999E-3</v>
      </c>
      <c r="J81" s="1">
        <f t="shared" si="39"/>
        <v>3.2145310429721297E-2</v>
      </c>
      <c r="K81" s="1">
        <f t="shared" ref="K81:K100" si="40">ABS($B$79-B81)</f>
        <v>1.15427129204145E-2</v>
      </c>
      <c r="L81" s="1">
        <f>ABS($B$80-B81)</f>
        <v>7.1005081170656403E-3</v>
      </c>
    </row>
    <row r="82" spans="1:27" x14ac:dyDescent="0.25">
      <c r="A82" s="3" t="s">
        <v>13</v>
      </c>
      <c r="B82" s="1">
        <v>1.6157605586230101E-2</v>
      </c>
      <c r="C82" s="1">
        <f t="shared" si="36"/>
        <v>9.7728460087970009E-4</v>
      </c>
      <c r="D82" s="1">
        <f t="shared" si="32"/>
        <v>3.9813534939636998E-3</v>
      </c>
      <c r="E82" s="1">
        <f t="shared" si="33"/>
        <v>2.3005759307297099E-5</v>
      </c>
      <c r="F82" s="1">
        <f t="shared" si="34"/>
        <v>1.6493314315620001E-3</v>
      </c>
      <c r="G82" s="1">
        <f t="shared" si="35"/>
        <v>3.0383882933081E-3</v>
      </c>
      <c r="H82" s="1">
        <f t="shared" si="37"/>
        <v>7.78833843229065E-3</v>
      </c>
      <c r="I82" s="1">
        <f t="shared" si="38"/>
        <v>1.5449488028723001E-3</v>
      </c>
      <c r="J82" s="1">
        <f t="shared" si="39"/>
        <v>3.1414716153191802E-2</v>
      </c>
      <c r="K82" s="1">
        <f t="shared" si="40"/>
        <v>1.0812118643885E-2</v>
      </c>
      <c r="L82" s="1">
        <f t="shared" ref="L82:L100" si="41">ABS($B$80-B82)</f>
        <v>6.3699138405361403E-3</v>
      </c>
      <c r="M82" s="1">
        <f>ABS($B$81-B82)</f>
        <v>7.3059427652949797E-4</v>
      </c>
    </row>
    <row r="83" spans="1:27" x14ac:dyDescent="0.25">
      <c r="A83" s="3" t="s">
        <v>14</v>
      </c>
      <c r="B83" s="1">
        <v>1.54182777786268E-2</v>
      </c>
      <c r="C83" s="1">
        <f t="shared" si="36"/>
        <v>2.3795679327639899E-4</v>
      </c>
      <c r="D83" s="1">
        <f t="shared" si="32"/>
        <v>3.2420256863603999E-3</v>
      </c>
      <c r="E83" s="1">
        <f t="shared" si="33"/>
        <v>7.62333566910599E-4</v>
      </c>
      <c r="F83" s="1">
        <f t="shared" si="34"/>
        <v>9.1000362395869997E-4</v>
      </c>
      <c r="G83" s="1">
        <f t="shared" si="35"/>
        <v>3.7777161009113999E-3</v>
      </c>
      <c r="H83" s="1">
        <f t="shared" si="37"/>
        <v>7.0490106246873501E-3</v>
      </c>
      <c r="I83" s="1">
        <f t="shared" si="38"/>
        <v>8.05620995268999E-4</v>
      </c>
      <c r="J83" s="1">
        <f t="shared" si="39"/>
        <v>3.06753883455885E-2</v>
      </c>
      <c r="K83" s="1">
        <f t="shared" si="40"/>
        <v>1.00727908362817E-2</v>
      </c>
      <c r="L83" s="1">
        <f t="shared" si="41"/>
        <v>5.6305860329328404E-3</v>
      </c>
      <c r="M83" s="1">
        <f t="shared" ref="M83:M100" si="42">ABS($B$81-B83)</f>
        <v>1.4699220841327999E-3</v>
      </c>
      <c r="N83" s="1">
        <f>ABS($B$82-B83)</f>
        <v>7.3932780760330196E-4</v>
      </c>
    </row>
    <row r="84" spans="1:27" x14ac:dyDescent="0.25">
      <c r="A84" s="3" t="s">
        <v>15</v>
      </c>
      <c r="B84" s="1">
        <v>8.8913045707663708E-3</v>
      </c>
      <c r="C84" s="1">
        <f t="shared" si="36"/>
        <v>6.28901641458403E-3</v>
      </c>
      <c r="D84" s="1">
        <f t="shared" si="32"/>
        <v>3.2849475215000301E-3</v>
      </c>
      <c r="E84" s="1">
        <f t="shared" si="33"/>
        <v>7.2893067747710301E-3</v>
      </c>
      <c r="F84" s="1">
        <f t="shared" si="34"/>
        <v>5.6169695839017302E-3</v>
      </c>
      <c r="G84" s="1">
        <f t="shared" si="35"/>
        <v>1.03046893087718E-2</v>
      </c>
      <c r="H84" s="1">
        <f t="shared" si="37"/>
        <v>5.22037416826921E-4</v>
      </c>
      <c r="I84" s="1">
        <f t="shared" si="38"/>
        <v>5.7213522125914304E-3</v>
      </c>
      <c r="J84" s="1">
        <f t="shared" si="39"/>
        <v>2.4148415137728099E-2</v>
      </c>
      <c r="K84" s="1">
        <f t="shared" si="40"/>
        <v>3.5458176284212301E-3</v>
      </c>
      <c r="L84" s="1">
        <f t="shared" si="41"/>
        <v>8.9638717492759E-4</v>
      </c>
      <c r="M84" s="1">
        <f t="shared" si="42"/>
        <v>7.9968952919932303E-3</v>
      </c>
      <c r="N84" s="1">
        <f t="shared" ref="N84:N100" si="43">ABS($B$82-B84)</f>
        <v>7.2663010154637303E-3</v>
      </c>
      <c r="O84" s="1">
        <f>ABS($B$83-B84)</f>
        <v>6.5269732078604304E-3</v>
      </c>
    </row>
    <row r="85" spans="1:27" x14ac:dyDescent="0.25">
      <c r="A85" s="3" t="s">
        <v>16</v>
      </c>
      <c r="B85" s="1">
        <v>1.53189244675088E-2</v>
      </c>
      <c r="C85" s="1">
        <f t="shared" si="36"/>
        <v>1.3860348215839901E-4</v>
      </c>
      <c r="D85" s="1">
        <f t="shared" si="32"/>
        <v>3.1426723752424001E-3</v>
      </c>
      <c r="E85" s="1">
        <f t="shared" si="33"/>
        <v>8.6168687802859803E-4</v>
      </c>
      <c r="F85" s="1">
        <f t="shared" si="34"/>
        <v>8.1065031284070104E-4</v>
      </c>
      <c r="G85" s="1">
        <f t="shared" si="35"/>
        <v>3.8770694120294001E-3</v>
      </c>
      <c r="H85" s="1">
        <f t="shared" si="37"/>
        <v>6.9496573135693499E-3</v>
      </c>
      <c r="I85" s="1">
        <f t="shared" si="38"/>
        <v>7.0626768415099996E-4</v>
      </c>
      <c r="J85" s="1">
        <f t="shared" si="39"/>
        <v>3.0576035034470501E-2</v>
      </c>
      <c r="K85" s="1">
        <f t="shared" si="40"/>
        <v>9.9734375251636607E-3</v>
      </c>
      <c r="L85" s="1">
        <f t="shared" si="41"/>
        <v>5.5312327218148402E-3</v>
      </c>
      <c r="M85" s="1">
        <f t="shared" si="42"/>
        <v>1.5692753952507999E-3</v>
      </c>
      <c r="N85" s="1">
        <f t="shared" si="43"/>
        <v>8.3868111872130099E-4</v>
      </c>
      <c r="O85" s="1">
        <f>ABS($B$83-B85)</f>
        <v>9.9353311117999401E-5</v>
      </c>
      <c r="P85" s="1">
        <f>ABS($B$84-B85)</f>
        <v>6.4276198967424302E-3</v>
      </c>
    </row>
    <row r="86" spans="1:27" x14ac:dyDescent="0.25">
      <c r="A86" s="3" t="s">
        <v>17</v>
      </c>
      <c r="B86" s="1">
        <v>1.27234718519585E-2</v>
      </c>
      <c r="C86" s="1">
        <f t="shared" si="36"/>
        <v>2.4568491333919001E-3</v>
      </c>
      <c r="D86" s="1">
        <f t="shared" si="32"/>
        <v>5.4721975969210105E-4</v>
      </c>
      <c r="E86" s="1">
        <f t="shared" si="33"/>
        <v>3.4571394935789001E-3</v>
      </c>
      <c r="F86" s="1">
        <f t="shared" si="34"/>
        <v>1.7848023027096001E-3</v>
      </c>
      <c r="G86" s="1">
        <f t="shared" si="35"/>
        <v>6.4725220275797003E-3</v>
      </c>
      <c r="H86" s="1">
        <f t="shared" si="37"/>
        <v>4.3542046980190501E-3</v>
      </c>
      <c r="I86" s="1">
        <f t="shared" si="38"/>
        <v>1.8891849313993E-3</v>
      </c>
      <c r="J86" s="1">
        <f t="shared" si="39"/>
        <v>2.7980582418920201E-2</v>
      </c>
      <c r="K86" s="1">
        <f t="shared" si="40"/>
        <v>7.3779849096133601E-3</v>
      </c>
      <c r="L86" s="1">
        <f t="shared" si="41"/>
        <v>2.9357801062645399E-3</v>
      </c>
      <c r="M86" s="1">
        <f t="shared" si="42"/>
        <v>4.1647280108011E-3</v>
      </c>
      <c r="N86" s="1">
        <f t="shared" si="43"/>
        <v>3.4341337342715999E-3</v>
      </c>
      <c r="O86" s="1">
        <f t="shared" ref="O86:O100" si="44">ABS($B$83-B86)</f>
        <v>2.6948059266683E-3</v>
      </c>
      <c r="P86" s="1">
        <f t="shared" ref="P86:P100" si="45">ABS($B$84-B86)</f>
        <v>3.8321672811921299E-3</v>
      </c>
      <c r="Q86" s="1">
        <f>ABS($B$85-B86)</f>
        <v>2.5954526155502998E-3</v>
      </c>
    </row>
    <row r="87" spans="1:27" x14ac:dyDescent="0.25">
      <c r="A87" s="3" t="s">
        <v>18</v>
      </c>
      <c r="B87" s="1">
        <v>1.75009705274424E-2</v>
      </c>
      <c r="C87" s="1">
        <f t="shared" si="36"/>
        <v>2.3206495420919999E-3</v>
      </c>
      <c r="D87" s="1">
        <f t="shared" si="32"/>
        <v>5.3247184351760003E-3</v>
      </c>
      <c r="E87" s="1">
        <f t="shared" si="33"/>
        <v>1.3203591819050001E-3</v>
      </c>
      <c r="F87" s="1">
        <f t="shared" si="34"/>
        <v>2.9926963727743001E-3</v>
      </c>
      <c r="G87" s="1">
        <f t="shared" si="35"/>
        <v>1.6950233520957999E-3</v>
      </c>
      <c r="H87" s="1">
        <f t="shared" si="37"/>
        <v>9.1317033735029505E-3</v>
      </c>
      <c r="I87" s="1">
        <f t="shared" si="38"/>
        <v>2.8883137440845999E-3</v>
      </c>
      <c r="J87" s="1">
        <f t="shared" si="39"/>
        <v>3.2758081094404097E-2</v>
      </c>
      <c r="K87" s="1">
        <f t="shared" si="40"/>
        <v>1.21554835850973E-2</v>
      </c>
      <c r="L87" s="1">
        <f t="shared" si="41"/>
        <v>7.7132787817484399E-3</v>
      </c>
      <c r="M87" s="1">
        <f t="shared" si="42"/>
        <v>6.1277066468280001E-4</v>
      </c>
      <c r="N87" s="1">
        <f t="shared" si="43"/>
        <v>1.3433649412123E-3</v>
      </c>
      <c r="O87" s="1">
        <f t="shared" si="44"/>
        <v>2.0826927488155999E-3</v>
      </c>
      <c r="P87" s="1">
        <f t="shared" si="45"/>
        <v>8.6096659566760308E-3</v>
      </c>
      <c r="Q87" s="1">
        <f t="shared" ref="Q87:Q100" si="46">ABS($B$85-B87)</f>
        <v>2.1820460599336002E-3</v>
      </c>
      <c r="R87" s="1">
        <f>ABS($B$86-B87)</f>
        <v>4.7774986754839004E-3</v>
      </c>
    </row>
    <row r="88" spans="1:27" x14ac:dyDescent="0.25">
      <c r="A88" s="3" t="s">
        <v>19</v>
      </c>
      <c r="B88" s="1">
        <v>8.0351555833665309E-3</v>
      </c>
      <c r="C88" s="1">
        <f t="shared" si="36"/>
        <v>7.14516540198387E-3</v>
      </c>
      <c r="D88" s="1">
        <f t="shared" si="32"/>
        <v>4.1410965088998697E-3</v>
      </c>
      <c r="E88" s="1">
        <f t="shared" si="33"/>
        <v>8.1454557621708692E-3</v>
      </c>
      <c r="F88" s="1">
        <f t="shared" si="34"/>
        <v>6.4731185713015702E-3</v>
      </c>
      <c r="G88" s="1">
        <f t="shared" si="35"/>
        <v>1.1160838296171699E-2</v>
      </c>
      <c r="H88" s="1">
        <f t="shared" si="37"/>
        <v>3.3411157057291899E-4</v>
      </c>
      <c r="I88" s="1">
        <f t="shared" si="38"/>
        <v>6.5775011999912704E-3</v>
      </c>
      <c r="J88" s="1">
        <f t="shared" si="39"/>
        <v>2.32922661503282E-2</v>
      </c>
      <c r="K88" s="1">
        <f t="shared" si="40"/>
        <v>2.6896686410213901E-3</v>
      </c>
      <c r="L88" s="1">
        <f t="shared" si="41"/>
        <v>1.75253616232743E-3</v>
      </c>
      <c r="M88" s="1">
        <f t="shared" si="42"/>
        <v>8.8530442793930703E-3</v>
      </c>
      <c r="N88" s="1">
        <f t="shared" si="43"/>
        <v>8.1224500028635703E-3</v>
      </c>
      <c r="O88" s="1">
        <f t="shared" si="44"/>
        <v>7.3831221952602704E-3</v>
      </c>
      <c r="P88" s="1">
        <f t="shared" si="45"/>
        <v>8.5614898739983999E-4</v>
      </c>
      <c r="Q88" s="1">
        <f t="shared" si="46"/>
        <v>7.2837688841422702E-3</v>
      </c>
      <c r="R88" s="1">
        <f t="shared" ref="R88:R100" si="47">ABS($B$86-B88)</f>
        <v>4.6883162685919704E-3</v>
      </c>
      <c r="S88" s="1">
        <f>ABS($B$87-B88)</f>
        <v>9.4658149440758708E-3</v>
      </c>
    </row>
    <row r="89" spans="1:27" x14ac:dyDescent="0.25">
      <c r="A89" s="3" t="s">
        <v>20</v>
      </c>
      <c r="B89" s="1">
        <v>2.8287909829972799E-2</v>
      </c>
      <c r="C89" s="1">
        <f t="shared" si="36"/>
        <v>1.31075888446224E-2</v>
      </c>
      <c r="D89" s="1">
        <f t="shared" si="32"/>
        <v>1.6111657737706401E-2</v>
      </c>
      <c r="E89" s="1">
        <f t="shared" si="33"/>
        <v>1.21072984844354E-2</v>
      </c>
      <c r="F89" s="1">
        <f t="shared" si="34"/>
        <v>1.3779635675304699E-2</v>
      </c>
      <c r="G89" s="1">
        <f t="shared" si="35"/>
        <v>9.0919159504345998E-3</v>
      </c>
      <c r="H89" s="1">
        <f t="shared" si="37"/>
        <v>1.9918642676033299E-2</v>
      </c>
      <c r="I89" s="1">
        <f t="shared" si="38"/>
        <v>1.3675253046615E-2</v>
      </c>
      <c r="J89" s="1">
        <f t="shared" si="39"/>
        <v>4.3545020396934503E-2</v>
      </c>
      <c r="K89" s="1">
        <f t="shared" si="40"/>
        <v>2.2942422887627701E-2</v>
      </c>
      <c r="L89" s="1">
        <f t="shared" si="41"/>
        <v>1.8500218084278802E-2</v>
      </c>
      <c r="M89" s="1">
        <f t="shared" si="42"/>
        <v>1.1399709967213199E-2</v>
      </c>
      <c r="N89" s="1">
        <f t="shared" si="43"/>
        <v>1.2130304243742699E-2</v>
      </c>
      <c r="O89" s="1">
        <f t="shared" si="44"/>
        <v>1.2869632051345999E-2</v>
      </c>
      <c r="P89" s="1">
        <f t="shared" si="45"/>
        <v>1.93966052592064E-2</v>
      </c>
      <c r="Q89" s="1">
        <f t="shared" si="46"/>
        <v>1.2968985362464E-2</v>
      </c>
      <c r="R89" s="1">
        <f t="shared" si="47"/>
        <v>1.55644379780143E-2</v>
      </c>
      <c r="S89" s="1">
        <f t="shared" ref="S89:S100" si="48">ABS($B$87-B89)</f>
        <v>1.0786939302530401E-2</v>
      </c>
      <c r="T89" s="1">
        <f>ABS($B$88-B89)</f>
        <v>2.0252754246606299E-2</v>
      </c>
    </row>
    <row r="90" spans="1:27" x14ac:dyDescent="0.25">
      <c r="A90" s="3" t="s">
        <v>21</v>
      </c>
      <c r="B90" s="1">
        <v>2.7476951889513299E-2</v>
      </c>
      <c r="C90" s="1">
        <f t="shared" si="36"/>
        <v>1.22966309041629E-2</v>
      </c>
      <c r="D90" s="1">
        <f t="shared" si="32"/>
        <v>1.53006997972469E-2</v>
      </c>
      <c r="E90" s="1">
        <f t="shared" si="33"/>
        <v>1.1296340543975899E-2</v>
      </c>
      <c r="F90" s="1">
        <f t="shared" si="34"/>
        <v>1.29686777348452E-2</v>
      </c>
      <c r="G90" s="1">
        <f t="shared" si="35"/>
        <v>8.2809580099751003E-3</v>
      </c>
      <c r="H90" s="1">
        <f t="shared" si="37"/>
        <v>1.91076847355739E-2</v>
      </c>
      <c r="I90" s="1">
        <f t="shared" si="38"/>
        <v>1.2864295106155501E-2</v>
      </c>
      <c r="J90" s="1">
        <f t="shared" si="39"/>
        <v>4.2734062456475E-2</v>
      </c>
      <c r="K90" s="1">
        <f t="shared" si="40"/>
        <v>2.2131464947168202E-2</v>
      </c>
      <c r="L90" s="1">
        <f t="shared" si="41"/>
        <v>1.7689260143819299E-2</v>
      </c>
      <c r="M90" s="1">
        <f t="shared" si="42"/>
        <v>1.05887520267537E-2</v>
      </c>
      <c r="N90" s="1">
        <f t="shared" si="43"/>
        <v>1.13193463032832E-2</v>
      </c>
      <c r="O90" s="1">
        <f t="shared" si="44"/>
        <v>1.20586741108865E-2</v>
      </c>
      <c r="P90" s="1">
        <f t="shared" si="45"/>
        <v>1.8585647318746901E-2</v>
      </c>
      <c r="Q90" s="1">
        <f t="shared" si="46"/>
        <v>1.2158027422004501E-2</v>
      </c>
      <c r="R90" s="1">
        <f t="shared" si="47"/>
        <v>1.4753480037554801E-2</v>
      </c>
      <c r="S90" s="1">
        <f t="shared" si="48"/>
        <v>9.9759813620708994E-3</v>
      </c>
      <c r="T90" s="1">
        <f t="shared" ref="T90:T100" si="49">ABS($B$88-B90)</f>
        <v>1.94417963061468E-2</v>
      </c>
      <c r="U90" s="1">
        <f>ABS($B$89-B90)</f>
        <v>8.1095794045950005E-4</v>
      </c>
    </row>
    <row r="91" spans="1:27" x14ac:dyDescent="0.25">
      <c r="A91" s="3" t="s">
        <v>22</v>
      </c>
      <c r="B91" s="1">
        <v>2.2080158915634501E-2</v>
      </c>
      <c r="C91" s="1">
        <f t="shared" si="36"/>
        <v>6.8998379302841004E-3</v>
      </c>
      <c r="D91" s="1">
        <f t="shared" si="32"/>
        <v>9.9039068233680999E-3</v>
      </c>
      <c r="E91" s="1">
        <f t="shared" si="33"/>
        <v>5.8995475700971004E-3</v>
      </c>
      <c r="F91" s="1">
        <f t="shared" si="34"/>
        <v>7.5718847609664002E-3</v>
      </c>
      <c r="G91" s="1">
        <f t="shared" si="35"/>
        <v>2.8841650360963002E-3</v>
      </c>
      <c r="H91" s="1">
        <f t="shared" si="37"/>
        <v>1.37108917616951E-2</v>
      </c>
      <c r="I91" s="1">
        <f t="shared" si="38"/>
        <v>7.4675021322767E-3</v>
      </c>
      <c r="J91" s="1">
        <f t="shared" si="39"/>
        <v>3.7337269482596198E-2</v>
      </c>
      <c r="K91" s="1">
        <f t="shared" si="40"/>
        <v>1.67346719732894E-2</v>
      </c>
      <c r="L91" s="1">
        <f t="shared" si="41"/>
        <v>1.2292467169940501E-2</v>
      </c>
      <c r="M91" s="1">
        <f t="shared" si="42"/>
        <v>5.1919590528749001E-3</v>
      </c>
      <c r="N91" s="1">
        <f t="shared" si="43"/>
        <v>5.9225533294044001E-3</v>
      </c>
      <c r="O91" s="1">
        <f t="shared" si="44"/>
        <v>6.6618811370077E-3</v>
      </c>
      <c r="P91" s="1">
        <f t="shared" si="45"/>
        <v>1.3188854344868099E-2</v>
      </c>
      <c r="Q91" s="1">
        <f t="shared" si="46"/>
        <v>6.7612344481257003E-3</v>
      </c>
      <c r="R91" s="1">
        <f t="shared" si="47"/>
        <v>9.3566870636759992E-3</v>
      </c>
      <c r="S91" s="1">
        <f t="shared" si="48"/>
        <v>4.5791883881920997E-3</v>
      </c>
      <c r="T91" s="1">
        <f t="shared" si="49"/>
        <v>1.4045003332268E-2</v>
      </c>
      <c r="U91" s="1">
        <f t="shared" ref="U91:U100" si="50">ABS($B$89-B91)</f>
        <v>6.2077509143383001E-3</v>
      </c>
      <c r="V91" s="1">
        <f>ABS($B$90-B91)</f>
        <v>5.3967929738787997E-3</v>
      </c>
    </row>
    <row r="92" spans="1:27" x14ac:dyDescent="0.25">
      <c r="A92" s="3" t="s">
        <v>23</v>
      </c>
      <c r="B92" s="1">
        <v>2.4938967533940402E-2</v>
      </c>
      <c r="C92" s="1">
        <f t="shared" si="36"/>
        <v>9.7586465485900008E-3</v>
      </c>
      <c r="D92" s="1">
        <f t="shared" si="32"/>
        <v>1.2762715441674E-2</v>
      </c>
      <c r="E92" s="1">
        <f t="shared" si="33"/>
        <v>8.7583561884029999E-3</v>
      </c>
      <c r="F92" s="1">
        <f t="shared" si="34"/>
        <v>1.0430693379272301E-2</v>
      </c>
      <c r="G92" s="1">
        <f t="shared" si="35"/>
        <v>5.7429736544022001E-3</v>
      </c>
      <c r="H92" s="1">
        <f t="shared" si="37"/>
        <v>1.6569700380000999E-2</v>
      </c>
      <c r="I92" s="1">
        <f t="shared" si="38"/>
        <v>1.03263107505826E-2</v>
      </c>
      <c r="J92" s="1">
        <f t="shared" si="39"/>
        <v>4.0196078100902102E-2</v>
      </c>
      <c r="K92" s="1">
        <f t="shared" si="40"/>
        <v>1.95934805915953E-2</v>
      </c>
      <c r="L92" s="1">
        <f t="shared" si="41"/>
        <v>1.5151275788246399E-2</v>
      </c>
      <c r="M92" s="1">
        <f t="shared" si="42"/>
        <v>8.0507676711808005E-3</v>
      </c>
      <c r="N92" s="1">
        <f t="shared" si="43"/>
        <v>8.7813619477103005E-3</v>
      </c>
      <c r="O92" s="1">
        <f t="shared" si="44"/>
        <v>9.5206897553136004E-3</v>
      </c>
      <c r="P92" s="1">
        <f t="shared" si="45"/>
        <v>1.6047662963174E-2</v>
      </c>
      <c r="Q92" s="1">
        <f t="shared" si="46"/>
        <v>9.6200430664315998E-3</v>
      </c>
      <c r="R92" s="1">
        <f t="shared" si="47"/>
        <v>1.22154956819819E-2</v>
      </c>
      <c r="S92" s="1">
        <f t="shared" si="48"/>
        <v>7.4379970064980001E-3</v>
      </c>
      <c r="T92" s="1">
        <f t="shared" si="49"/>
        <v>1.6903811950573899E-2</v>
      </c>
      <c r="U92" s="1">
        <f t="shared" si="50"/>
        <v>3.3489422960324001E-3</v>
      </c>
      <c r="V92" s="1">
        <f t="shared" ref="V92:V100" si="51">ABS($B$90-B92)</f>
        <v>2.5379843555729002E-3</v>
      </c>
      <c r="W92" s="1">
        <f>ABS($B$91-B92)</f>
        <v>2.8588086183059E-3</v>
      </c>
    </row>
    <row r="93" spans="1:27" x14ac:dyDescent="0.25">
      <c r="A93" s="3" t="s">
        <v>24</v>
      </c>
      <c r="B93" s="1">
        <v>2.4669508109550198E-2</v>
      </c>
      <c r="C93" s="1">
        <f t="shared" si="36"/>
        <v>9.4891871241997994E-3</v>
      </c>
      <c r="D93" s="1">
        <f t="shared" si="32"/>
        <v>1.2493256017283801E-2</v>
      </c>
      <c r="E93" s="1">
        <f t="shared" si="33"/>
        <v>8.4888967640128002E-3</v>
      </c>
      <c r="F93" s="1">
        <f t="shared" si="34"/>
        <v>1.0161233954882099E-2</v>
      </c>
      <c r="G93" s="1">
        <f t="shared" si="35"/>
        <v>5.4735142300120004E-3</v>
      </c>
      <c r="H93" s="1">
        <f t="shared" si="37"/>
        <v>1.6300240955610799E-2</v>
      </c>
      <c r="I93" s="1">
        <f t="shared" si="38"/>
        <v>1.00568513261924E-2</v>
      </c>
      <c r="J93" s="1">
        <f t="shared" si="39"/>
        <v>3.9926618676511899E-2</v>
      </c>
      <c r="K93" s="1">
        <f t="shared" si="40"/>
        <v>1.9324021167205101E-2</v>
      </c>
      <c r="L93" s="1">
        <f t="shared" si="41"/>
        <v>1.4881816363856199E-2</v>
      </c>
      <c r="M93" s="1">
        <f t="shared" si="42"/>
        <v>7.7813082467905999E-3</v>
      </c>
      <c r="N93" s="1">
        <f t="shared" si="43"/>
        <v>8.5119025233201008E-3</v>
      </c>
      <c r="O93" s="1">
        <f t="shared" si="44"/>
        <v>9.2512303309234007E-3</v>
      </c>
      <c r="P93" s="1">
        <f t="shared" si="45"/>
        <v>1.57782035387838E-2</v>
      </c>
      <c r="Q93" s="1">
        <f t="shared" si="46"/>
        <v>9.3505836420414001E-3</v>
      </c>
      <c r="R93" s="1">
        <f t="shared" si="47"/>
        <v>1.19460362575917E-2</v>
      </c>
      <c r="S93" s="1">
        <f t="shared" si="48"/>
        <v>7.1685375821078003E-3</v>
      </c>
      <c r="T93" s="1">
        <f t="shared" si="49"/>
        <v>1.6634352526183699E-2</v>
      </c>
      <c r="U93" s="1">
        <f t="shared" si="50"/>
        <v>3.6184017204225999E-3</v>
      </c>
      <c r="V93" s="1">
        <f t="shared" si="51"/>
        <v>2.8074437799630999E-3</v>
      </c>
      <c r="W93" s="1">
        <f t="shared" ref="W93:W100" si="52">ABS($B$91-B93)</f>
        <v>2.5893491939156998E-3</v>
      </c>
      <c r="X93" s="1">
        <f>ABS($B$92-B93)</f>
        <v>2.6945942439020299E-4</v>
      </c>
    </row>
    <row r="94" spans="1:27" x14ac:dyDescent="0.25">
      <c r="A94" s="3" t="s">
        <v>25</v>
      </c>
      <c r="B94" s="1">
        <v>2.2724918423369801E-2</v>
      </c>
      <c r="C94" s="1">
        <f t="shared" si="36"/>
        <v>7.5445974380194004E-3</v>
      </c>
      <c r="D94" s="1">
        <f t="shared" si="32"/>
        <v>1.05486663311034E-2</v>
      </c>
      <c r="E94" s="1">
        <f t="shared" si="33"/>
        <v>6.5443070778324003E-3</v>
      </c>
      <c r="F94" s="1">
        <f t="shared" si="34"/>
        <v>8.2166442687017002E-3</v>
      </c>
      <c r="G94" s="1">
        <f t="shared" si="35"/>
        <v>3.5289245438316001E-3</v>
      </c>
      <c r="H94" s="1">
        <f t="shared" si="37"/>
        <v>1.43556512694304E-2</v>
      </c>
      <c r="I94" s="1">
        <f t="shared" si="38"/>
        <v>8.1122616400120008E-3</v>
      </c>
      <c r="J94" s="1">
        <f t="shared" si="39"/>
        <v>3.7982028990331498E-2</v>
      </c>
      <c r="K94" s="1">
        <f t="shared" si="40"/>
        <v>1.73794314810247E-2</v>
      </c>
      <c r="L94" s="1">
        <f t="shared" si="41"/>
        <v>1.29372266776758E-2</v>
      </c>
      <c r="M94" s="1">
        <f t="shared" si="42"/>
        <v>5.8367185606102E-3</v>
      </c>
      <c r="N94" s="1">
        <f t="shared" si="43"/>
        <v>6.5673128371397001E-3</v>
      </c>
      <c r="O94" s="1">
        <f t="shared" si="44"/>
        <v>7.306640644743E-3</v>
      </c>
      <c r="P94" s="1">
        <f t="shared" si="45"/>
        <v>1.3833613852603399E-2</v>
      </c>
      <c r="Q94" s="1">
        <f t="shared" si="46"/>
        <v>7.4059939558610002E-3</v>
      </c>
      <c r="R94" s="1">
        <f t="shared" si="47"/>
        <v>1.0001446571411301E-2</v>
      </c>
      <c r="S94" s="1">
        <f t="shared" si="48"/>
        <v>5.2239478959273996E-3</v>
      </c>
      <c r="T94" s="1">
        <f t="shared" si="49"/>
        <v>1.46897628400033E-2</v>
      </c>
      <c r="U94" s="1">
        <f t="shared" si="50"/>
        <v>5.5629914066030002E-3</v>
      </c>
      <c r="V94" s="1">
        <f t="shared" si="51"/>
        <v>4.7520334661434998E-3</v>
      </c>
      <c r="W94" s="1">
        <f t="shared" si="52"/>
        <v>6.4475950773530005E-4</v>
      </c>
      <c r="X94" s="1">
        <f t="shared" ref="X94:X100" si="53">ABS($B$92-B94)</f>
        <v>2.2140491105706E-3</v>
      </c>
      <c r="Y94" s="1">
        <f>ABS($B$93-B94)</f>
        <v>1.9445896861804001E-3</v>
      </c>
    </row>
    <row r="95" spans="1:27" x14ac:dyDescent="0.25">
      <c r="A95" s="3" t="s">
        <v>26</v>
      </c>
      <c r="B95" s="1">
        <v>3.0090924489895501E-2</v>
      </c>
      <c r="C95" s="1">
        <f t="shared" si="36"/>
        <v>1.49106035045451E-2</v>
      </c>
      <c r="D95" s="1">
        <f t="shared" si="32"/>
        <v>1.7914672397629099E-2</v>
      </c>
      <c r="E95" s="1">
        <f t="shared" si="33"/>
        <v>1.3910313144358101E-2</v>
      </c>
      <c r="F95" s="1">
        <f t="shared" si="34"/>
        <v>1.55826503352274E-2</v>
      </c>
      <c r="G95" s="1">
        <f t="shared" si="35"/>
        <v>1.08949306103573E-2</v>
      </c>
      <c r="H95" s="1">
        <f t="shared" si="37"/>
        <v>2.1721657335956102E-2</v>
      </c>
      <c r="I95" s="1">
        <f t="shared" si="38"/>
        <v>1.54782677065377E-2</v>
      </c>
      <c r="J95" s="1">
        <f t="shared" si="39"/>
        <v>4.5348035056857201E-2</v>
      </c>
      <c r="K95" s="1">
        <f t="shared" si="40"/>
        <v>2.4745437547550399E-2</v>
      </c>
      <c r="L95" s="1">
        <f t="shared" si="41"/>
        <v>2.03032327442015E-2</v>
      </c>
      <c r="M95" s="1">
        <f t="shared" si="42"/>
        <v>1.32027246271359E-2</v>
      </c>
      <c r="N95" s="1">
        <f t="shared" si="43"/>
        <v>1.39333189036654E-2</v>
      </c>
      <c r="O95" s="1">
        <f t="shared" si="44"/>
        <v>1.4672646711268699E-2</v>
      </c>
      <c r="P95" s="1">
        <f t="shared" si="45"/>
        <v>2.1199619919129099E-2</v>
      </c>
      <c r="Q95" s="1">
        <f t="shared" si="46"/>
        <v>1.4772000022386701E-2</v>
      </c>
      <c r="R95" s="1">
        <f t="shared" si="47"/>
        <v>1.7367452637937E-2</v>
      </c>
      <c r="S95" s="1">
        <f t="shared" si="48"/>
        <v>1.2589953962453101E-2</v>
      </c>
      <c r="T95" s="1">
        <f t="shared" si="49"/>
        <v>2.2055768906529001E-2</v>
      </c>
      <c r="U95" s="1">
        <f t="shared" si="50"/>
        <v>1.8030146599227E-3</v>
      </c>
      <c r="V95" s="1">
        <f t="shared" si="51"/>
        <v>2.6139726003822001E-3</v>
      </c>
      <c r="W95" s="1">
        <f t="shared" si="52"/>
        <v>8.0107655742609994E-3</v>
      </c>
      <c r="X95" s="1">
        <f t="shared" si="53"/>
        <v>5.1519569559550999E-3</v>
      </c>
      <c r="Y95" s="1">
        <f t="shared" ref="Y95:Y100" si="54">ABS($B$93-B95)</f>
        <v>5.4214163803452996E-3</v>
      </c>
      <c r="Z95" s="1">
        <f t="shared" ref="Z95:Z100" si="55">ABS($B$94-B95)</f>
        <v>7.3660060665257003E-3</v>
      </c>
    </row>
    <row r="96" spans="1:27" x14ac:dyDescent="0.25">
      <c r="A96" s="3" t="s">
        <v>27</v>
      </c>
      <c r="B96" s="1">
        <v>2.4315050131360299E-2</v>
      </c>
      <c r="C96" s="1">
        <f t="shared" si="36"/>
        <v>9.1347291460098998E-3</v>
      </c>
      <c r="D96" s="1">
        <f t="shared" si="32"/>
        <v>1.2138798039093899E-2</v>
      </c>
      <c r="E96" s="1">
        <f t="shared" si="33"/>
        <v>8.1344387858229006E-3</v>
      </c>
      <c r="F96" s="1">
        <f t="shared" si="34"/>
        <v>9.8067759766921996E-3</v>
      </c>
      <c r="G96" s="1">
        <f t="shared" si="35"/>
        <v>5.1190562518220999E-3</v>
      </c>
      <c r="H96" s="1">
        <f t="shared" si="37"/>
        <v>1.59457829774209E-2</v>
      </c>
      <c r="I96" s="1">
        <f t="shared" si="38"/>
        <v>9.7023933480025002E-3</v>
      </c>
      <c r="J96" s="1">
        <f t="shared" si="39"/>
        <v>3.9572160698322E-2</v>
      </c>
      <c r="K96" s="1">
        <f t="shared" si="40"/>
        <v>1.8969563189015201E-2</v>
      </c>
      <c r="L96" s="1">
        <f t="shared" si="41"/>
        <v>1.45273583856663E-2</v>
      </c>
      <c r="M96" s="1">
        <f t="shared" si="42"/>
        <v>7.4268502686007003E-3</v>
      </c>
      <c r="N96" s="1">
        <f t="shared" si="43"/>
        <v>8.1574445451301995E-3</v>
      </c>
      <c r="O96" s="1">
        <f t="shared" si="44"/>
        <v>8.8967723527334994E-3</v>
      </c>
      <c r="P96" s="1">
        <f t="shared" si="45"/>
        <v>1.54237455605939E-2</v>
      </c>
      <c r="Q96" s="1">
        <f t="shared" si="46"/>
        <v>8.9961256638515005E-3</v>
      </c>
      <c r="R96" s="1">
        <f t="shared" si="47"/>
        <v>1.15915782794018E-2</v>
      </c>
      <c r="S96" s="1">
        <f t="shared" si="48"/>
        <v>6.8140796039178999E-3</v>
      </c>
      <c r="T96" s="1">
        <f t="shared" si="49"/>
        <v>1.6279894547993799E-2</v>
      </c>
      <c r="U96" s="1">
        <f t="shared" si="50"/>
        <v>3.9728596986124999E-3</v>
      </c>
      <c r="V96" s="1">
        <f t="shared" si="51"/>
        <v>3.161901758153E-3</v>
      </c>
      <c r="W96" s="1">
        <f t="shared" si="52"/>
        <v>2.2348912157258002E-3</v>
      </c>
      <c r="X96" s="1">
        <f t="shared" si="53"/>
        <v>6.2391740258010303E-4</v>
      </c>
      <c r="Y96" s="1">
        <f t="shared" si="54"/>
        <v>3.5445797818989998E-4</v>
      </c>
      <c r="Z96" s="1">
        <f t="shared" si="55"/>
        <v>1.5901317079905E-3</v>
      </c>
      <c r="AA96" s="1">
        <f>ABS($B$95-B96)</f>
        <v>5.7758743585352001E-3</v>
      </c>
    </row>
    <row r="97" spans="1:31" x14ac:dyDescent="0.25">
      <c r="A97" s="3" t="s">
        <v>28</v>
      </c>
      <c r="B97" s="1">
        <v>1.61682382711059E-2</v>
      </c>
      <c r="C97" s="1">
        <f t="shared" si="36"/>
        <v>9.8791728575549896E-4</v>
      </c>
      <c r="D97" s="1">
        <f t="shared" si="32"/>
        <v>3.9919861788395E-3</v>
      </c>
      <c r="E97" s="1">
        <f t="shared" si="33"/>
        <v>1.2373074431498699E-5</v>
      </c>
      <c r="F97" s="1">
        <f t="shared" si="34"/>
        <v>1.6599641164378E-3</v>
      </c>
      <c r="G97" s="1">
        <f t="shared" si="35"/>
        <v>3.0277556084322998E-3</v>
      </c>
      <c r="H97" s="1">
        <f t="shared" si="37"/>
        <v>7.7989711171664502E-3</v>
      </c>
      <c r="I97" s="1">
        <f t="shared" si="38"/>
        <v>1.5555814877481E-3</v>
      </c>
      <c r="J97" s="1">
        <f t="shared" si="39"/>
        <v>3.14253488380676E-2</v>
      </c>
      <c r="K97" s="1">
        <f t="shared" si="40"/>
        <v>1.08227513287608E-2</v>
      </c>
      <c r="L97" s="1">
        <f t="shared" si="41"/>
        <v>6.3805465254119396E-3</v>
      </c>
      <c r="M97" s="1">
        <f t="shared" si="42"/>
        <v>7.1996159165369996E-4</v>
      </c>
      <c r="N97" s="1">
        <f t="shared" si="43"/>
        <v>1.06326848757984E-5</v>
      </c>
      <c r="O97" s="1">
        <f t="shared" si="44"/>
        <v>7.4996049247909996E-4</v>
      </c>
      <c r="P97" s="1">
        <f t="shared" si="45"/>
        <v>7.2769337003395296E-3</v>
      </c>
      <c r="Q97" s="1">
        <f t="shared" si="46"/>
        <v>8.49313803597099E-4</v>
      </c>
      <c r="R97" s="1">
        <f t="shared" si="47"/>
        <v>3.4447664191474001E-3</v>
      </c>
      <c r="S97" s="1">
        <f t="shared" si="48"/>
        <v>1.3327322563365001E-3</v>
      </c>
      <c r="T97" s="1">
        <f t="shared" si="49"/>
        <v>8.1330826877393705E-3</v>
      </c>
      <c r="U97" s="1">
        <f t="shared" si="50"/>
        <v>1.2119671558866899E-2</v>
      </c>
      <c r="V97" s="1">
        <f t="shared" si="51"/>
        <v>1.13087136184074E-2</v>
      </c>
      <c r="W97" s="1">
        <f t="shared" si="52"/>
        <v>5.9119206445286E-3</v>
      </c>
      <c r="X97" s="1">
        <f t="shared" si="53"/>
        <v>8.7707292628345004E-3</v>
      </c>
      <c r="Y97" s="1">
        <f t="shared" si="54"/>
        <v>8.5012698384443006E-3</v>
      </c>
      <c r="Z97" s="1">
        <f t="shared" si="55"/>
        <v>6.5566801522638999E-3</v>
      </c>
      <c r="AA97" s="1">
        <f>ABS($B$95-B97)</f>
        <v>1.3922686218789599E-2</v>
      </c>
      <c r="AB97" s="1">
        <f>ABS($B$96-B97)</f>
        <v>8.1468118602543993E-3</v>
      </c>
    </row>
    <row r="98" spans="1:31" x14ac:dyDescent="0.25">
      <c r="A98" s="3" t="s">
        <v>29</v>
      </c>
      <c r="B98" s="1">
        <v>1.66553381679128E-2</v>
      </c>
      <c r="C98" s="1">
        <f t="shared" si="36"/>
        <v>1.4750171825624E-3</v>
      </c>
      <c r="D98" s="1">
        <f t="shared" si="32"/>
        <v>4.4790860756463999E-3</v>
      </c>
      <c r="E98" s="1">
        <f t="shared" si="33"/>
        <v>4.7472682237540201E-4</v>
      </c>
      <c r="F98" s="1">
        <f t="shared" si="34"/>
        <v>2.1470640132446998E-3</v>
      </c>
      <c r="G98" s="1">
        <f t="shared" si="35"/>
        <v>2.5406557116253998E-3</v>
      </c>
      <c r="H98" s="1">
        <f t="shared" si="37"/>
        <v>8.2860710139733493E-3</v>
      </c>
      <c r="I98" s="1">
        <f t="shared" si="38"/>
        <v>2.042681384555E-3</v>
      </c>
      <c r="J98" s="1">
        <f t="shared" si="39"/>
        <v>3.1912448734874498E-2</v>
      </c>
      <c r="K98" s="1">
        <f t="shared" si="40"/>
        <v>1.1309851225567699E-2</v>
      </c>
      <c r="L98" s="1">
        <f t="shared" si="41"/>
        <v>6.8676464222188396E-3</v>
      </c>
      <c r="M98" s="1">
        <f t="shared" si="42"/>
        <v>2.32861694846799E-4</v>
      </c>
      <c r="N98" s="1">
        <f t="shared" si="43"/>
        <v>4.9773258168269905E-4</v>
      </c>
      <c r="O98" s="1">
        <f t="shared" si="44"/>
        <v>1.237060389286E-3</v>
      </c>
      <c r="P98" s="1">
        <f t="shared" si="45"/>
        <v>7.7640335971464296E-3</v>
      </c>
      <c r="Q98" s="1">
        <f t="shared" si="46"/>
        <v>1.336413700404E-3</v>
      </c>
      <c r="R98" s="1">
        <f t="shared" si="47"/>
        <v>3.9318663159543001E-3</v>
      </c>
      <c r="S98" s="1">
        <f t="shared" si="48"/>
        <v>8.4563235952959904E-4</v>
      </c>
      <c r="T98" s="1">
        <f t="shared" si="49"/>
        <v>8.6201825845462696E-3</v>
      </c>
      <c r="U98" s="1">
        <f t="shared" si="50"/>
        <v>1.163257166206E-2</v>
      </c>
      <c r="V98" s="1">
        <f t="shared" si="51"/>
        <v>1.0821613721600501E-2</v>
      </c>
      <c r="W98" s="1">
        <f t="shared" si="52"/>
        <v>5.4248207477217E-3</v>
      </c>
      <c r="X98" s="1">
        <f t="shared" si="53"/>
        <v>8.2836293660275995E-3</v>
      </c>
      <c r="Y98" s="1">
        <f t="shared" si="54"/>
        <v>8.0141699416373998E-3</v>
      </c>
      <c r="Z98" s="1">
        <f t="shared" si="55"/>
        <v>6.0695802554569999E-3</v>
      </c>
      <c r="AA98" s="1">
        <f>ABS($B$95-B98)</f>
        <v>1.34355863219827E-2</v>
      </c>
      <c r="AB98" s="1">
        <f>ABS($B$96-B98)</f>
        <v>7.6597119634475002E-3</v>
      </c>
      <c r="AC98" s="1">
        <f>ABS($B$97-B98)</f>
        <v>4.8709989680690099E-4</v>
      </c>
    </row>
    <row r="99" spans="1:31" x14ac:dyDescent="0.25">
      <c r="A99" s="3" t="s">
        <v>30</v>
      </c>
      <c r="B99" s="1">
        <v>7.4661622005732604E-3</v>
      </c>
      <c r="C99" s="1">
        <f t="shared" si="36"/>
        <v>7.7141587847771396E-3</v>
      </c>
      <c r="D99" s="1">
        <f t="shared" si="32"/>
        <v>4.7100898916931401E-3</v>
      </c>
      <c r="E99" s="1">
        <f t="shared" si="33"/>
        <v>8.7144491449641405E-3</v>
      </c>
      <c r="F99" s="1">
        <f t="shared" si="34"/>
        <v>7.0421119540948398E-3</v>
      </c>
      <c r="G99" s="1">
        <f t="shared" si="35"/>
        <v>1.17298316789649E-2</v>
      </c>
      <c r="H99" s="1">
        <f t="shared" si="37"/>
        <v>9.03104953366189E-4</v>
      </c>
      <c r="I99" s="1">
        <f t="shared" si="38"/>
        <v>7.14649458278454E-3</v>
      </c>
      <c r="J99" s="1">
        <f t="shared" si="39"/>
        <v>2.2723272767535E-2</v>
      </c>
      <c r="K99" s="1">
        <f t="shared" si="40"/>
        <v>2.1206752582281201E-3</v>
      </c>
      <c r="L99" s="1">
        <f t="shared" si="41"/>
        <v>2.3215295451207E-3</v>
      </c>
      <c r="M99" s="1">
        <f t="shared" si="42"/>
        <v>9.4220376621863399E-3</v>
      </c>
      <c r="N99" s="1">
        <f t="shared" si="43"/>
        <v>8.6914433856568399E-3</v>
      </c>
      <c r="O99" s="1">
        <f t="shared" si="44"/>
        <v>7.95211557805354E-3</v>
      </c>
      <c r="P99" s="1">
        <f t="shared" si="45"/>
        <v>1.42514237019311E-3</v>
      </c>
      <c r="Q99" s="1">
        <f t="shared" si="46"/>
        <v>7.8527622669355406E-3</v>
      </c>
      <c r="R99" s="1">
        <f t="shared" si="47"/>
        <v>5.25730965138524E-3</v>
      </c>
      <c r="S99" s="1">
        <f t="shared" si="48"/>
        <v>1.00348083268691E-2</v>
      </c>
      <c r="T99" s="1">
        <f t="shared" si="49"/>
        <v>5.6899338279327001E-4</v>
      </c>
      <c r="U99" s="1">
        <f t="shared" si="50"/>
        <v>2.0821747629399499E-2</v>
      </c>
      <c r="V99" s="1">
        <f t="shared" si="51"/>
        <v>2.001078968894E-2</v>
      </c>
      <c r="W99" s="1">
        <f t="shared" si="52"/>
        <v>1.46139967150612E-2</v>
      </c>
      <c r="X99" s="1">
        <f t="shared" si="53"/>
        <v>1.7472805333367099E-2</v>
      </c>
      <c r="Y99" s="1">
        <f t="shared" si="54"/>
        <v>1.7203345908976899E-2</v>
      </c>
      <c r="Z99" s="1">
        <f t="shared" si="55"/>
        <v>1.52587562227965E-2</v>
      </c>
      <c r="AA99" s="1">
        <f>ABS($B$95-B99)</f>
        <v>2.2624762289322201E-2</v>
      </c>
      <c r="AB99" s="1">
        <f>ABS($B$96-B99)</f>
        <v>1.6848887930786999E-2</v>
      </c>
      <c r="AC99" s="1">
        <f>ABS($B$97-B99)</f>
        <v>8.7020760705326401E-3</v>
      </c>
      <c r="AD99" s="1">
        <f>ABS($B$98-B99)</f>
        <v>9.1891759673395391E-3</v>
      </c>
    </row>
    <row r="100" spans="1:31" x14ac:dyDescent="0.25">
      <c r="A100" s="3" t="s">
        <v>31</v>
      </c>
      <c r="B100" s="1">
        <v>1.8540567517467601E-2</v>
      </c>
      <c r="C100" s="1">
        <f t="shared" si="36"/>
        <v>3.3602465321172E-3</v>
      </c>
      <c r="D100" s="1">
        <f t="shared" si="32"/>
        <v>6.3643154252012004E-3</v>
      </c>
      <c r="E100" s="1">
        <f t="shared" si="33"/>
        <v>2.3599561719302E-3</v>
      </c>
      <c r="F100" s="1">
        <f t="shared" si="34"/>
        <v>4.0322933627994998E-3</v>
      </c>
      <c r="G100" s="1">
        <f t="shared" si="35"/>
        <v>6.5542636207060003E-4</v>
      </c>
      <c r="H100" s="1">
        <f t="shared" si="37"/>
        <v>1.01713003635282E-2</v>
      </c>
      <c r="I100" s="1">
        <f t="shared" si="38"/>
        <v>3.9279107341097996E-3</v>
      </c>
      <c r="J100" s="1">
        <f t="shared" si="39"/>
        <v>3.3797678084429301E-2</v>
      </c>
      <c r="K100" s="1">
        <f t="shared" si="40"/>
        <v>1.31950805751225E-2</v>
      </c>
      <c r="L100" s="1">
        <f t="shared" si="41"/>
        <v>8.75287577177364E-3</v>
      </c>
      <c r="M100" s="1">
        <f t="shared" si="42"/>
        <v>1.6523676547079999E-3</v>
      </c>
      <c r="N100" s="1">
        <f t="shared" si="43"/>
        <v>2.3829619312375002E-3</v>
      </c>
      <c r="O100" s="1">
        <f t="shared" si="44"/>
        <v>3.1222897388408001E-3</v>
      </c>
      <c r="P100" s="1">
        <f t="shared" si="45"/>
        <v>9.64926294670123E-3</v>
      </c>
      <c r="Q100" s="1">
        <f t="shared" si="46"/>
        <v>3.2216430499587998E-3</v>
      </c>
      <c r="R100" s="1">
        <f t="shared" si="47"/>
        <v>5.8170956655090996E-3</v>
      </c>
      <c r="S100" s="1">
        <f t="shared" si="48"/>
        <v>1.0395969900251999E-3</v>
      </c>
      <c r="T100" s="1">
        <f t="shared" si="49"/>
        <v>1.05054119341011E-2</v>
      </c>
      <c r="U100" s="1">
        <f t="shared" si="50"/>
        <v>9.7473423125051997E-3</v>
      </c>
      <c r="V100" s="1">
        <f t="shared" si="51"/>
        <v>8.9363843720457001E-3</v>
      </c>
      <c r="W100" s="1">
        <f t="shared" si="52"/>
        <v>3.5395913981669E-3</v>
      </c>
      <c r="X100" s="1">
        <f t="shared" si="53"/>
        <v>6.3984000164728E-3</v>
      </c>
      <c r="Y100" s="1">
        <f t="shared" si="54"/>
        <v>6.1289405920826002E-3</v>
      </c>
      <c r="Z100" s="1">
        <f t="shared" si="55"/>
        <v>4.1843509059022004E-3</v>
      </c>
      <c r="AA100" s="1">
        <f>ABS($B$95-B100)</f>
        <v>1.15503569724279E-2</v>
      </c>
      <c r="AB100" s="1">
        <f>ABS($B$96-B100)</f>
        <v>5.7744826138926997E-3</v>
      </c>
      <c r="AC100" s="1">
        <f>ABS($B$97-B100)</f>
        <v>2.3723292463617E-3</v>
      </c>
      <c r="AD100" s="1">
        <f>ABS($B$98-B100)</f>
        <v>1.8852293495548E-3</v>
      </c>
      <c r="AE100" s="1">
        <f>ABS($B$99-B100)</f>
        <v>1.10744053168943E-2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3"/>
  <sheetViews>
    <sheetView topLeftCell="A14" zoomScale="85" zoomScaleNormal="85" workbookViewId="0">
      <selection activeCell="A3" sqref="A3:A32"/>
    </sheetView>
  </sheetViews>
  <sheetFormatPr defaultColWidth="9" defaultRowHeight="14.4" x14ac:dyDescent="0.25"/>
  <cols>
    <col min="1" max="1" width="7.88671875" style="1" customWidth="1"/>
    <col min="2" max="31" width="7.109375" style="1" customWidth="1"/>
  </cols>
  <sheetData>
    <row r="1" spans="1:31" ht="72" x14ac:dyDescent="0.25">
      <c r="A1" s="5" t="s">
        <v>77</v>
      </c>
      <c r="B1" s="6" t="s">
        <v>78</v>
      </c>
    </row>
    <row r="2" spans="1:31" x14ac:dyDescent="0.2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spans="1:31" x14ac:dyDescent="0.25">
      <c r="A3" s="3" t="s">
        <v>2</v>
      </c>
      <c r="B3" s="7"/>
      <c r="C3" s="1">
        <v>33.465586020591097</v>
      </c>
      <c r="D3" s="1">
        <v>23.996443728364302</v>
      </c>
      <c r="E3" s="1">
        <v>32.846395893305001</v>
      </c>
      <c r="F3" s="1">
        <v>33.615104111974397</v>
      </c>
      <c r="G3" s="1">
        <v>32.417544632805701</v>
      </c>
      <c r="H3" s="1">
        <v>22.891444428914401</v>
      </c>
      <c r="I3" s="1">
        <v>25.832834873725201</v>
      </c>
      <c r="J3" s="1">
        <v>33.571650838017298</v>
      </c>
      <c r="K3" s="1">
        <v>27.7704576411722</v>
      </c>
      <c r="L3" s="1">
        <v>27.728317069487598</v>
      </c>
      <c r="M3" s="1">
        <v>33.8624636994751</v>
      </c>
      <c r="N3" s="1">
        <v>32.090546852467199</v>
      </c>
      <c r="O3" s="1">
        <v>34.508338521962301</v>
      </c>
      <c r="P3" s="1">
        <v>34.321880525644502</v>
      </c>
      <c r="Q3" s="1">
        <v>36.0051410578562</v>
      </c>
      <c r="R3" s="1">
        <v>35.120164852493502</v>
      </c>
      <c r="S3" s="1">
        <v>21.292280941159799</v>
      </c>
      <c r="T3" s="1">
        <v>29.0060875902305</v>
      </c>
      <c r="U3" s="1">
        <v>32.629257304663902</v>
      </c>
      <c r="V3" s="1">
        <v>32.602838623075797</v>
      </c>
      <c r="W3" s="1">
        <v>34.676231797263398</v>
      </c>
      <c r="X3" s="1">
        <v>34.455895448150898</v>
      </c>
      <c r="Y3" s="1">
        <v>27.428416858293101</v>
      </c>
      <c r="Z3" s="1">
        <v>30.862164455344299</v>
      </c>
      <c r="AA3" s="1">
        <v>24.959525402758501</v>
      </c>
      <c r="AB3" s="1">
        <v>30.9032411387991</v>
      </c>
      <c r="AC3" s="1">
        <v>32.073657649117997</v>
      </c>
      <c r="AD3" s="1">
        <v>26.131483563041499</v>
      </c>
      <c r="AE3" s="1">
        <v>31.084070407091801</v>
      </c>
    </row>
    <row r="4" spans="1:31" x14ac:dyDescent="0.25">
      <c r="A4" s="3" t="s">
        <v>3</v>
      </c>
      <c r="B4" s="1">
        <v>33.465586020591097</v>
      </c>
      <c r="C4" s="7"/>
      <c r="D4" s="1">
        <v>9.4691422922268504</v>
      </c>
      <c r="E4" s="1">
        <v>0.61919012728614897</v>
      </c>
      <c r="F4" s="1">
        <v>0.14951809138326999</v>
      </c>
      <c r="G4" s="1">
        <v>1.04804138778542</v>
      </c>
      <c r="H4" s="1">
        <v>10.5741415916767</v>
      </c>
      <c r="I4" s="1">
        <v>7.6327511468659504</v>
      </c>
      <c r="J4" s="1">
        <v>0.10606481742618</v>
      </c>
      <c r="K4" s="1">
        <v>5.69512837941895</v>
      </c>
      <c r="L4" s="1">
        <v>5.73726895110355</v>
      </c>
      <c r="M4" s="1">
        <v>0.39687767888398001</v>
      </c>
      <c r="N4" s="1">
        <v>1.37503916812392</v>
      </c>
      <c r="O4" s="1">
        <v>1.04275250137118</v>
      </c>
      <c r="P4" s="1">
        <v>0.85629450505335003</v>
      </c>
      <c r="Q4" s="1">
        <v>2.53955503726502</v>
      </c>
      <c r="R4" s="1">
        <v>1.65457883190238</v>
      </c>
      <c r="S4" s="1">
        <v>12.173305079431399</v>
      </c>
      <c r="T4" s="1">
        <v>4.4594984303606502</v>
      </c>
      <c r="U4" s="1">
        <v>0.83632871592729996</v>
      </c>
      <c r="V4" s="1">
        <v>0.86274739751532004</v>
      </c>
      <c r="W4" s="1">
        <v>1.21064577667229</v>
      </c>
      <c r="X4" s="1">
        <v>0.99030942755970996</v>
      </c>
      <c r="Y4" s="1">
        <v>6.0371691622980501</v>
      </c>
      <c r="Z4" s="1">
        <v>2.60342156524684</v>
      </c>
      <c r="AA4" s="1">
        <v>8.5060606178326505</v>
      </c>
      <c r="AB4" s="1">
        <v>2.56234488179205</v>
      </c>
      <c r="AC4" s="1">
        <v>1.3919283714730999</v>
      </c>
      <c r="AD4" s="1">
        <v>7.3341024575496503</v>
      </c>
      <c r="AE4" s="1">
        <v>2.3815156134993698</v>
      </c>
    </row>
    <row r="5" spans="1:31" x14ac:dyDescent="0.25">
      <c r="A5" s="3" t="s">
        <v>4</v>
      </c>
      <c r="B5" s="1">
        <v>23.996443728364302</v>
      </c>
      <c r="C5" s="1">
        <v>9.4691422922268504</v>
      </c>
      <c r="D5" s="7"/>
      <c r="E5" s="1">
        <v>8.8499521649406994</v>
      </c>
      <c r="F5" s="1">
        <v>9.6186603836101199</v>
      </c>
      <c r="G5" s="1">
        <v>8.4211009044414293</v>
      </c>
      <c r="H5" s="1">
        <v>1.1049992994499001</v>
      </c>
      <c r="I5" s="1">
        <v>1.8363911453609001</v>
      </c>
      <c r="J5" s="1">
        <v>9.5752071096530305</v>
      </c>
      <c r="K5" s="1">
        <v>3.7740139128079</v>
      </c>
      <c r="L5" s="1">
        <v>3.7318733411233</v>
      </c>
      <c r="M5" s="1">
        <v>9.8660199711108305</v>
      </c>
      <c r="N5" s="1">
        <v>8.0941031241029293</v>
      </c>
      <c r="O5" s="1">
        <v>10.511894793598</v>
      </c>
      <c r="P5" s="1">
        <v>10.325436797280201</v>
      </c>
      <c r="Q5" s="1">
        <v>12.0086973294919</v>
      </c>
      <c r="R5" s="1">
        <v>11.123721124129201</v>
      </c>
      <c r="S5" s="1">
        <v>2.7041627872045</v>
      </c>
      <c r="T5" s="1">
        <v>5.0096438618662003</v>
      </c>
      <c r="U5" s="1">
        <v>8.6328135762995508</v>
      </c>
      <c r="V5" s="1">
        <v>8.6063948947115296</v>
      </c>
      <c r="W5" s="1">
        <v>10.6797880688991</v>
      </c>
      <c r="X5" s="1">
        <v>10.4594517197866</v>
      </c>
      <c r="Y5" s="1">
        <v>3.4319731299287999</v>
      </c>
      <c r="Z5" s="1">
        <v>6.86572072698001</v>
      </c>
      <c r="AA5" s="1">
        <v>0.9630816743942</v>
      </c>
      <c r="AB5" s="1">
        <v>6.9067974104348</v>
      </c>
      <c r="AC5" s="1">
        <v>8.0772139207537492</v>
      </c>
      <c r="AD5" s="1">
        <v>2.1350398346772002</v>
      </c>
      <c r="AE5" s="1">
        <v>7.0876266787274798</v>
      </c>
    </row>
    <row r="6" spans="1:31" x14ac:dyDescent="0.25">
      <c r="A6" s="3" t="s">
        <v>5</v>
      </c>
      <c r="B6" s="1">
        <v>32.846395893305001</v>
      </c>
      <c r="C6" s="1">
        <v>0.61919012728614897</v>
      </c>
      <c r="D6" s="1">
        <v>8.8499521649406994</v>
      </c>
      <c r="E6" s="7"/>
      <c r="F6" s="1">
        <v>0.76870821866941996</v>
      </c>
      <c r="G6" s="1">
        <v>0.42885126049927003</v>
      </c>
      <c r="H6" s="1">
        <v>9.9549514643906001</v>
      </c>
      <c r="I6" s="1">
        <v>7.0135610195798002</v>
      </c>
      <c r="J6" s="1">
        <v>0.72525494471232899</v>
      </c>
      <c r="K6" s="1">
        <v>5.0759382521327998</v>
      </c>
      <c r="L6" s="1">
        <v>5.1180788238173998</v>
      </c>
      <c r="M6" s="1">
        <v>1.01606780617013</v>
      </c>
      <c r="N6" s="1">
        <v>0.75584904083777005</v>
      </c>
      <c r="O6" s="1">
        <v>1.66194262865733</v>
      </c>
      <c r="P6" s="1">
        <v>1.4754846323394999</v>
      </c>
      <c r="Q6" s="1">
        <v>3.1587451645511702</v>
      </c>
      <c r="R6" s="1">
        <v>2.2737689591885299</v>
      </c>
      <c r="S6" s="1">
        <v>11.5541149521452</v>
      </c>
      <c r="T6" s="1">
        <v>3.8403083030745</v>
      </c>
      <c r="U6" s="1">
        <v>0.21713858864114999</v>
      </c>
      <c r="V6" s="1">
        <v>0.24355727022917101</v>
      </c>
      <c r="W6" s="1">
        <v>1.82983590395844</v>
      </c>
      <c r="X6" s="1">
        <v>1.6094995548458599</v>
      </c>
      <c r="Y6" s="1">
        <v>5.4179790350118999</v>
      </c>
      <c r="Z6" s="1">
        <v>1.98423143796069</v>
      </c>
      <c r="AA6" s="1">
        <v>7.8868704905465004</v>
      </c>
      <c r="AB6" s="1">
        <v>1.9431547545059</v>
      </c>
      <c r="AC6" s="1">
        <v>0.77273824418695003</v>
      </c>
      <c r="AD6" s="1">
        <v>6.7149123302635001</v>
      </c>
      <c r="AE6" s="1">
        <v>1.76232548621322</v>
      </c>
    </row>
    <row r="7" spans="1:31" x14ac:dyDescent="0.25">
      <c r="A7" s="3" t="s">
        <v>6</v>
      </c>
      <c r="B7" s="1">
        <v>33.615104111974397</v>
      </c>
      <c r="C7" s="1">
        <v>0.14951809138326999</v>
      </c>
      <c r="D7" s="1">
        <v>9.6186603836101199</v>
      </c>
      <c r="E7" s="1">
        <v>0.76870821866941996</v>
      </c>
      <c r="F7" s="7"/>
      <c r="G7" s="1">
        <v>1.1975594791686901</v>
      </c>
      <c r="H7" s="1">
        <v>10.723659683059999</v>
      </c>
      <c r="I7" s="1">
        <v>7.7822692382492198</v>
      </c>
      <c r="J7" s="1">
        <v>4.3453273957090303E-2</v>
      </c>
      <c r="K7" s="1">
        <v>5.8446464708022203</v>
      </c>
      <c r="L7" s="1">
        <v>5.8867870424868203</v>
      </c>
      <c r="M7" s="1">
        <v>0.24735958750070999</v>
      </c>
      <c r="N7" s="1">
        <v>1.5245572595071899</v>
      </c>
      <c r="O7" s="1">
        <v>0.89323440998791004</v>
      </c>
      <c r="P7" s="1">
        <v>0.70677641367008004</v>
      </c>
      <c r="Q7" s="1">
        <v>2.3900369458817501</v>
      </c>
      <c r="R7" s="1">
        <v>1.5050607405191101</v>
      </c>
      <c r="S7" s="1">
        <v>12.322823170814599</v>
      </c>
      <c r="T7" s="1">
        <v>4.6090165217439196</v>
      </c>
      <c r="U7" s="1">
        <v>0.98584680731056995</v>
      </c>
      <c r="V7" s="1">
        <v>1.01226548889859</v>
      </c>
      <c r="W7" s="1">
        <v>1.0611276852890199</v>
      </c>
      <c r="X7" s="1">
        <v>0.84079133617643997</v>
      </c>
      <c r="Y7" s="1">
        <v>6.1866872536813204</v>
      </c>
      <c r="Z7" s="1">
        <v>2.7529396566301099</v>
      </c>
      <c r="AA7" s="1">
        <v>8.65557870921592</v>
      </c>
      <c r="AB7" s="1">
        <v>2.7118629731753199</v>
      </c>
      <c r="AC7" s="1">
        <v>1.54144646285637</v>
      </c>
      <c r="AD7" s="1">
        <v>7.4836205489329197</v>
      </c>
      <c r="AE7" s="1">
        <v>2.5310337048826401</v>
      </c>
    </row>
    <row r="8" spans="1:31" x14ac:dyDescent="0.25">
      <c r="A8" s="3" t="s">
        <v>7</v>
      </c>
      <c r="B8" s="1">
        <v>32.417544632805701</v>
      </c>
      <c r="C8" s="1">
        <v>1.04804138778542</v>
      </c>
      <c r="D8" s="1">
        <v>8.4211009044414293</v>
      </c>
      <c r="E8" s="1">
        <v>0.42885126049927003</v>
      </c>
      <c r="F8" s="1">
        <v>1.1975594791686901</v>
      </c>
      <c r="G8" s="7"/>
      <c r="H8" s="1">
        <v>9.5261002038913301</v>
      </c>
      <c r="I8" s="1">
        <v>6.5847097590805301</v>
      </c>
      <c r="J8" s="1">
        <v>1.1541062052116</v>
      </c>
      <c r="K8" s="1">
        <v>4.6470869916335298</v>
      </c>
      <c r="L8" s="1">
        <v>4.6892275633181297</v>
      </c>
      <c r="M8" s="1">
        <v>1.4449190666694001</v>
      </c>
      <c r="N8" s="1">
        <v>0.32699778033850002</v>
      </c>
      <c r="O8" s="1">
        <v>2.0907938891566</v>
      </c>
      <c r="P8" s="1">
        <v>1.9043358928387699</v>
      </c>
      <c r="Q8" s="1">
        <v>3.5875964250504402</v>
      </c>
      <c r="R8" s="1">
        <v>2.7026202196878</v>
      </c>
      <c r="S8" s="1">
        <v>11.1252636916459</v>
      </c>
      <c r="T8" s="1">
        <v>3.41145704257523</v>
      </c>
      <c r="U8" s="1">
        <v>0.21171267185812001</v>
      </c>
      <c r="V8" s="1">
        <v>0.18529399027009899</v>
      </c>
      <c r="W8" s="1">
        <v>2.2586871644577098</v>
      </c>
      <c r="X8" s="1">
        <v>2.03835081534513</v>
      </c>
      <c r="Y8" s="1">
        <v>4.9891277745126299</v>
      </c>
      <c r="Z8" s="1">
        <v>1.55538017746142</v>
      </c>
      <c r="AA8" s="1">
        <v>7.4580192300472303</v>
      </c>
      <c r="AB8" s="1">
        <v>1.51430349400663</v>
      </c>
      <c r="AC8" s="1">
        <v>0.34388698368768</v>
      </c>
      <c r="AD8" s="1">
        <v>6.2860610697642301</v>
      </c>
      <c r="AE8" s="1">
        <v>1.33347422571395</v>
      </c>
    </row>
    <row r="9" spans="1:31" x14ac:dyDescent="0.25">
      <c r="A9" s="3" t="s">
        <v>8</v>
      </c>
      <c r="B9" s="1">
        <v>22.891444428914401</v>
      </c>
      <c r="C9" s="1">
        <v>10.5741415916767</v>
      </c>
      <c r="D9" s="1">
        <v>1.1049992994499001</v>
      </c>
      <c r="E9" s="1">
        <v>9.9549514643906001</v>
      </c>
      <c r="F9" s="1">
        <v>10.723659683059999</v>
      </c>
      <c r="G9" s="1">
        <v>9.5261002038913301</v>
      </c>
      <c r="H9" s="7"/>
      <c r="I9" s="1">
        <v>2.9413904448107999</v>
      </c>
      <c r="J9" s="1">
        <v>10.680206409102899</v>
      </c>
      <c r="K9" s="1">
        <v>4.8790132122578003</v>
      </c>
      <c r="L9" s="1">
        <v>4.8368726405732003</v>
      </c>
      <c r="M9" s="1">
        <v>10.971019270560699</v>
      </c>
      <c r="N9" s="1">
        <v>9.19910242355283</v>
      </c>
      <c r="O9" s="1">
        <v>11.6168940930479</v>
      </c>
      <c r="P9" s="1">
        <v>11.4304360967301</v>
      </c>
      <c r="Q9" s="1">
        <v>13.113696628941801</v>
      </c>
      <c r="R9" s="1">
        <v>12.2287204235791</v>
      </c>
      <c r="S9" s="1">
        <v>1.5991634877545999</v>
      </c>
      <c r="T9" s="1">
        <v>6.1146431613161001</v>
      </c>
      <c r="U9" s="1">
        <v>9.7378128757494498</v>
      </c>
      <c r="V9" s="1">
        <v>9.7113941941614303</v>
      </c>
      <c r="W9" s="1">
        <v>11.784787368349001</v>
      </c>
      <c r="X9" s="1">
        <v>11.5644510192365</v>
      </c>
      <c r="Y9" s="1">
        <v>4.5369724293787002</v>
      </c>
      <c r="Z9" s="1">
        <v>7.9707200264299098</v>
      </c>
      <c r="AA9" s="1">
        <v>2.0680809738441002</v>
      </c>
      <c r="AB9" s="1">
        <v>8.0117967098847007</v>
      </c>
      <c r="AC9" s="1">
        <v>9.1822132202036499</v>
      </c>
      <c r="AD9" s="1">
        <v>3.2400391341271</v>
      </c>
      <c r="AE9" s="1">
        <v>8.1926259781773805</v>
      </c>
    </row>
    <row r="10" spans="1:31" x14ac:dyDescent="0.25">
      <c r="A10" s="3" t="s">
        <v>9</v>
      </c>
      <c r="B10" s="1">
        <v>25.832834873725201</v>
      </c>
      <c r="C10" s="1">
        <v>7.6327511468659504</v>
      </c>
      <c r="D10" s="1">
        <v>1.8363911453609001</v>
      </c>
      <c r="E10" s="1">
        <v>7.0135610195798002</v>
      </c>
      <c r="F10" s="1">
        <v>7.7822692382492198</v>
      </c>
      <c r="G10" s="1">
        <v>6.5847097590805301</v>
      </c>
      <c r="H10" s="1">
        <v>2.9413904448107999</v>
      </c>
      <c r="I10" s="7"/>
      <c r="J10" s="1">
        <v>7.7388159642921304</v>
      </c>
      <c r="K10" s="1">
        <v>1.9376227674469999</v>
      </c>
      <c r="L10" s="1">
        <v>1.8954821957624</v>
      </c>
      <c r="M10" s="1">
        <v>8.0296288257499295</v>
      </c>
      <c r="N10" s="1">
        <v>6.2577119787420301</v>
      </c>
      <c r="O10" s="1">
        <v>8.6755036482371306</v>
      </c>
      <c r="P10" s="1">
        <v>8.4890456519192998</v>
      </c>
      <c r="Q10" s="1">
        <v>10.172306184130999</v>
      </c>
      <c r="R10" s="1">
        <v>9.2873299787683301</v>
      </c>
      <c r="S10" s="1">
        <v>4.5405539325654001</v>
      </c>
      <c r="T10" s="1">
        <v>3.1732527165053002</v>
      </c>
      <c r="U10" s="1">
        <v>6.7964224309386498</v>
      </c>
      <c r="V10" s="1">
        <v>6.7700037493506304</v>
      </c>
      <c r="W10" s="1">
        <v>8.8433969235382399</v>
      </c>
      <c r="X10" s="1">
        <v>8.6230605744256597</v>
      </c>
      <c r="Y10" s="1">
        <v>1.5955819845679</v>
      </c>
      <c r="Z10" s="1">
        <v>5.0293295816191099</v>
      </c>
      <c r="AA10" s="1">
        <v>0.87330947096669898</v>
      </c>
      <c r="AB10" s="1">
        <v>5.0704062650738999</v>
      </c>
      <c r="AC10" s="1">
        <v>6.24082277539285</v>
      </c>
      <c r="AD10" s="1">
        <v>0.29864868931630001</v>
      </c>
      <c r="AE10" s="1">
        <v>5.2512355333665797</v>
      </c>
    </row>
    <row r="11" spans="1:31" x14ac:dyDescent="0.25">
      <c r="A11" s="3" t="s">
        <v>10</v>
      </c>
      <c r="B11" s="1">
        <v>33.571650838017298</v>
      </c>
      <c r="C11" s="1">
        <v>0.10606481742618</v>
      </c>
      <c r="D11" s="1">
        <v>9.5752071096530305</v>
      </c>
      <c r="E11" s="1">
        <v>0.72525494471232899</v>
      </c>
      <c r="F11" s="1">
        <v>4.3453273957090303E-2</v>
      </c>
      <c r="G11" s="1">
        <v>1.1541062052116</v>
      </c>
      <c r="H11" s="1">
        <v>10.680206409102899</v>
      </c>
      <c r="I11" s="1">
        <v>7.7388159642921304</v>
      </c>
      <c r="J11" s="7"/>
      <c r="K11" s="1">
        <v>5.80119319684513</v>
      </c>
      <c r="L11" s="1">
        <v>5.84333376852973</v>
      </c>
      <c r="M11" s="1">
        <v>0.2908128614578</v>
      </c>
      <c r="N11" s="1">
        <v>1.4811039855501</v>
      </c>
      <c r="O11" s="1">
        <v>0.93668768394500002</v>
      </c>
      <c r="P11" s="1">
        <v>0.75022968762717002</v>
      </c>
      <c r="Q11" s="1">
        <v>2.43349021983884</v>
      </c>
      <c r="R11" s="1">
        <v>1.5485140144762</v>
      </c>
      <c r="S11" s="1">
        <v>12.279369896857499</v>
      </c>
      <c r="T11" s="1">
        <v>4.5655632477868302</v>
      </c>
      <c r="U11" s="1">
        <v>0.94239353335347997</v>
      </c>
      <c r="V11" s="1">
        <v>0.96881221494150005</v>
      </c>
      <c r="W11" s="1">
        <v>1.10458095924611</v>
      </c>
      <c r="X11" s="1">
        <v>0.88424461013352995</v>
      </c>
      <c r="Y11" s="1">
        <v>6.1432339797242301</v>
      </c>
      <c r="Z11" s="1">
        <v>2.70948638267302</v>
      </c>
      <c r="AA11" s="1">
        <v>8.6121254352588306</v>
      </c>
      <c r="AB11" s="1">
        <v>2.66840969921823</v>
      </c>
      <c r="AC11" s="1">
        <v>1.4979931888992799</v>
      </c>
      <c r="AD11" s="1">
        <v>7.4401672749758303</v>
      </c>
      <c r="AE11" s="1">
        <v>2.4875804309255498</v>
      </c>
    </row>
    <row r="12" spans="1:31" x14ac:dyDescent="0.25">
      <c r="A12" s="3" t="s">
        <v>11</v>
      </c>
      <c r="B12" s="1">
        <v>27.7704576411722</v>
      </c>
      <c r="C12" s="1">
        <v>5.69512837941895</v>
      </c>
      <c r="D12" s="1">
        <v>3.7740139128079</v>
      </c>
      <c r="E12" s="1">
        <v>5.0759382521327998</v>
      </c>
      <c r="F12" s="1">
        <v>5.8446464708022203</v>
      </c>
      <c r="G12" s="1">
        <v>4.6470869916335298</v>
      </c>
      <c r="H12" s="1">
        <v>4.8790132122578003</v>
      </c>
      <c r="I12" s="1">
        <v>1.9376227674469999</v>
      </c>
      <c r="J12" s="1">
        <v>5.80119319684513</v>
      </c>
      <c r="K12" s="7"/>
      <c r="L12" s="1">
        <v>4.2140571684599899E-2</v>
      </c>
      <c r="M12" s="1">
        <v>6.0920060583029301</v>
      </c>
      <c r="N12" s="1">
        <v>4.3200892112950298</v>
      </c>
      <c r="O12" s="1">
        <v>6.7378808807901303</v>
      </c>
      <c r="P12" s="1">
        <v>6.5514228844723004</v>
      </c>
      <c r="Q12" s="1">
        <v>8.2346834166839695</v>
      </c>
      <c r="R12" s="1">
        <v>7.3497072113213298</v>
      </c>
      <c r="S12" s="1">
        <v>6.4781767000124004</v>
      </c>
      <c r="T12" s="1">
        <v>1.2356299490583</v>
      </c>
      <c r="U12" s="1">
        <v>4.8587996634916504</v>
      </c>
      <c r="V12" s="1">
        <v>4.8323809819036301</v>
      </c>
      <c r="W12" s="1">
        <v>6.9057741560912396</v>
      </c>
      <c r="X12" s="1">
        <v>6.6854378069786602</v>
      </c>
      <c r="Y12" s="1">
        <v>0.342040782879101</v>
      </c>
      <c r="Z12" s="1">
        <v>3.09170681417211</v>
      </c>
      <c r="AA12" s="1">
        <v>2.8109322384137001</v>
      </c>
      <c r="AB12" s="1">
        <v>3.1327834976269</v>
      </c>
      <c r="AC12" s="1">
        <v>4.3032000079458497</v>
      </c>
      <c r="AD12" s="1">
        <v>1.6389740781307001</v>
      </c>
      <c r="AE12" s="1">
        <v>3.3136127659195802</v>
      </c>
    </row>
    <row r="13" spans="1:31" x14ac:dyDescent="0.25">
      <c r="A13" s="3" t="s">
        <v>12</v>
      </c>
      <c r="B13" s="1">
        <v>27.728317069487598</v>
      </c>
      <c r="C13" s="1">
        <v>5.73726895110355</v>
      </c>
      <c r="D13" s="1">
        <v>3.7318733411233</v>
      </c>
      <c r="E13" s="1">
        <v>5.1180788238173998</v>
      </c>
      <c r="F13" s="1">
        <v>5.8867870424868203</v>
      </c>
      <c r="G13" s="1">
        <v>4.6892275633181297</v>
      </c>
      <c r="H13" s="1">
        <v>4.8368726405732003</v>
      </c>
      <c r="I13" s="1">
        <v>1.8954821957624</v>
      </c>
      <c r="J13" s="1">
        <v>5.84333376852973</v>
      </c>
      <c r="K13" s="1">
        <v>4.2140571684599899E-2</v>
      </c>
      <c r="L13" s="7"/>
      <c r="M13" s="1">
        <v>6.13414662998753</v>
      </c>
      <c r="N13" s="1">
        <v>4.3622297829796297</v>
      </c>
      <c r="O13" s="1">
        <v>6.7800214524747302</v>
      </c>
      <c r="P13" s="1">
        <v>6.5935634561569003</v>
      </c>
      <c r="Q13" s="1">
        <v>8.2768239883685695</v>
      </c>
      <c r="R13" s="1">
        <v>7.3918477830059297</v>
      </c>
      <c r="S13" s="1">
        <v>6.4360361283277996</v>
      </c>
      <c r="T13" s="1">
        <v>1.2777705207429</v>
      </c>
      <c r="U13" s="1">
        <v>4.9009402351762503</v>
      </c>
      <c r="V13" s="1">
        <v>4.87452155358823</v>
      </c>
      <c r="W13" s="1">
        <v>6.9479147277758404</v>
      </c>
      <c r="X13" s="1">
        <v>6.7275783786632601</v>
      </c>
      <c r="Y13" s="1">
        <v>0.299900211194501</v>
      </c>
      <c r="Z13" s="1">
        <v>3.13384738585671</v>
      </c>
      <c r="AA13" s="1">
        <v>2.7687916667291002</v>
      </c>
      <c r="AB13" s="1">
        <v>3.1749240693115</v>
      </c>
      <c r="AC13" s="1">
        <v>4.3453405796304496</v>
      </c>
      <c r="AD13" s="1">
        <v>1.5968335064460999</v>
      </c>
      <c r="AE13" s="1">
        <v>3.3557533376041802</v>
      </c>
    </row>
    <row r="14" spans="1:31" x14ac:dyDescent="0.25">
      <c r="A14" s="3" t="s">
        <v>13</v>
      </c>
      <c r="B14" s="1">
        <v>33.8624636994751</v>
      </c>
      <c r="C14" s="1">
        <v>0.39687767888398001</v>
      </c>
      <c r="D14" s="1">
        <v>9.8660199711108305</v>
      </c>
      <c r="E14" s="1">
        <v>1.01606780617013</v>
      </c>
      <c r="F14" s="1">
        <v>0.24735958750070999</v>
      </c>
      <c r="G14" s="1">
        <v>1.4449190666694001</v>
      </c>
      <c r="H14" s="1">
        <v>10.971019270560699</v>
      </c>
      <c r="I14" s="1">
        <v>8.0296288257499295</v>
      </c>
      <c r="J14" s="1">
        <v>0.2908128614578</v>
      </c>
      <c r="K14" s="1">
        <v>6.0920060583029301</v>
      </c>
      <c r="L14" s="1">
        <v>6.13414662998753</v>
      </c>
      <c r="M14" s="7"/>
      <c r="N14" s="1">
        <v>1.7719168470079001</v>
      </c>
      <c r="O14" s="1">
        <v>0.64587482248719996</v>
      </c>
      <c r="P14" s="1">
        <v>0.45941682616937002</v>
      </c>
      <c r="Q14" s="1">
        <v>2.1426773583810399</v>
      </c>
      <c r="R14" s="1">
        <v>1.2577011530183999</v>
      </c>
      <c r="S14" s="1">
        <v>12.570182758315299</v>
      </c>
      <c r="T14" s="1">
        <v>4.8563761092446303</v>
      </c>
      <c r="U14" s="1">
        <v>1.2332063948112799</v>
      </c>
      <c r="V14" s="1">
        <v>1.2596250763993</v>
      </c>
      <c r="W14" s="1">
        <v>0.81376809778831005</v>
      </c>
      <c r="X14" s="1">
        <v>0.59343174867573001</v>
      </c>
      <c r="Y14" s="1">
        <v>6.4340468411820302</v>
      </c>
      <c r="Z14" s="1">
        <v>3.0002992441308201</v>
      </c>
      <c r="AA14" s="1">
        <v>8.9029382967166306</v>
      </c>
      <c r="AB14" s="1">
        <v>2.9592225606760301</v>
      </c>
      <c r="AC14" s="1">
        <v>1.78880605035708</v>
      </c>
      <c r="AD14" s="1">
        <v>7.7309801364336304</v>
      </c>
      <c r="AE14" s="1">
        <v>2.7783932923833499</v>
      </c>
    </row>
    <row r="15" spans="1:31" x14ac:dyDescent="0.25">
      <c r="A15" s="3" t="s">
        <v>14</v>
      </c>
      <c r="B15" s="1">
        <v>32.090546852467199</v>
      </c>
      <c r="C15" s="1">
        <v>1.37503916812392</v>
      </c>
      <c r="D15" s="1">
        <v>8.0941031241029293</v>
      </c>
      <c r="E15" s="1">
        <v>0.75584904083777005</v>
      </c>
      <c r="F15" s="1">
        <v>1.5245572595071899</v>
      </c>
      <c r="G15" s="1">
        <v>0.32699778033850002</v>
      </c>
      <c r="H15" s="1">
        <v>9.19910242355283</v>
      </c>
      <c r="I15" s="1">
        <v>6.2577119787420301</v>
      </c>
      <c r="J15" s="1">
        <v>1.4811039855501</v>
      </c>
      <c r="K15" s="1">
        <v>4.3200892112950298</v>
      </c>
      <c r="L15" s="1">
        <v>4.3622297829796297</v>
      </c>
      <c r="M15" s="1">
        <v>1.7719168470079001</v>
      </c>
      <c r="N15" s="7"/>
      <c r="O15" s="1">
        <v>2.4177916694951</v>
      </c>
      <c r="P15" s="1">
        <v>2.2313336731772702</v>
      </c>
      <c r="Q15" s="1">
        <v>3.9145942053889402</v>
      </c>
      <c r="R15" s="1">
        <v>3.0296180000263</v>
      </c>
      <c r="S15" s="1">
        <v>10.7982659113074</v>
      </c>
      <c r="T15" s="1">
        <v>3.0844592622367299</v>
      </c>
      <c r="U15" s="1">
        <v>0.53871045219661995</v>
      </c>
      <c r="V15" s="1">
        <v>0.51229177060859898</v>
      </c>
      <c r="W15" s="1">
        <v>2.5856849447962098</v>
      </c>
      <c r="X15" s="1">
        <v>2.36534859568363</v>
      </c>
      <c r="Y15" s="1">
        <v>4.6621299941741299</v>
      </c>
      <c r="Z15" s="1">
        <v>1.22838239712292</v>
      </c>
      <c r="AA15" s="1">
        <v>7.1310214497087303</v>
      </c>
      <c r="AB15" s="1">
        <v>1.18730571366813</v>
      </c>
      <c r="AC15" s="1">
        <v>1.68892033491801E-2</v>
      </c>
      <c r="AD15" s="1">
        <v>5.95906328942573</v>
      </c>
      <c r="AE15" s="1">
        <v>1.00647644537545</v>
      </c>
    </row>
    <row r="16" spans="1:31" x14ac:dyDescent="0.25">
      <c r="A16" s="3" t="s">
        <v>15</v>
      </c>
      <c r="B16" s="1">
        <v>34.508338521962301</v>
      </c>
      <c r="C16" s="1">
        <v>1.04275250137118</v>
      </c>
      <c r="D16" s="1">
        <v>10.511894793598</v>
      </c>
      <c r="E16" s="1">
        <v>1.66194262865733</v>
      </c>
      <c r="F16" s="1">
        <v>0.89323440998791004</v>
      </c>
      <c r="G16" s="1">
        <v>2.0907938891566</v>
      </c>
      <c r="H16" s="1">
        <v>11.6168940930479</v>
      </c>
      <c r="I16" s="1">
        <v>8.6755036482371306</v>
      </c>
      <c r="J16" s="1">
        <v>0.93668768394500002</v>
      </c>
      <c r="K16" s="1">
        <v>6.7378808807901303</v>
      </c>
      <c r="L16" s="1">
        <v>6.7800214524747302</v>
      </c>
      <c r="M16" s="1">
        <v>0.64587482248719996</v>
      </c>
      <c r="N16" s="1">
        <v>2.4177916694951</v>
      </c>
      <c r="O16" s="7"/>
      <c r="P16" s="1">
        <v>0.18645799631783</v>
      </c>
      <c r="Q16" s="1">
        <v>1.4968025358938399</v>
      </c>
      <c r="R16" s="1">
        <v>0.61182633053119995</v>
      </c>
      <c r="S16" s="1">
        <v>13.2160575808025</v>
      </c>
      <c r="T16" s="1">
        <v>5.5022509317318304</v>
      </c>
      <c r="U16" s="1">
        <v>1.8790812172984801</v>
      </c>
      <c r="V16" s="1">
        <v>1.9054998988865</v>
      </c>
      <c r="W16" s="1">
        <v>0.16789327530111001</v>
      </c>
      <c r="X16" s="1">
        <v>5.2443073811470099E-2</v>
      </c>
      <c r="Y16" s="1">
        <v>7.0799216636692304</v>
      </c>
      <c r="Z16" s="1">
        <v>3.6461740666180198</v>
      </c>
      <c r="AA16" s="1">
        <v>9.5488131192038299</v>
      </c>
      <c r="AB16" s="1">
        <v>3.6050973831632298</v>
      </c>
      <c r="AC16" s="1">
        <v>2.4346808728442801</v>
      </c>
      <c r="AD16" s="1">
        <v>8.3768549589208305</v>
      </c>
      <c r="AE16" s="1">
        <v>3.4242681148705501</v>
      </c>
    </row>
    <row r="17" spans="1:31" x14ac:dyDescent="0.25">
      <c r="A17" s="3" t="s">
        <v>16</v>
      </c>
      <c r="B17" s="1">
        <v>34.321880525644502</v>
      </c>
      <c r="C17" s="1">
        <v>0.85629450505335003</v>
      </c>
      <c r="D17" s="1">
        <v>10.325436797280201</v>
      </c>
      <c r="E17" s="1">
        <v>1.4754846323394999</v>
      </c>
      <c r="F17" s="1">
        <v>0.70677641367008004</v>
      </c>
      <c r="G17" s="1">
        <v>1.9043358928387699</v>
      </c>
      <c r="H17" s="1">
        <v>11.4304360967301</v>
      </c>
      <c r="I17" s="1">
        <v>8.4890456519192998</v>
      </c>
      <c r="J17" s="1">
        <v>0.75022968762717002</v>
      </c>
      <c r="K17" s="1">
        <v>6.5514228844723004</v>
      </c>
      <c r="L17" s="1">
        <v>6.5935634561569003</v>
      </c>
      <c r="M17" s="1">
        <v>0.45941682616937002</v>
      </c>
      <c r="N17" s="1">
        <v>2.2313336731772702</v>
      </c>
      <c r="O17" s="1">
        <v>0.18645799631783</v>
      </c>
      <c r="P17" s="7"/>
      <c r="Q17" s="1">
        <v>1.68326053221167</v>
      </c>
      <c r="R17" s="1">
        <v>0.79828432684902995</v>
      </c>
      <c r="S17" s="1">
        <v>13.0295995844847</v>
      </c>
      <c r="T17" s="1">
        <v>5.3157929354139997</v>
      </c>
      <c r="U17" s="1">
        <v>1.69262322098065</v>
      </c>
      <c r="V17" s="1">
        <v>1.7190419025686701</v>
      </c>
      <c r="W17" s="1">
        <v>0.35435127161893998</v>
      </c>
      <c r="X17" s="1">
        <v>0.13401492250635999</v>
      </c>
      <c r="Y17" s="1">
        <v>6.8934636673513996</v>
      </c>
      <c r="Z17" s="1">
        <v>3.4597160703001899</v>
      </c>
      <c r="AA17" s="1">
        <v>9.3623551228859991</v>
      </c>
      <c r="AB17" s="1">
        <v>3.4186393868453999</v>
      </c>
      <c r="AC17" s="1">
        <v>2.2482228765264498</v>
      </c>
      <c r="AD17" s="1">
        <v>8.1903969626029998</v>
      </c>
      <c r="AE17" s="1">
        <v>3.2378101185527202</v>
      </c>
    </row>
    <row r="18" spans="1:31" x14ac:dyDescent="0.25">
      <c r="A18" s="3" t="s">
        <v>17</v>
      </c>
      <c r="B18" s="1">
        <v>36.0051410578562</v>
      </c>
      <c r="C18" s="1">
        <v>2.53955503726502</v>
      </c>
      <c r="D18" s="1">
        <v>12.0086973294919</v>
      </c>
      <c r="E18" s="1">
        <v>3.1587451645511702</v>
      </c>
      <c r="F18" s="1">
        <v>2.3900369458817501</v>
      </c>
      <c r="G18" s="1">
        <v>3.5875964250504402</v>
      </c>
      <c r="H18" s="1">
        <v>13.113696628941801</v>
      </c>
      <c r="I18" s="1">
        <v>10.172306184130999</v>
      </c>
      <c r="J18" s="1">
        <v>2.43349021983884</v>
      </c>
      <c r="K18" s="1">
        <v>8.2346834166839695</v>
      </c>
      <c r="L18" s="1">
        <v>8.2768239883685695</v>
      </c>
      <c r="M18" s="1">
        <v>2.1426773583810399</v>
      </c>
      <c r="N18" s="1">
        <v>3.9145942053889402</v>
      </c>
      <c r="O18" s="1">
        <v>1.4968025358938399</v>
      </c>
      <c r="P18" s="1">
        <v>1.68326053221167</v>
      </c>
      <c r="Q18" s="7"/>
      <c r="R18" s="1">
        <v>0.88497620536263999</v>
      </c>
      <c r="S18" s="1">
        <v>14.712860116696399</v>
      </c>
      <c r="T18" s="1">
        <v>6.9990534676256697</v>
      </c>
      <c r="U18" s="1">
        <v>3.37588375319232</v>
      </c>
      <c r="V18" s="1">
        <v>3.4023024347803399</v>
      </c>
      <c r="W18" s="1">
        <v>1.32890926059273</v>
      </c>
      <c r="X18" s="1">
        <v>1.54924560970531</v>
      </c>
      <c r="Y18" s="1">
        <v>8.5767241995630705</v>
      </c>
      <c r="Z18" s="1">
        <v>5.14297660251186</v>
      </c>
      <c r="AA18" s="1">
        <v>11.0456156550977</v>
      </c>
      <c r="AB18" s="1">
        <v>5.10189991905707</v>
      </c>
      <c r="AC18" s="1">
        <v>3.9314834087381199</v>
      </c>
      <c r="AD18" s="1">
        <v>9.8736574948146707</v>
      </c>
      <c r="AE18" s="1">
        <v>4.9210706507643902</v>
      </c>
    </row>
    <row r="19" spans="1:31" x14ac:dyDescent="0.25">
      <c r="A19" s="3" t="s">
        <v>18</v>
      </c>
      <c r="B19" s="1">
        <v>35.120164852493502</v>
      </c>
      <c r="C19" s="1">
        <v>1.65457883190238</v>
      </c>
      <c r="D19" s="1">
        <v>11.123721124129201</v>
      </c>
      <c r="E19" s="1">
        <v>2.2737689591885299</v>
      </c>
      <c r="F19" s="1">
        <v>1.5050607405191101</v>
      </c>
      <c r="G19" s="1">
        <v>2.7026202196878</v>
      </c>
      <c r="H19" s="1">
        <v>12.2287204235791</v>
      </c>
      <c r="I19" s="1">
        <v>9.2873299787683301</v>
      </c>
      <c r="J19" s="1">
        <v>1.5485140144762</v>
      </c>
      <c r="K19" s="1">
        <v>7.3497072113213298</v>
      </c>
      <c r="L19" s="1">
        <v>7.3918477830059297</v>
      </c>
      <c r="M19" s="1">
        <v>1.2577011530183999</v>
      </c>
      <c r="N19" s="1">
        <v>3.0296180000263</v>
      </c>
      <c r="O19" s="1">
        <v>0.61182633053119995</v>
      </c>
      <c r="P19" s="1">
        <v>0.79828432684902995</v>
      </c>
      <c r="Q19" s="1">
        <v>0.88497620536263999</v>
      </c>
      <c r="R19" s="7"/>
      <c r="S19" s="1">
        <v>13.8278839113337</v>
      </c>
      <c r="T19" s="1">
        <v>6.1140772622630299</v>
      </c>
      <c r="U19" s="1">
        <v>2.4909075478296798</v>
      </c>
      <c r="V19" s="1">
        <v>2.5173262294177001</v>
      </c>
      <c r="W19" s="1">
        <v>0.44393305523009002</v>
      </c>
      <c r="X19" s="1">
        <v>0.66426940434267001</v>
      </c>
      <c r="Y19" s="1">
        <v>7.6917479942004299</v>
      </c>
      <c r="Z19" s="1">
        <v>4.2580003971492202</v>
      </c>
      <c r="AA19" s="1">
        <v>10.160639449734999</v>
      </c>
      <c r="AB19" s="1">
        <v>4.2169237136944302</v>
      </c>
      <c r="AC19" s="1">
        <v>3.0465072033754801</v>
      </c>
      <c r="AD19" s="1">
        <v>8.98868128945203</v>
      </c>
      <c r="AE19" s="1">
        <v>4.0360944454017504</v>
      </c>
    </row>
    <row r="20" spans="1:31" x14ac:dyDescent="0.25">
      <c r="A20" s="3" t="s">
        <v>19</v>
      </c>
      <c r="B20" s="1">
        <v>21.292280941159799</v>
      </c>
      <c r="C20" s="1">
        <v>12.173305079431399</v>
      </c>
      <c r="D20" s="1">
        <v>2.7041627872045</v>
      </c>
      <c r="E20" s="1">
        <v>11.5541149521452</v>
      </c>
      <c r="F20" s="1">
        <v>12.322823170814599</v>
      </c>
      <c r="G20" s="1">
        <v>11.1252636916459</v>
      </c>
      <c r="H20" s="1">
        <v>1.5991634877545999</v>
      </c>
      <c r="I20" s="1">
        <v>4.5405539325654001</v>
      </c>
      <c r="J20" s="1">
        <v>12.279369896857499</v>
      </c>
      <c r="K20" s="1">
        <v>6.4781767000124004</v>
      </c>
      <c r="L20" s="1">
        <v>6.4360361283277996</v>
      </c>
      <c r="M20" s="1">
        <v>12.570182758315299</v>
      </c>
      <c r="N20" s="1">
        <v>10.7982659113074</v>
      </c>
      <c r="O20" s="1">
        <v>13.2160575808025</v>
      </c>
      <c r="P20" s="1">
        <v>13.0295995844847</v>
      </c>
      <c r="Q20" s="1">
        <v>14.712860116696399</v>
      </c>
      <c r="R20" s="1">
        <v>13.8278839113337</v>
      </c>
      <c r="S20" s="7"/>
      <c r="T20" s="1">
        <v>7.7138066490707002</v>
      </c>
      <c r="U20" s="1">
        <v>11.336976363504</v>
      </c>
      <c r="V20" s="1">
        <v>11.310557681916</v>
      </c>
      <c r="W20" s="1">
        <v>13.383950856103599</v>
      </c>
      <c r="X20" s="1">
        <v>13.163614506991101</v>
      </c>
      <c r="Y20" s="1">
        <v>6.1361359171333003</v>
      </c>
      <c r="Z20" s="1">
        <v>9.5698835141845109</v>
      </c>
      <c r="AA20" s="1">
        <v>3.6672444615986999</v>
      </c>
      <c r="AB20" s="1">
        <v>9.6109601976393009</v>
      </c>
      <c r="AC20" s="1">
        <v>10.7813767079583</v>
      </c>
      <c r="AD20" s="1">
        <v>4.8392026218817001</v>
      </c>
      <c r="AE20" s="1">
        <v>9.7917894659319806</v>
      </c>
    </row>
    <row r="21" spans="1:31" x14ac:dyDescent="0.25">
      <c r="A21" s="3" t="s">
        <v>20</v>
      </c>
      <c r="B21" s="1">
        <v>29.0060875902305</v>
      </c>
      <c r="C21" s="1">
        <v>4.4594984303606502</v>
      </c>
      <c r="D21" s="1">
        <v>5.0096438618662003</v>
      </c>
      <c r="E21" s="1">
        <v>3.8403083030745</v>
      </c>
      <c r="F21" s="1">
        <v>4.6090165217439196</v>
      </c>
      <c r="G21" s="1">
        <v>3.41145704257523</v>
      </c>
      <c r="H21" s="1">
        <v>6.1146431613161001</v>
      </c>
      <c r="I21" s="1">
        <v>3.1732527165053002</v>
      </c>
      <c r="J21" s="1">
        <v>4.5655632477868302</v>
      </c>
      <c r="K21" s="1">
        <v>1.2356299490583</v>
      </c>
      <c r="L21" s="1">
        <v>1.2777705207429</v>
      </c>
      <c r="M21" s="1">
        <v>4.8563761092446303</v>
      </c>
      <c r="N21" s="1">
        <v>3.0844592622367299</v>
      </c>
      <c r="O21" s="1">
        <v>5.5022509317318304</v>
      </c>
      <c r="P21" s="1">
        <v>5.3157929354139997</v>
      </c>
      <c r="Q21" s="1">
        <v>6.9990534676256697</v>
      </c>
      <c r="R21" s="1">
        <v>6.1140772622630299</v>
      </c>
      <c r="S21" s="1">
        <v>7.7138066490707002</v>
      </c>
      <c r="T21" s="7"/>
      <c r="U21" s="1">
        <v>3.6231697144333501</v>
      </c>
      <c r="V21" s="1">
        <v>3.5967510328453298</v>
      </c>
      <c r="W21" s="1">
        <v>5.6701442070329398</v>
      </c>
      <c r="X21" s="1">
        <v>5.4498078579203604</v>
      </c>
      <c r="Y21" s="1">
        <v>1.5776707319373999</v>
      </c>
      <c r="Z21" s="1">
        <v>1.85607686511381</v>
      </c>
      <c r="AA21" s="1">
        <v>4.0465621874720004</v>
      </c>
      <c r="AB21" s="1">
        <v>1.8971535485686</v>
      </c>
      <c r="AC21" s="1">
        <v>3.0675700588875499</v>
      </c>
      <c r="AD21" s="1">
        <v>2.8746040271890001</v>
      </c>
      <c r="AE21" s="1">
        <v>2.0779828168612799</v>
      </c>
    </row>
    <row r="22" spans="1:31" x14ac:dyDescent="0.25">
      <c r="A22" s="3" t="s">
        <v>21</v>
      </c>
      <c r="B22" s="1">
        <v>32.629257304663902</v>
      </c>
      <c r="C22" s="1">
        <v>0.83632871592729996</v>
      </c>
      <c r="D22" s="1">
        <v>8.6328135762995508</v>
      </c>
      <c r="E22" s="1">
        <v>0.21713858864114999</v>
      </c>
      <c r="F22" s="1">
        <v>0.98584680731056995</v>
      </c>
      <c r="G22" s="1">
        <v>0.21171267185812001</v>
      </c>
      <c r="H22" s="1">
        <v>9.7378128757494498</v>
      </c>
      <c r="I22" s="1">
        <v>6.7964224309386498</v>
      </c>
      <c r="J22" s="1">
        <v>0.94239353335347997</v>
      </c>
      <c r="K22" s="1">
        <v>4.8587996634916504</v>
      </c>
      <c r="L22" s="1">
        <v>4.9009402351762503</v>
      </c>
      <c r="M22" s="1">
        <v>1.2332063948112799</v>
      </c>
      <c r="N22" s="1">
        <v>0.53871045219661995</v>
      </c>
      <c r="O22" s="1">
        <v>1.8790812172984801</v>
      </c>
      <c r="P22" s="1">
        <v>1.69262322098065</v>
      </c>
      <c r="Q22" s="1">
        <v>3.37588375319232</v>
      </c>
      <c r="R22" s="1">
        <v>2.4909075478296798</v>
      </c>
      <c r="S22" s="1">
        <v>11.336976363504</v>
      </c>
      <c r="T22" s="1">
        <v>3.6231697144333501</v>
      </c>
      <c r="U22" s="7"/>
      <c r="V22" s="1">
        <v>2.6418681588020299E-2</v>
      </c>
      <c r="W22" s="1">
        <v>2.0469744925995901</v>
      </c>
      <c r="X22" s="1">
        <v>1.82663814348701</v>
      </c>
      <c r="Y22" s="1">
        <v>5.2008404463707496</v>
      </c>
      <c r="Z22" s="1">
        <v>1.7670928493195399</v>
      </c>
      <c r="AA22" s="1">
        <v>7.66973190190535</v>
      </c>
      <c r="AB22" s="1">
        <v>1.7260161658647499</v>
      </c>
      <c r="AC22" s="1">
        <v>0.55559965554580004</v>
      </c>
      <c r="AD22" s="1">
        <v>6.4977737416223498</v>
      </c>
      <c r="AE22" s="1">
        <v>1.54518689757207</v>
      </c>
    </row>
    <row r="23" spans="1:31" x14ac:dyDescent="0.25">
      <c r="A23" s="3" t="s">
        <v>22</v>
      </c>
      <c r="B23" s="1">
        <v>32.602838623075797</v>
      </c>
      <c r="C23" s="1">
        <v>0.86274739751532004</v>
      </c>
      <c r="D23" s="1">
        <v>8.6063948947115296</v>
      </c>
      <c r="E23" s="1">
        <v>0.24355727022917101</v>
      </c>
      <c r="F23" s="1">
        <v>1.01226548889859</v>
      </c>
      <c r="G23" s="1">
        <v>0.18529399027009899</v>
      </c>
      <c r="H23" s="1">
        <v>9.7113941941614303</v>
      </c>
      <c r="I23" s="1">
        <v>6.7700037493506304</v>
      </c>
      <c r="J23" s="1">
        <v>0.96881221494150005</v>
      </c>
      <c r="K23" s="1">
        <v>4.8323809819036301</v>
      </c>
      <c r="L23" s="1">
        <v>4.87452155358823</v>
      </c>
      <c r="M23" s="1">
        <v>1.2596250763993</v>
      </c>
      <c r="N23" s="1">
        <v>0.51229177060859898</v>
      </c>
      <c r="O23" s="1">
        <v>1.9054998988865</v>
      </c>
      <c r="P23" s="1">
        <v>1.7190419025686701</v>
      </c>
      <c r="Q23" s="1">
        <v>3.4023024347803399</v>
      </c>
      <c r="R23" s="1">
        <v>2.5173262294177001</v>
      </c>
      <c r="S23" s="1">
        <v>11.310557681916</v>
      </c>
      <c r="T23" s="1">
        <v>3.5967510328453298</v>
      </c>
      <c r="U23" s="1">
        <v>2.6418681588020299E-2</v>
      </c>
      <c r="V23" s="7"/>
      <c r="W23" s="1">
        <v>2.0733931741876099</v>
      </c>
      <c r="X23" s="1">
        <v>1.8530568250750299</v>
      </c>
      <c r="Y23" s="1">
        <v>5.1744217647827302</v>
      </c>
      <c r="Z23" s="1">
        <v>1.7406741677315201</v>
      </c>
      <c r="AA23" s="1">
        <v>7.6433132203173297</v>
      </c>
      <c r="AB23" s="1">
        <v>1.6995974842767301</v>
      </c>
      <c r="AC23" s="1">
        <v>0.52918097395777997</v>
      </c>
      <c r="AD23" s="1">
        <v>6.4713550600343304</v>
      </c>
      <c r="AE23" s="1">
        <v>1.5187682159840501</v>
      </c>
    </row>
    <row r="24" spans="1:31" x14ac:dyDescent="0.25">
      <c r="A24" s="3" t="s">
        <v>23</v>
      </c>
      <c r="B24" s="1">
        <v>34.676231797263398</v>
      </c>
      <c r="C24" s="1">
        <v>1.21064577667229</v>
      </c>
      <c r="D24" s="1">
        <v>10.6797880688991</v>
      </c>
      <c r="E24" s="1">
        <v>1.82983590395844</v>
      </c>
      <c r="F24" s="1">
        <v>1.0611276852890199</v>
      </c>
      <c r="G24" s="1">
        <v>2.2586871644577098</v>
      </c>
      <c r="H24" s="1">
        <v>11.784787368349001</v>
      </c>
      <c r="I24" s="1">
        <v>8.8433969235382399</v>
      </c>
      <c r="J24" s="1">
        <v>1.10458095924611</v>
      </c>
      <c r="K24" s="1">
        <v>6.9057741560912396</v>
      </c>
      <c r="L24" s="1">
        <v>6.9479147277758404</v>
      </c>
      <c r="M24" s="1">
        <v>0.81376809778831005</v>
      </c>
      <c r="N24" s="1">
        <v>2.5856849447962098</v>
      </c>
      <c r="O24" s="1">
        <v>0.16789327530111001</v>
      </c>
      <c r="P24" s="1">
        <v>0.35435127161893998</v>
      </c>
      <c r="Q24" s="1">
        <v>1.32890926059273</v>
      </c>
      <c r="R24" s="1">
        <v>0.44393305523009002</v>
      </c>
      <c r="S24" s="1">
        <v>13.383950856103599</v>
      </c>
      <c r="T24" s="1">
        <v>5.6701442070329398</v>
      </c>
      <c r="U24" s="1">
        <v>2.0469744925995901</v>
      </c>
      <c r="V24" s="1">
        <v>2.0733931741876099</v>
      </c>
      <c r="W24" s="7"/>
      <c r="X24" s="1">
        <v>0.22033634911257999</v>
      </c>
      <c r="Y24" s="1">
        <v>7.2478149389703397</v>
      </c>
      <c r="Z24" s="1">
        <v>3.81406734191913</v>
      </c>
      <c r="AA24" s="1">
        <v>9.7167063945049392</v>
      </c>
      <c r="AB24" s="1">
        <v>3.77299065846434</v>
      </c>
      <c r="AC24" s="1">
        <v>2.6025741481453899</v>
      </c>
      <c r="AD24" s="1">
        <v>8.5447482342219399</v>
      </c>
      <c r="AE24" s="1">
        <v>3.5921613901716598</v>
      </c>
    </row>
    <row r="25" spans="1:31" x14ac:dyDescent="0.25">
      <c r="A25" s="3" t="s">
        <v>24</v>
      </c>
      <c r="B25" s="1">
        <v>34.455895448150898</v>
      </c>
      <c r="C25" s="1">
        <v>0.99030942755970996</v>
      </c>
      <c r="D25" s="1">
        <v>10.4594517197866</v>
      </c>
      <c r="E25" s="1">
        <v>1.6094995548458599</v>
      </c>
      <c r="F25" s="1">
        <v>0.84079133617643997</v>
      </c>
      <c r="G25" s="1">
        <v>2.03835081534513</v>
      </c>
      <c r="H25" s="1">
        <v>11.5644510192365</v>
      </c>
      <c r="I25" s="1">
        <v>8.6230605744256597</v>
      </c>
      <c r="J25" s="1">
        <v>0.88424461013352995</v>
      </c>
      <c r="K25" s="1">
        <v>6.6854378069786602</v>
      </c>
      <c r="L25" s="1">
        <v>6.7275783786632601</v>
      </c>
      <c r="M25" s="1">
        <v>0.59343174867573001</v>
      </c>
      <c r="N25" s="1">
        <v>2.36534859568363</v>
      </c>
      <c r="O25" s="1">
        <v>5.2443073811470099E-2</v>
      </c>
      <c r="P25" s="1">
        <v>0.13401492250635999</v>
      </c>
      <c r="Q25" s="1">
        <v>1.54924560970531</v>
      </c>
      <c r="R25" s="1">
        <v>0.66426940434267001</v>
      </c>
      <c r="S25" s="1">
        <v>13.163614506991101</v>
      </c>
      <c r="T25" s="1">
        <v>5.4498078579203604</v>
      </c>
      <c r="U25" s="1">
        <v>1.82663814348701</v>
      </c>
      <c r="V25" s="1">
        <v>1.8530568250750299</v>
      </c>
      <c r="W25" s="1">
        <v>0.22033634911257999</v>
      </c>
      <c r="X25" s="7"/>
      <c r="Y25" s="1">
        <v>7.0274785898577603</v>
      </c>
      <c r="Z25" s="1">
        <v>3.5937309928065502</v>
      </c>
      <c r="AA25" s="1">
        <v>9.4963700453923607</v>
      </c>
      <c r="AB25" s="1">
        <v>3.5526543093517602</v>
      </c>
      <c r="AC25" s="1">
        <v>2.3822377990328101</v>
      </c>
      <c r="AD25" s="1">
        <v>8.3244118851093596</v>
      </c>
      <c r="AE25" s="1">
        <v>3.37182504105908</v>
      </c>
    </row>
    <row r="26" spans="1:31" x14ac:dyDescent="0.25">
      <c r="A26" s="3" t="s">
        <v>25</v>
      </c>
      <c r="B26" s="1">
        <v>27.428416858293101</v>
      </c>
      <c r="C26" s="1">
        <v>6.0371691622980501</v>
      </c>
      <c r="D26" s="1">
        <v>3.4319731299287999</v>
      </c>
      <c r="E26" s="1">
        <v>5.4179790350118999</v>
      </c>
      <c r="F26" s="1">
        <v>6.1866872536813204</v>
      </c>
      <c r="G26" s="1">
        <v>4.9891277745126299</v>
      </c>
      <c r="H26" s="1">
        <v>4.5369724293787002</v>
      </c>
      <c r="I26" s="1">
        <v>1.5955819845679</v>
      </c>
      <c r="J26" s="1">
        <v>6.1432339797242301</v>
      </c>
      <c r="K26" s="1">
        <v>0.342040782879101</v>
      </c>
      <c r="L26" s="1">
        <v>0.299900211194501</v>
      </c>
      <c r="M26" s="1">
        <v>6.4340468411820302</v>
      </c>
      <c r="N26" s="1">
        <v>4.6621299941741299</v>
      </c>
      <c r="O26" s="1">
        <v>7.0799216636692304</v>
      </c>
      <c r="P26" s="1">
        <v>6.8934636673513996</v>
      </c>
      <c r="Q26" s="1">
        <v>8.5767241995630705</v>
      </c>
      <c r="R26" s="1">
        <v>7.6917479942004299</v>
      </c>
      <c r="S26" s="1">
        <v>6.1361359171333003</v>
      </c>
      <c r="T26" s="1">
        <v>1.5776707319373999</v>
      </c>
      <c r="U26" s="1">
        <v>5.2008404463707496</v>
      </c>
      <c r="V26" s="1">
        <v>5.1744217647827302</v>
      </c>
      <c r="W26" s="1">
        <v>7.2478149389703397</v>
      </c>
      <c r="X26" s="1">
        <v>7.0274785898577603</v>
      </c>
      <c r="Y26" s="7"/>
      <c r="Z26" s="1">
        <v>3.4337475970512101</v>
      </c>
      <c r="AA26" s="1">
        <v>2.4688914555346</v>
      </c>
      <c r="AB26" s="1">
        <v>3.4748242805060001</v>
      </c>
      <c r="AC26" s="1">
        <v>4.6452407908249498</v>
      </c>
      <c r="AD26" s="1">
        <v>1.2969332952515999</v>
      </c>
      <c r="AE26" s="1">
        <v>3.6556535487986799</v>
      </c>
    </row>
    <row r="27" spans="1:31" x14ac:dyDescent="0.25">
      <c r="A27" s="3" t="s">
        <v>26</v>
      </c>
      <c r="B27" s="1">
        <v>30.862164455344299</v>
      </c>
      <c r="C27" s="1">
        <v>2.60342156524684</v>
      </c>
      <c r="D27" s="1">
        <v>6.86572072698001</v>
      </c>
      <c r="E27" s="1">
        <v>1.98423143796069</v>
      </c>
      <c r="F27" s="1">
        <v>2.7529396566301099</v>
      </c>
      <c r="G27" s="1">
        <v>1.55538017746142</v>
      </c>
      <c r="H27" s="1">
        <v>7.9707200264299098</v>
      </c>
      <c r="I27" s="1">
        <v>5.0293295816191099</v>
      </c>
      <c r="J27" s="1">
        <v>2.70948638267302</v>
      </c>
      <c r="K27" s="1">
        <v>3.09170681417211</v>
      </c>
      <c r="L27" s="1">
        <v>3.13384738585671</v>
      </c>
      <c r="M27" s="1">
        <v>3.0002992441308201</v>
      </c>
      <c r="N27" s="1">
        <v>1.22838239712292</v>
      </c>
      <c r="O27" s="1">
        <v>3.6461740666180198</v>
      </c>
      <c r="P27" s="1">
        <v>3.4597160703001899</v>
      </c>
      <c r="Q27" s="1">
        <v>5.14297660251186</v>
      </c>
      <c r="R27" s="1">
        <v>4.2580003971492202</v>
      </c>
      <c r="S27" s="1">
        <v>9.5698835141845109</v>
      </c>
      <c r="T27" s="1">
        <v>1.85607686511381</v>
      </c>
      <c r="U27" s="1">
        <v>1.7670928493195399</v>
      </c>
      <c r="V27" s="1">
        <v>1.7406741677315201</v>
      </c>
      <c r="W27" s="1">
        <v>3.81406734191913</v>
      </c>
      <c r="X27" s="1">
        <v>3.5937309928065502</v>
      </c>
      <c r="Y27" s="1">
        <v>3.4337475970512101</v>
      </c>
      <c r="Z27" s="7"/>
      <c r="AA27" s="1">
        <v>5.9026390525858101</v>
      </c>
      <c r="AB27" s="1">
        <v>4.107668345479E-2</v>
      </c>
      <c r="AC27" s="1">
        <v>1.2114931937737401</v>
      </c>
      <c r="AD27" s="1">
        <v>4.7306808923028099</v>
      </c>
      <c r="AE27" s="1">
        <v>0.22190595174746999</v>
      </c>
    </row>
    <row r="28" spans="1:31" x14ac:dyDescent="0.25">
      <c r="A28" s="3" t="s">
        <v>27</v>
      </c>
      <c r="B28" s="1">
        <v>24.959525402758501</v>
      </c>
      <c r="C28" s="1">
        <v>8.5060606178326505</v>
      </c>
      <c r="D28" s="1">
        <v>0.9630816743942</v>
      </c>
      <c r="E28" s="1">
        <v>7.8868704905465004</v>
      </c>
      <c r="F28" s="1">
        <v>8.65557870921592</v>
      </c>
      <c r="G28" s="1">
        <v>7.4580192300472303</v>
      </c>
      <c r="H28" s="1">
        <v>2.0680809738441002</v>
      </c>
      <c r="I28" s="1">
        <v>0.87330947096669898</v>
      </c>
      <c r="J28" s="1">
        <v>8.6121254352588306</v>
      </c>
      <c r="K28" s="1">
        <v>2.8109322384137001</v>
      </c>
      <c r="L28" s="1">
        <v>2.7687916667291002</v>
      </c>
      <c r="M28" s="1">
        <v>8.9029382967166306</v>
      </c>
      <c r="N28" s="1">
        <v>7.1310214497087303</v>
      </c>
      <c r="O28" s="1">
        <v>9.5488131192038299</v>
      </c>
      <c r="P28" s="1">
        <v>9.3623551228859991</v>
      </c>
      <c r="Q28" s="1">
        <v>11.0456156550977</v>
      </c>
      <c r="R28" s="1">
        <v>10.160639449734999</v>
      </c>
      <c r="S28" s="1">
        <v>3.6672444615986999</v>
      </c>
      <c r="T28" s="1">
        <v>4.0465621874720004</v>
      </c>
      <c r="U28" s="1">
        <v>7.66973190190535</v>
      </c>
      <c r="V28" s="1">
        <v>7.6433132203173297</v>
      </c>
      <c r="W28" s="1">
        <v>9.7167063945049392</v>
      </c>
      <c r="X28" s="1">
        <v>9.4963700453923607</v>
      </c>
      <c r="Y28" s="1">
        <v>2.4688914555346</v>
      </c>
      <c r="Z28" s="1">
        <v>5.9026390525858101</v>
      </c>
      <c r="AA28" s="7"/>
      <c r="AB28" s="1">
        <v>5.9437157360406001</v>
      </c>
      <c r="AC28" s="1">
        <v>7.1141322463595502</v>
      </c>
      <c r="AD28" s="1">
        <v>1.171958160283</v>
      </c>
      <c r="AE28" s="1">
        <v>6.1245450043332799</v>
      </c>
    </row>
    <row r="29" spans="1:31" x14ac:dyDescent="0.25">
      <c r="A29" s="3" t="s">
        <v>28</v>
      </c>
      <c r="B29" s="1">
        <v>30.9032411387991</v>
      </c>
      <c r="C29" s="1">
        <v>2.56234488179205</v>
      </c>
      <c r="D29" s="1">
        <v>6.9067974104348</v>
      </c>
      <c r="E29" s="1">
        <v>1.9431547545059</v>
      </c>
      <c r="F29" s="1">
        <v>2.7118629731753199</v>
      </c>
      <c r="G29" s="1">
        <v>1.51430349400663</v>
      </c>
      <c r="H29" s="1">
        <v>8.0117967098847007</v>
      </c>
      <c r="I29" s="1">
        <v>5.0704062650738999</v>
      </c>
      <c r="J29" s="1">
        <v>2.66840969921823</v>
      </c>
      <c r="K29" s="1">
        <v>3.1327834976269</v>
      </c>
      <c r="L29" s="1">
        <v>3.1749240693115</v>
      </c>
      <c r="M29" s="1">
        <v>2.9592225606760301</v>
      </c>
      <c r="N29" s="1">
        <v>1.18730571366813</v>
      </c>
      <c r="O29" s="1">
        <v>3.6050973831632298</v>
      </c>
      <c r="P29" s="1">
        <v>3.4186393868453999</v>
      </c>
      <c r="Q29" s="1">
        <v>5.10189991905707</v>
      </c>
      <c r="R29" s="1">
        <v>4.2169237136944302</v>
      </c>
      <c r="S29" s="1">
        <v>9.6109601976393009</v>
      </c>
      <c r="T29" s="1">
        <v>1.8971535485686</v>
      </c>
      <c r="U29" s="1">
        <v>1.7260161658647499</v>
      </c>
      <c r="V29" s="1">
        <v>1.6995974842767301</v>
      </c>
      <c r="W29" s="1">
        <v>3.77299065846434</v>
      </c>
      <c r="X29" s="1">
        <v>3.5526543093517602</v>
      </c>
      <c r="Y29" s="1">
        <v>3.4748242805060001</v>
      </c>
      <c r="Z29" s="1">
        <v>4.107668345479E-2</v>
      </c>
      <c r="AA29" s="1">
        <v>5.9437157360406001</v>
      </c>
      <c r="AB29" s="7"/>
      <c r="AC29" s="1">
        <v>1.1704165103189501</v>
      </c>
      <c r="AD29" s="1">
        <v>4.7717575757575998</v>
      </c>
      <c r="AE29" s="1">
        <v>0.18082926829268001</v>
      </c>
    </row>
    <row r="30" spans="1:31" x14ac:dyDescent="0.25">
      <c r="A30" s="3" t="s">
        <v>29</v>
      </c>
      <c r="B30" s="1">
        <v>32.073657649117997</v>
      </c>
      <c r="C30" s="1">
        <v>1.3919283714730999</v>
      </c>
      <c r="D30" s="1">
        <v>8.0772139207537492</v>
      </c>
      <c r="E30" s="1">
        <v>0.77273824418695003</v>
      </c>
      <c r="F30" s="1">
        <v>1.54144646285637</v>
      </c>
      <c r="G30" s="1">
        <v>0.34388698368768</v>
      </c>
      <c r="H30" s="1">
        <v>9.1822132202036499</v>
      </c>
      <c r="I30" s="1">
        <v>6.24082277539285</v>
      </c>
      <c r="J30" s="1">
        <v>1.4979931888992799</v>
      </c>
      <c r="K30" s="1">
        <v>4.3032000079458497</v>
      </c>
      <c r="L30" s="1">
        <v>4.3453405796304496</v>
      </c>
      <c r="M30" s="1">
        <v>1.78880605035708</v>
      </c>
      <c r="N30" s="1">
        <v>1.68892033491801E-2</v>
      </c>
      <c r="O30" s="1">
        <v>2.4346808728442801</v>
      </c>
      <c r="P30" s="1">
        <v>2.2482228765264498</v>
      </c>
      <c r="Q30" s="1">
        <v>3.9314834087381199</v>
      </c>
      <c r="R30" s="1">
        <v>3.0465072033754801</v>
      </c>
      <c r="S30" s="1">
        <v>10.7813767079583</v>
      </c>
      <c r="T30" s="1">
        <v>3.0675700588875499</v>
      </c>
      <c r="U30" s="1">
        <v>0.55559965554580004</v>
      </c>
      <c r="V30" s="1">
        <v>0.52918097395777997</v>
      </c>
      <c r="W30" s="1">
        <v>2.6025741481453899</v>
      </c>
      <c r="X30" s="1">
        <v>2.3822377990328101</v>
      </c>
      <c r="Y30" s="1">
        <v>4.6452407908249498</v>
      </c>
      <c r="Z30" s="1">
        <v>1.2114931937737401</v>
      </c>
      <c r="AA30" s="1">
        <v>7.1141322463595502</v>
      </c>
      <c r="AB30" s="1">
        <v>1.1704165103189501</v>
      </c>
      <c r="AC30" s="7"/>
      <c r="AD30" s="1">
        <v>5.94217408607655</v>
      </c>
      <c r="AE30" s="1">
        <v>0.98958724202627002</v>
      </c>
    </row>
    <row r="31" spans="1:31" x14ac:dyDescent="0.25">
      <c r="A31" s="3" t="s">
        <v>30</v>
      </c>
      <c r="B31" s="1">
        <v>26.131483563041499</v>
      </c>
      <c r="C31" s="1">
        <v>7.3341024575496503</v>
      </c>
      <c r="D31" s="1">
        <v>2.1350398346772002</v>
      </c>
      <c r="E31" s="1">
        <v>6.7149123302635001</v>
      </c>
      <c r="F31" s="1">
        <v>7.4836205489329197</v>
      </c>
      <c r="G31" s="1">
        <v>6.2860610697642301</v>
      </c>
      <c r="H31" s="1">
        <v>3.2400391341271</v>
      </c>
      <c r="I31" s="1">
        <v>0.29864868931630001</v>
      </c>
      <c r="J31" s="1">
        <v>7.4401672749758303</v>
      </c>
      <c r="K31" s="1">
        <v>1.6389740781307001</v>
      </c>
      <c r="L31" s="1">
        <v>1.5968335064460999</v>
      </c>
      <c r="M31" s="1">
        <v>7.7309801364336304</v>
      </c>
      <c r="N31" s="1">
        <v>5.95906328942573</v>
      </c>
      <c r="O31" s="1">
        <v>8.3768549589208305</v>
      </c>
      <c r="P31" s="1">
        <v>8.1903969626029998</v>
      </c>
      <c r="Q31" s="1">
        <v>9.8736574948146707</v>
      </c>
      <c r="R31" s="1">
        <v>8.98868128945203</v>
      </c>
      <c r="S31" s="1">
        <v>4.8392026218817001</v>
      </c>
      <c r="T31" s="1">
        <v>2.8746040271890001</v>
      </c>
      <c r="U31" s="1">
        <v>6.4977737416223498</v>
      </c>
      <c r="V31" s="1">
        <v>6.4713550600343304</v>
      </c>
      <c r="W31" s="1">
        <v>8.5447482342219399</v>
      </c>
      <c r="X31" s="1">
        <v>8.3244118851093596</v>
      </c>
      <c r="Y31" s="1">
        <v>1.2969332952515999</v>
      </c>
      <c r="Z31" s="1">
        <v>4.7306808923028099</v>
      </c>
      <c r="AA31" s="1">
        <v>1.171958160283</v>
      </c>
      <c r="AB31" s="1">
        <v>4.7717575757575998</v>
      </c>
      <c r="AC31" s="1">
        <v>5.94217408607655</v>
      </c>
      <c r="AD31" s="7"/>
      <c r="AE31" s="1">
        <v>4.9525868440502796</v>
      </c>
    </row>
    <row r="32" spans="1:31" x14ac:dyDescent="0.25">
      <c r="A32" s="3" t="s">
        <v>31</v>
      </c>
      <c r="B32" s="1">
        <v>31.084070407091801</v>
      </c>
      <c r="C32" s="1">
        <v>2.3815156134993698</v>
      </c>
      <c r="D32" s="1">
        <v>7.0876266787274798</v>
      </c>
      <c r="E32" s="1">
        <v>1.76232548621322</v>
      </c>
      <c r="F32" s="1">
        <v>2.5310337048826401</v>
      </c>
      <c r="G32" s="1">
        <v>1.33347422571395</v>
      </c>
      <c r="H32" s="1">
        <v>8.1926259781773805</v>
      </c>
      <c r="I32" s="1">
        <v>5.2512355333665797</v>
      </c>
      <c r="J32" s="1">
        <v>2.4875804309255498</v>
      </c>
      <c r="K32" s="1">
        <v>3.3136127659195802</v>
      </c>
      <c r="L32" s="1">
        <v>3.3557533376041802</v>
      </c>
      <c r="M32" s="1">
        <v>2.7783932923833499</v>
      </c>
      <c r="N32" s="1">
        <v>1.00647644537545</v>
      </c>
      <c r="O32" s="1">
        <v>3.4242681148705501</v>
      </c>
      <c r="P32" s="1">
        <v>3.2378101185527202</v>
      </c>
      <c r="Q32" s="1">
        <v>4.9210706507643902</v>
      </c>
      <c r="R32" s="1">
        <v>4.0360944454017504</v>
      </c>
      <c r="S32" s="1">
        <v>9.7917894659319806</v>
      </c>
      <c r="T32" s="1">
        <v>2.0779828168612799</v>
      </c>
      <c r="U32" s="1">
        <v>1.54518689757207</v>
      </c>
      <c r="V32" s="1">
        <v>1.5187682159840501</v>
      </c>
      <c r="W32" s="1">
        <v>3.5921613901716598</v>
      </c>
      <c r="X32" s="1">
        <v>3.37182504105908</v>
      </c>
      <c r="Y32" s="1">
        <v>3.6556535487986799</v>
      </c>
      <c r="Z32" s="1">
        <v>0.22190595174746999</v>
      </c>
      <c r="AA32" s="1">
        <v>6.1245450043332799</v>
      </c>
      <c r="AB32" s="1">
        <v>0.18082926829268001</v>
      </c>
      <c r="AC32" s="1">
        <v>0.98958724202627002</v>
      </c>
      <c r="AD32" s="1">
        <v>4.9525868440502796</v>
      </c>
      <c r="AE32" s="7"/>
    </row>
    <row r="35" spans="1:31" x14ac:dyDescent="0.25">
      <c r="B35" s="4" t="s">
        <v>34</v>
      </c>
      <c r="C35" s="1">
        <f>SUM(B3:AE32)/870</f>
        <v>6.2917133456296499</v>
      </c>
    </row>
    <row r="36" spans="1:31" x14ac:dyDescent="0.25"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  <c r="U36" s="3" t="s">
        <v>21</v>
      </c>
      <c r="V36" s="3" t="s">
        <v>22</v>
      </c>
      <c r="W36" s="3" t="s">
        <v>23</v>
      </c>
      <c r="X36" s="3" t="s">
        <v>24</v>
      </c>
      <c r="Y36" s="3" t="s">
        <v>25</v>
      </c>
      <c r="Z36" s="3" t="s">
        <v>26</v>
      </c>
      <c r="AA36" s="3" t="s">
        <v>27</v>
      </c>
      <c r="AB36" s="3" t="s">
        <v>28</v>
      </c>
      <c r="AC36" s="3" t="s">
        <v>29</v>
      </c>
      <c r="AD36" s="3" t="s">
        <v>30</v>
      </c>
      <c r="AE36" s="3" t="s">
        <v>31</v>
      </c>
    </row>
    <row r="37" spans="1:31" x14ac:dyDescent="0.25">
      <c r="A37" s="3" t="s">
        <v>2</v>
      </c>
      <c r="B37" s="7">
        <f>IF(B3&gt;$C$35,1,0)</f>
        <v>0</v>
      </c>
      <c r="C37" s="1">
        <f>IF(C3&gt;$C$35,1,0)</f>
        <v>1</v>
      </c>
      <c r="D37" s="1">
        <f>IF(D3&gt;$C$35,1,0)</f>
        <v>1</v>
      </c>
      <c r="E37" s="1">
        <f>IF(E3&gt;$C$35,1,0)</f>
        <v>1</v>
      </c>
      <c r="F37" s="1">
        <f>IF(F3&gt;$C$35,1,0)</f>
        <v>1</v>
      </c>
      <c r="G37" s="1">
        <f t="shared" ref="G37:AE37" si="0">IF(G3&gt;$C$35,1,0)</f>
        <v>1</v>
      </c>
      <c r="H37" s="1">
        <f t="shared" si="0"/>
        <v>1</v>
      </c>
      <c r="I37" s="1">
        <f t="shared" si="0"/>
        <v>1</v>
      </c>
      <c r="J37" s="1">
        <f t="shared" si="0"/>
        <v>1</v>
      </c>
      <c r="K37" s="1">
        <f t="shared" si="0"/>
        <v>1</v>
      </c>
      <c r="L37" s="1">
        <f t="shared" si="0"/>
        <v>1</v>
      </c>
      <c r="M37" s="1">
        <f t="shared" si="0"/>
        <v>1</v>
      </c>
      <c r="N37" s="1">
        <f t="shared" si="0"/>
        <v>1</v>
      </c>
      <c r="O37" s="1">
        <f t="shared" si="0"/>
        <v>1</v>
      </c>
      <c r="P37" s="1">
        <f t="shared" si="0"/>
        <v>1</v>
      </c>
      <c r="Q37" s="1">
        <f t="shared" si="0"/>
        <v>1</v>
      </c>
      <c r="R37" s="1">
        <f t="shared" si="0"/>
        <v>1</v>
      </c>
      <c r="S37" s="1">
        <f t="shared" si="0"/>
        <v>1</v>
      </c>
      <c r="T37" s="1">
        <f t="shared" si="0"/>
        <v>1</v>
      </c>
      <c r="U37" s="1">
        <f t="shared" si="0"/>
        <v>1</v>
      </c>
      <c r="V37" s="1">
        <f t="shared" si="0"/>
        <v>1</v>
      </c>
      <c r="W37" s="1">
        <f t="shared" si="0"/>
        <v>1</v>
      </c>
      <c r="X37" s="1">
        <f t="shared" si="0"/>
        <v>1</v>
      </c>
      <c r="Y37" s="1">
        <f t="shared" si="0"/>
        <v>1</v>
      </c>
      <c r="Z37" s="1">
        <f t="shared" si="0"/>
        <v>1</v>
      </c>
      <c r="AA37" s="1">
        <f t="shared" si="0"/>
        <v>1</v>
      </c>
      <c r="AB37" s="1">
        <f t="shared" si="0"/>
        <v>1</v>
      </c>
      <c r="AC37" s="1">
        <f t="shared" si="0"/>
        <v>1</v>
      </c>
      <c r="AD37" s="1">
        <f t="shared" si="0"/>
        <v>1</v>
      </c>
      <c r="AE37" s="1">
        <f t="shared" si="0"/>
        <v>1</v>
      </c>
    </row>
    <row r="38" spans="1:31" x14ac:dyDescent="0.25">
      <c r="A38" s="3" t="s">
        <v>3</v>
      </c>
      <c r="B38" s="1">
        <f t="shared" ref="B38:AE38" si="1">IF(B4&gt;$C$35,1,0)</f>
        <v>1</v>
      </c>
      <c r="C38" s="7">
        <f t="shared" si="1"/>
        <v>0</v>
      </c>
      <c r="D38" s="1">
        <f t="shared" si="1"/>
        <v>1</v>
      </c>
      <c r="E38" s="1">
        <f t="shared" si="1"/>
        <v>0</v>
      </c>
      <c r="F38" s="1">
        <f t="shared" si="1"/>
        <v>0</v>
      </c>
      <c r="G38" s="1">
        <f t="shared" si="1"/>
        <v>0</v>
      </c>
      <c r="H38" s="1">
        <f t="shared" si="1"/>
        <v>1</v>
      </c>
      <c r="I38" s="1">
        <f t="shared" si="1"/>
        <v>1</v>
      </c>
      <c r="J38" s="1">
        <f t="shared" si="1"/>
        <v>0</v>
      </c>
      <c r="K38" s="1">
        <f t="shared" si="1"/>
        <v>0</v>
      </c>
      <c r="L38" s="1">
        <f t="shared" si="1"/>
        <v>0</v>
      </c>
      <c r="M38" s="1">
        <f t="shared" si="1"/>
        <v>0</v>
      </c>
      <c r="N38" s="1">
        <f t="shared" si="1"/>
        <v>0</v>
      </c>
      <c r="O38" s="1">
        <f t="shared" si="1"/>
        <v>0</v>
      </c>
      <c r="P38" s="1">
        <f t="shared" si="1"/>
        <v>0</v>
      </c>
      <c r="Q38" s="1">
        <f t="shared" si="1"/>
        <v>0</v>
      </c>
      <c r="R38" s="1">
        <f t="shared" si="1"/>
        <v>0</v>
      </c>
      <c r="S38" s="1">
        <f t="shared" si="1"/>
        <v>1</v>
      </c>
      <c r="T38" s="1">
        <f t="shared" si="1"/>
        <v>0</v>
      </c>
      <c r="U38" s="1">
        <f t="shared" si="1"/>
        <v>0</v>
      </c>
      <c r="V38" s="1">
        <f t="shared" si="1"/>
        <v>0</v>
      </c>
      <c r="W38" s="1">
        <f t="shared" si="1"/>
        <v>0</v>
      </c>
      <c r="X38" s="1">
        <f t="shared" si="1"/>
        <v>0</v>
      </c>
      <c r="Y38" s="1">
        <f t="shared" si="1"/>
        <v>0</v>
      </c>
      <c r="Z38" s="1">
        <f t="shared" si="1"/>
        <v>0</v>
      </c>
      <c r="AA38" s="1">
        <f t="shared" si="1"/>
        <v>1</v>
      </c>
      <c r="AB38" s="1">
        <f t="shared" si="1"/>
        <v>0</v>
      </c>
      <c r="AC38" s="1">
        <f t="shared" si="1"/>
        <v>0</v>
      </c>
      <c r="AD38" s="1">
        <f t="shared" si="1"/>
        <v>1</v>
      </c>
      <c r="AE38" s="1">
        <f t="shared" si="1"/>
        <v>0</v>
      </c>
    </row>
    <row r="39" spans="1:31" x14ac:dyDescent="0.25">
      <c r="A39" s="3" t="s">
        <v>4</v>
      </c>
      <c r="B39" s="1">
        <f t="shared" ref="B39:AE39" si="2">IF(B5&gt;$C$35,1,0)</f>
        <v>1</v>
      </c>
      <c r="C39" s="1">
        <f t="shared" si="2"/>
        <v>1</v>
      </c>
      <c r="D39" s="7">
        <f t="shared" si="2"/>
        <v>0</v>
      </c>
      <c r="E39" s="1">
        <f t="shared" si="2"/>
        <v>1</v>
      </c>
      <c r="F39" s="1">
        <f t="shared" si="2"/>
        <v>1</v>
      </c>
      <c r="G39" s="1">
        <f t="shared" si="2"/>
        <v>1</v>
      </c>
      <c r="H39" s="1">
        <f t="shared" si="2"/>
        <v>0</v>
      </c>
      <c r="I39" s="1">
        <f t="shared" si="2"/>
        <v>0</v>
      </c>
      <c r="J39" s="1">
        <f t="shared" si="2"/>
        <v>1</v>
      </c>
      <c r="K39" s="1">
        <f t="shared" si="2"/>
        <v>0</v>
      </c>
      <c r="L39" s="1">
        <f t="shared" si="2"/>
        <v>0</v>
      </c>
      <c r="M39" s="1">
        <f t="shared" si="2"/>
        <v>1</v>
      </c>
      <c r="N39" s="1">
        <f t="shared" si="2"/>
        <v>1</v>
      </c>
      <c r="O39" s="1">
        <f t="shared" si="2"/>
        <v>1</v>
      </c>
      <c r="P39" s="1">
        <f t="shared" si="2"/>
        <v>1</v>
      </c>
      <c r="Q39" s="1">
        <f t="shared" si="2"/>
        <v>1</v>
      </c>
      <c r="R39" s="1">
        <f t="shared" si="2"/>
        <v>1</v>
      </c>
      <c r="S39" s="1">
        <f t="shared" si="2"/>
        <v>0</v>
      </c>
      <c r="T39" s="1">
        <f t="shared" si="2"/>
        <v>0</v>
      </c>
      <c r="U39" s="1">
        <f t="shared" si="2"/>
        <v>1</v>
      </c>
      <c r="V39" s="1">
        <f t="shared" si="2"/>
        <v>1</v>
      </c>
      <c r="W39" s="1">
        <f t="shared" si="2"/>
        <v>1</v>
      </c>
      <c r="X39" s="1">
        <f t="shared" si="2"/>
        <v>1</v>
      </c>
      <c r="Y39" s="1">
        <f t="shared" si="2"/>
        <v>0</v>
      </c>
      <c r="Z39" s="1">
        <f t="shared" si="2"/>
        <v>1</v>
      </c>
      <c r="AA39" s="1">
        <f t="shared" si="2"/>
        <v>0</v>
      </c>
      <c r="AB39" s="1">
        <f t="shared" si="2"/>
        <v>1</v>
      </c>
      <c r="AC39" s="1">
        <f t="shared" si="2"/>
        <v>1</v>
      </c>
      <c r="AD39" s="1">
        <f t="shared" si="2"/>
        <v>0</v>
      </c>
      <c r="AE39" s="1">
        <f t="shared" si="2"/>
        <v>1</v>
      </c>
    </row>
    <row r="40" spans="1:31" x14ac:dyDescent="0.25">
      <c r="A40" s="3" t="s">
        <v>5</v>
      </c>
      <c r="B40" s="1">
        <f t="shared" ref="B40:B52" si="3">IF(B6&gt;$C$35,1,0)</f>
        <v>1</v>
      </c>
      <c r="C40" s="1">
        <f t="shared" ref="C40:C52" si="4">IF(C6&gt;$C$35,1,0)</f>
        <v>0</v>
      </c>
      <c r="D40" s="1">
        <f t="shared" ref="D40:D52" si="5">IF(D6&gt;$C$35,1,0)</f>
        <v>1</v>
      </c>
      <c r="E40" s="7">
        <f t="shared" ref="E40:E52" si="6">IF(E6&gt;$C$35,1,0)</f>
        <v>0</v>
      </c>
      <c r="F40" s="1">
        <f t="shared" ref="F40:F52" si="7">IF(F6&gt;$C$35,1,0)</f>
        <v>0</v>
      </c>
      <c r="G40" s="1">
        <f t="shared" ref="G40:G52" si="8">IF(G6&gt;$C$35,1,0)</f>
        <v>0</v>
      </c>
      <c r="H40" s="1">
        <f t="shared" ref="H40:H52" si="9">IF(H6&gt;$C$35,1,0)</f>
        <v>1</v>
      </c>
      <c r="I40" s="1">
        <f t="shared" ref="I40:I52" si="10">IF(I6&gt;$C$35,1,0)</f>
        <v>1</v>
      </c>
      <c r="J40" s="1">
        <f t="shared" ref="J40:J52" si="11">IF(J6&gt;$C$35,1,0)</f>
        <v>0</v>
      </c>
      <c r="K40" s="1">
        <f t="shared" ref="K40:K52" si="12">IF(K6&gt;$C$35,1,0)</f>
        <v>0</v>
      </c>
      <c r="L40" s="1">
        <f t="shared" ref="L40:L52" si="13">IF(L6&gt;$C$35,1,0)</f>
        <v>0</v>
      </c>
      <c r="M40" s="1">
        <f t="shared" ref="M40:M52" si="14">IF(M6&gt;$C$35,1,0)</f>
        <v>0</v>
      </c>
      <c r="N40" s="1">
        <f t="shared" ref="N40:N52" si="15">IF(N6&gt;$C$35,1,0)</f>
        <v>0</v>
      </c>
      <c r="O40" s="1">
        <f t="shared" ref="O40:O52" si="16">IF(O6&gt;$C$35,1,0)</f>
        <v>0</v>
      </c>
      <c r="P40" s="1">
        <f t="shared" ref="P40:P52" si="17">IF(P6&gt;$C$35,1,0)</f>
        <v>0</v>
      </c>
      <c r="Q40" s="1">
        <f t="shared" ref="Q40:Q52" si="18">IF(Q6&gt;$C$35,1,0)</f>
        <v>0</v>
      </c>
      <c r="R40" s="1">
        <f t="shared" ref="R40:R52" si="19">IF(R6&gt;$C$35,1,0)</f>
        <v>0</v>
      </c>
      <c r="S40" s="1">
        <f t="shared" ref="S40:S52" si="20">IF(S6&gt;$C$35,1,0)</f>
        <v>1</v>
      </c>
      <c r="T40" s="1">
        <f t="shared" ref="T40:T52" si="21">IF(T6&gt;$C$35,1,0)</f>
        <v>0</v>
      </c>
      <c r="U40" s="1">
        <f t="shared" ref="U40:U52" si="22">IF(U6&gt;$C$35,1,0)</f>
        <v>0</v>
      </c>
      <c r="V40" s="1">
        <f t="shared" ref="V40:V52" si="23">IF(V6&gt;$C$35,1,0)</f>
        <v>0</v>
      </c>
      <c r="W40" s="1">
        <f t="shared" ref="W40:W52" si="24">IF(W6&gt;$C$35,1,0)</f>
        <v>0</v>
      </c>
      <c r="X40" s="1">
        <f t="shared" ref="X40:X52" si="25">IF(X6&gt;$C$35,1,0)</f>
        <v>0</v>
      </c>
      <c r="Y40" s="1">
        <f t="shared" ref="Y40:Y52" si="26">IF(Y6&gt;$C$35,1,0)</f>
        <v>0</v>
      </c>
      <c r="Z40" s="1">
        <f t="shared" ref="Z40:Z52" si="27">IF(Z6&gt;$C$35,1,0)</f>
        <v>0</v>
      </c>
      <c r="AA40" s="1">
        <f t="shared" ref="AA40:AA52" si="28">IF(AA6&gt;$C$35,1,0)</f>
        <v>1</v>
      </c>
      <c r="AB40" s="1">
        <f t="shared" ref="AB40:AB52" si="29">IF(AB6&gt;$C$35,1,0)</f>
        <v>0</v>
      </c>
      <c r="AC40" s="1">
        <f t="shared" ref="AC40:AC52" si="30">IF(AC6&gt;$C$35,1,0)</f>
        <v>0</v>
      </c>
      <c r="AD40" s="1">
        <f t="shared" ref="AD40:AD52" si="31">IF(AD6&gt;$C$35,1,0)</f>
        <v>1</v>
      </c>
      <c r="AE40" s="1">
        <f t="shared" ref="AE40:AE52" si="32">IF(AE6&gt;$C$35,1,0)</f>
        <v>0</v>
      </c>
    </row>
    <row r="41" spans="1:31" x14ac:dyDescent="0.25">
      <c r="A41" s="3" t="s">
        <v>6</v>
      </c>
      <c r="B41" s="1">
        <f t="shared" si="3"/>
        <v>1</v>
      </c>
      <c r="C41" s="1">
        <f t="shared" si="4"/>
        <v>0</v>
      </c>
      <c r="D41" s="1">
        <f t="shared" si="5"/>
        <v>1</v>
      </c>
      <c r="E41" s="1">
        <f t="shared" si="6"/>
        <v>0</v>
      </c>
      <c r="F41" s="7">
        <f t="shared" si="7"/>
        <v>0</v>
      </c>
      <c r="G41" s="1">
        <f t="shared" si="8"/>
        <v>0</v>
      </c>
      <c r="H41" s="1">
        <f t="shared" si="9"/>
        <v>1</v>
      </c>
      <c r="I41" s="1">
        <f t="shared" si="10"/>
        <v>1</v>
      </c>
      <c r="J41" s="1">
        <f t="shared" si="11"/>
        <v>0</v>
      </c>
      <c r="K41" s="1">
        <f t="shared" si="12"/>
        <v>0</v>
      </c>
      <c r="L41" s="1">
        <f t="shared" si="13"/>
        <v>0</v>
      </c>
      <c r="M41" s="1">
        <f t="shared" si="14"/>
        <v>0</v>
      </c>
      <c r="N41" s="1">
        <f t="shared" si="15"/>
        <v>0</v>
      </c>
      <c r="O41" s="1">
        <f t="shared" si="16"/>
        <v>0</v>
      </c>
      <c r="P41" s="1">
        <f t="shared" si="17"/>
        <v>0</v>
      </c>
      <c r="Q41" s="1">
        <f t="shared" si="18"/>
        <v>0</v>
      </c>
      <c r="R41" s="1">
        <f t="shared" si="19"/>
        <v>0</v>
      </c>
      <c r="S41" s="1">
        <f t="shared" si="20"/>
        <v>1</v>
      </c>
      <c r="T41" s="1">
        <f t="shared" si="21"/>
        <v>0</v>
      </c>
      <c r="U41" s="1">
        <f t="shared" si="22"/>
        <v>0</v>
      </c>
      <c r="V41" s="1">
        <f t="shared" si="23"/>
        <v>0</v>
      </c>
      <c r="W41" s="1">
        <f t="shared" si="24"/>
        <v>0</v>
      </c>
      <c r="X41" s="1">
        <f t="shared" si="25"/>
        <v>0</v>
      </c>
      <c r="Y41" s="1">
        <f t="shared" si="26"/>
        <v>0</v>
      </c>
      <c r="Z41" s="1">
        <f t="shared" si="27"/>
        <v>0</v>
      </c>
      <c r="AA41" s="1">
        <f t="shared" si="28"/>
        <v>1</v>
      </c>
      <c r="AB41" s="1">
        <f t="shared" si="29"/>
        <v>0</v>
      </c>
      <c r="AC41" s="1">
        <f t="shared" si="30"/>
        <v>0</v>
      </c>
      <c r="AD41" s="1">
        <f t="shared" si="31"/>
        <v>1</v>
      </c>
      <c r="AE41" s="1">
        <f t="shared" si="32"/>
        <v>0</v>
      </c>
    </row>
    <row r="42" spans="1:31" x14ac:dyDescent="0.25">
      <c r="A42" s="3" t="s">
        <v>7</v>
      </c>
      <c r="B42" s="1">
        <f t="shared" si="3"/>
        <v>1</v>
      </c>
      <c r="C42" s="1">
        <f t="shared" si="4"/>
        <v>0</v>
      </c>
      <c r="D42" s="1">
        <f t="shared" si="5"/>
        <v>1</v>
      </c>
      <c r="E42" s="1">
        <f t="shared" si="6"/>
        <v>0</v>
      </c>
      <c r="F42" s="1">
        <f t="shared" si="7"/>
        <v>0</v>
      </c>
      <c r="G42" s="7">
        <f t="shared" si="8"/>
        <v>0</v>
      </c>
      <c r="H42" s="1">
        <f t="shared" si="9"/>
        <v>1</v>
      </c>
      <c r="I42" s="1">
        <f t="shared" si="10"/>
        <v>1</v>
      </c>
      <c r="J42" s="1">
        <f t="shared" si="11"/>
        <v>0</v>
      </c>
      <c r="K42" s="1">
        <f t="shared" si="12"/>
        <v>0</v>
      </c>
      <c r="L42" s="1">
        <f t="shared" si="13"/>
        <v>0</v>
      </c>
      <c r="M42" s="1">
        <f t="shared" si="14"/>
        <v>0</v>
      </c>
      <c r="N42" s="1">
        <f t="shared" si="15"/>
        <v>0</v>
      </c>
      <c r="O42" s="1">
        <f t="shared" si="16"/>
        <v>0</v>
      </c>
      <c r="P42" s="1">
        <f t="shared" si="17"/>
        <v>0</v>
      </c>
      <c r="Q42" s="1">
        <f t="shared" si="18"/>
        <v>0</v>
      </c>
      <c r="R42" s="1">
        <f t="shared" si="19"/>
        <v>0</v>
      </c>
      <c r="S42" s="1">
        <f t="shared" si="20"/>
        <v>1</v>
      </c>
      <c r="T42" s="1">
        <f t="shared" si="21"/>
        <v>0</v>
      </c>
      <c r="U42" s="1">
        <f t="shared" si="22"/>
        <v>0</v>
      </c>
      <c r="V42" s="1">
        <f t="shared" si="23"/>
        <v>0</v>
      </c>
      <c r="W42" s="1">
        <f t="shared" si="24"/>
        <v>0</v>
      </c>
      <c r="X42" s="1">
        <f t="shared" si="25"/>
        <v>0</v>
      </c>
      <c r="Y42" s="1">
        <f t="shared" si="26"/>
        <v>0</v>
      </c>
      <c r="Z42" s="1">
        <f t="shared" si="27"/>
        <v>0</v>
      </c>
      <c r="AA42" s="1">
        <f t="shared" si="28"/>
        <v>1</v>
      </c>
      <c r="AB42" s="1">
        <f t="shared" si="29"/>
        <v>0</v>
      </c>
      <c r="AC42" s="1">
        <f t="shared" si="30"/>
        <v>0</v>
      </c>
      <c r="AD42" s="1">
        <f t="shared" si="31"/>
        <v>0</v>
      </c>
      <c r="AE42" s="1">
        <f t="shared" si="32"/>
        <v>0</v>
      </c>
    </row>
    <row r="43" spans="1:31" x14ac:dyDescent="0.25">
      <c r="A43" s="3" t="s">
        <v>8</v>
      </c>
      <c r="B43" s="1">
        <f t="shared" si="3"/>
        <v>1</v>
      </c>
      <c r="C43" s="1">
        <f t="shared" si="4"/>
        <v>1</v>
      </c>
      <c r="D43" s="1">
        <f t="shared" si="5"/>
        <v>0</v>
      </c>
      <c r="E43" s="1">
        <f t="shared" si="6"/>
        <v>1</v>
      </c>
      <c r="F43" s="1">
        <f t="shared" si="7"/>
        <v>1</v>
      </c>
      <c r="G43" s="1">
        <f t="shared" si="8"/>
        <v>1</v>
      </c>
      <c r="H43" s="7">
        <f t="shared" si="9"/>
        <v>0</v>
      </c>
      <c r="I43" s="1">
        <f t="shared" si="10"/>
        <v>0</v>
      </c>
      <c r="J43" s="1">
        <f t="shared" si="11"/>
        <v>1</v>
      </c>
      <c r="K43" s="1">
        <f t="shared" si="12"/>
        <v>0</v>
      </c>
      <c r="L43" s="1">
        <f t="shared" si="13"/>
        <v>0</v>
      </c>
      <c r="M43" s="1">
        <f t="shared" si="14"/>
        <v>1</v>
      </c>
      <c r="N43" s="1">
        <f t="shared" si="15"/>
        <v>1</v>
      </c>
      <c r="O43" s="1">
        <f t="shared" si="16"/>
        <v>1</v>
      </c>
      <c r="P43" s="1">
        <f t="shared" si="17"/>
        <v>1</v>
      </c>
      <c r="Q43" s="1">
        <f t="shared" si="18"/>
        <v>1</v>
      </c>
      <c r="R43" s="1">
        <f t="shared" si="19"/>
        <v>1</v>
      </c>
      <c r="S43" s="1">
        <f t="shared" si="20"/>
        <v>0</v>
      </c>
      <c r="T43" s="1">
        <f t="shared" si="21"/>
        <v>0</v>
      </c>
      <c r="U43" s="1">
        <f t="shared" si="22"/>
        <v>1</v>
      </c>
      <c r="V43" s="1">
        <f t="shared" si="23"/>
        <v>1</v>
      </c>
      <c r="W43" s="1">
        <f t="shared" si="24"/>
        <v>1</v>
      </c>
      <c r="X43" s="1">
        <f t="shared" si="25"/>
        <v>1</v>
      </c>
      <c r="Y43" s="1">
        <f t="shared" si="26"/>
        <v>0</v>
      </c>
      <c r="Z43" s="1">
        <f t="shared" si="27"/>
        <v>1</v>
      </c>
      <c r="AA43" s="1">
        <f t="shared" si="28"/>
        <v>0</v>
      </c>
      <c r="AB43" s="1">
        <f t="shared" si="29"/>
        <v>1</v>
      </c>
      <c r="AC43" s="1">
        <f t="shared" si="30"/>
        <v>1</v>
      </c>
      <c r="AD43" s="1">
        <f t="shared" si="31"/>
        <v>0</v>
      </c>
      <c r="AE43" s="1">
        <f t="shared" si="32"/>
        <v>1</v>
      </c>
    </row>
    <row r="44" spans="1:31" x14ac:dyDescent="0.25">
      <c r="A44" s="3" t="s">
        <v>9</v>
      </c>
      <c r="B44" s="1">
        <f t="shared" si="3"/>
        <v>1</v>
      </c>
      <c r="C44" s="1">
        <f t="shared" si="4"/>
        <v>1</v>
      </c>
      <c r="D44" s="1">
        <f t="shared" si="5"/>
        <v>0</v>
      </c>
      <c r="E44" s="1">
        <f t="shared" si="6"/>
        <v>1</v>
      </c>
      <c r="F44" s="1">
        <f t="shared" si="7"/>
        <v>1</v>
      </c>
      <c r="G44" s="1">
        <f t="shared" si="8"/>
        <v>1</v>
      </c>
      <c r="H44" s="1">
        <f t="shared" si="9"/>
        <v>0</v>
      </c>
      <c r="I44" s="7">
        <f t="shared" si="10"/>
        <v>0</v>
      </c>
      <c r="J44" s="1">
        <f t="shared" si="11"/>
        <v>1</v>
      </c>
      <c r="K44" s="1">
        <f t="shared" si="12"/>
        <v>0</v>
      </c>
      <c r="L44" s="1">
        <f t="shared" si="13"/>
        <v>0</v>
      </c>
      <c r="M44" s="1">
        <f t="shared" si="14"/>
        <v>1</v>
      </c>
      <c r="N44" s="1">
        <f t="shared" si="15"/>
        <v>0</v>
      </c>
      <c r="O44" s="1">
        <f t="shared" si="16"/>
        <v>1</v>
      </c>
      <c r="P44" s="1">
        <f t="shared" si="17"/>
        <v>1</v>
      </c>
      <c r="Q44" s="1">
        <f t="shared" si="18"/>
        <v>1</v>
      </c>
      <c r="R44" s="1">
        <f t="shared" si="19"/>
        <v>1</v>
      </c>
      <c r="S44" s="1">
        <f t="shared" si="20"/>
        <v>0</v>
      </c>
      <c r="T44" s="1">
        <f t="shared" si="21"/>
        <v>0</v>
      </c>
      <c r="U44" s="1">
        <f t="shared" si="22"/>
        <v>1</v>
      </c>
      <c r="V44" s="1">
        <f t="shared" si="23"/>
        <v>1</v>
      </c>
      <c r="W44" s="1">
        <f t="shared" si="24"/>
        <v>1</v>
      </c>
      <c r="X44" s="1">
        <f t="shared" si="25"/>
        <v>1</v>
      </c>
      <c r="Y44" s="1">
        <f t="shared" si="26"/>
        <v>0</v>
      </c>
      <c r="Z44" s="1">
        <f t="shared" si="27"/>
        <v>0</v>
      </c>
      <c r="AA44" s="1">
        <f t="shared" si="28"/>
        <v>0</v>
      </c>
      <c r="AB44" s="1">
        <f t="shared" si="29"/>
        <v>0</v>
      </c>
      <c r="AC44" s="1">
        <f t="shared" si="30"/>
        <v>0</v>
      </c>
      <c r="AD44" s="1">
        <f t="shared" si="31"/>
        <v>0</v>
      </c>
      <c r="AE44" s="1">
        <f t="shared" si="32"/>
        <v>0</v>
      </c>
    </row>
    <row r="45" spans="1:31" x14ac:dyDescent="0.25">
      <c r="A45" s="3" t="s">
        <v>10</v>
      </c>
      <c r="B45" s="1">
        <f t="shared" si="3"/>
        <v>1</v>
      </c>
      <c r="C45" s="1">
        <f t="shared" si="4"/>
        <v>0</v>
      </c>
      <c r="D45" s="1">
        <f t="shared" si="5"/>
        <v>1</v>
      </c>
      <c r="E45" s="1">
        <f t="shared" si="6"/>
        <v>0</v>
      </c>
      <c r="F45" s="1">
        <f t="shared" si="7"/>
        <v>0</v>
      </c>
      <c r="G45" s="1">
        <f t="shared" si="8"/>
        <v>0</v>
      </c>
      <c r="H45" s="1">
        <f t="shared" si="9"/>
        <v>1</v>
      </c>
      <c r="I45" s="1">
        <f t="shared" si="10"/>
        <v>1</v>
      </c>
      <c r="J45" s="7">
        <f t="shared" si="11"/>
        <v>0</v>
      </c>
      <c r="K45" s="1">
        <f t="shared" si="12"/>
        <v>0</v>
      </c>
      <c r="L45" s="1">
        <f t="shared" si="13"/>
        <v>0</v>
      </c>
      <c r="M45" s="1">
        <f t="shared" si="14"/>
        <v>0</v>
      </c>
      <c r="N45" s="1">
        <f t="shared" si="15"/>
        <v>0</v>
      </c>
      <c r="O45" s="1">
        <f t="shared" si="16"/>
        <v>0</v>
      </c>
      <c r="P45" s="1">
        <f t="shared" si="17"/>
        <v>0</v>
      </c>
      <c r="Q45" s="1">
        <f t="shared" si="18"/>
        <v>0</v>
      </c>
      <c r="R45" s="1">
        <f t="shared" si="19"/>
        <v>0</v>
      </c>
      <c r="S45" s="1">
        <f t="shared" si="20"/>
        <v>1</v>
      </c>
      <c r="T45" s="1">
        <f t="shared" si="21"/>
        <v>0</v>
      </c>
      <c r="U45" s="1">
        <f t="shared" si="22"/>
        <v>0</v>
      </c>
      <c r="V45" s="1">
        <f t="shared" si="23"/>
        <v>0</v>
      </c>
      <c r="W45" s="1">
        <f t="shared" si="24"/>
        <v>0</v>
      </c>
      <c r="X45" s="1">
        <f t="shared" si="25"/>
        <v>0</v>
      </c>
      <c r="Y45" s="1">
        <f t="shared" si="26"/>
        <v>0</v>
      </c>
      <c r="Z45" s="1">
        <f t="shared" si="27"/>
        <v>0</v>
      </c>
      <c r="AA45" s="1">
        <f t="shared" si="28"/>
        <v>1</v>
      </c>
      <c r="AB45" s="1">
        <f t="shared" si="29"/>
        <v>0</v>
      </c>
      <c r="AC45" s="1">
        <f t="shared" si="30"/>
        <v>0</v>
      </c>
      <c r="AD45" s="1">
        <f t="shared" si="31"/>
        <v>1</v>
      </c>
      <c r="AE45" s="1">
        <f t="shared" si="32"/>
        <v>0</v>
      </c>
    </row>
    <row r="46" spans="1:31" x14ac:dyDescent="0.25">
      <c r="A46" s="3" t="s">
        <v>11</v>
      </c>
      <c r="B46" s="1">
        <f t="shared" si="3"/>
        <v>1</v>
      </c>
      <c r="C46" s="1">
        <f t="shared" si="4"/>
        <v>0</v>
      </c>
      <c r="D46" s="1">
        <f t="shared" si="5"/>
        <v>0</v>
      </c>
      <c r="E46" s="1">
        <f t="shared" si="6"/>
        <v>0</v>
      </c>
      <c r="F46" s="1">
        <f t="shared" si="7"/>
        <v>0</v>
      </c>
      <c r="G46" s="1">
        <f t="shared" si="8"/>
        <v>0</v>
      </c>
      <c r="H46" s="1">
        <f t="shared" si="9"/>
        <v>0</v>
      </c>
      <c r="I46" s="1">
        <f t="shared" si="10"/>
        <v>0</v>
      </c>
      <c r="J46" s="1">
        <f t="shared" si="11"/>
        <v>0</v>
      </c>
      <c r="K46" s="7">
        <f t="shared" si="12"/>
        <v>0</v>
      </c>
      <c r="L46" s="1">
        <f t="shared" si="13"/>
        <v>0</v>
      </c>
      <c r="M46" s="1">
        <f t="shared" si="14"/>
        <v>0</v>
      </c>
      <c r="N46" s="1">
        <f t="shared" si="15"/>
        <v>0</v>
      </c>
      <c r="O46" s="1">
        <f t="shared" si="16"/>
        <v>1</v>
      </c>
      <c r="P46" s="1">
        <f t="shared" si="17"/>
        <v>1</v>
      </c>
      <c r="Q46" s="1">
        <f t="shared" si="18"/>
        <v>1</v>
      </c>
      <c r="R46" s="1">
        <f t="shared" si="19"/>
        <v>1</v>
      </c>
      <c r="S46" s="1">
        <f t="shared" si="20"/>
        <v>1</v>
      </c>
      <c r="T46" s="1">
        <f t="shared" si="21"/>
        <v>0</v>
      </c>
      <c r="U46" s="1">
        <f t="shared" si="22"/>
        <v>0</v>
      </c>
      <c r="V46" s="1">
        <f t="shared" si="23"/>
        <v>0</v>
      </c>
      <c r="W46" s="1">
        <f t="shared" si="24"/>
        <v>1</v>
      </c>
      <c r="X46" s="1">
        <f t="shared" si="25"/>
        <v>1</v>
      </c>
      <c r="Y46" s="1">
        <f t="shared" si="26"/>
        <v>0</v>
      </c>
      <c r="Z46" s="1">
        <f t="shared" si="27"/>
        <v>0</v>
      </c>
      <c r="AA46" s="1">
        <f t="shared" si="28"/>
        <v>0</v>
      </c>
      <c r="AB46" s="1">
        <f t="shared" si="29"/>
        <v>0</v>
      </c>
      <c r="AC46" s="1">
        <f t="shared" si="30"/>
        <v>0</v>
      </c>
      <c r="AD46" s="1">
        <f t="shared" si="31"/>
        <v>0</v>
      </c>
      <c r="AE46" s="1">
        <f t="shared" si="32"/>
        <v>0</v>
      </c>
    </row>
    <row r="47" spans="1:31" x14ac:dyDescent="0.25">
      <c r="A47" s="3" t="s">
        <v>12</v>
      </c>
      <c r="B47" s="1">
        <f t="shared" si="3"/>
        <v>1</v>
      </c>
      <c r="C47" s="1">
        <f t="shared" si="4"/>
        <v>0</v>
      </c>
      <c r="D47" s="1">
        <f t="shared" si="5"/>
        <v>0</v>
      </c>
      <c r="E47" s="1">
        <f t="shared" si="6"/>
        <v>0</v>
      </c>
      <c r="F47" s="1">
        <f t="shared" si="7"/>
        <v>0</v>
      </c>
      <c r="G47" s="1">
        <f t="shared" si="8"/>
        <v>0</v>
      </c>
      <c r="H47" s="1">
        <f t="shared" si="9"/>
        <v>0</v>
      </c>
      <c r="I47" s="1">
        <f t="shared" si="10"/>
        <v>0</v>
      </c>
      <c r="J47" s="1">
        <f t="shared" si="11"/>
        <v>0</v>
      </c>
      <c r="K47" s="1">
        <f t="shared" si="12"/>
        <v>0</v>
      </c>
      <c r="L47" s="7">
        <f t="shared" si="13"/>
        <v>0</v>
      </c>
      <c r="M47" s="1">
        <f t="shared" si="14"/>
        <v>0</v>
      </c>
      <c r="N47" s="1">
        <f t="shared" si="15"/>
        <v>0</v>
      </c>
      <c r="O47" s="1">
        <f t="shared" si="16"/>
        <v>1</v>
      </c>
      <c r="P47" s="1">
        <f t="shared" si="17"/>
        <v>1</v>
      </c>
      <c r="Q47" s="1">
        <f t="shared" si="18"/>
        <v>1</v>
      </c>
      <c r="R47" s="1">
        <f t="shared" si="19"/>
        <v>1</v>
      </c>
      <c r="S47" s="1">
        <f t="shared" si="20"/>
        <v>1</v>
      </c>
      <c r="T47" s="1">
        <f t="shared" si="21"/>
        <v>0</v>
      </c>
      <c r="U47" s="1">
        <f t="shared" si="22"/>
        <v>0</v>
      </c>
      <c r="V47" s="1">
        <f t="shared" si="23"/>
        <v>0</v>
      </c>
      <c r="W47" s="1">
        <f t="shared" si="24"/>
        <v>1</v>
      </c>
      <c r="X47" s="1">
        <f t="shared" si="25"/>
        <v>1</v>
      </c>
      <c r="Y47" s="1">
        <f t="shared" si="26"/>
        <v>0</v>
      </c>
      <c r="Z47" s="1">
        <f t="shared" si="27"/>
        <v>0</v>
      </c>
      <c r="AA47" s="1">
        <f t="shared" si="28"/>
        <v>0</v>
      </c>
      <c r="AB47" s="1">
        <f t="shared" si="29"/>
        <v>0</v>
      </c>
      <c r="AC47" s="1">
        <f t="shared" si="30"/>
        <v>0</v>
      </c>
      <c r="AD47" s="1">
        <f t="shared" si="31"/>
        <v>0</v>
      </c>
      <c r="AE47" s="1">
        <f t="shared" si="32"/>
        <v>0</v>
      </c>
    </row>
    <row r="48" spans="1:31" x14ac:dyDescent="0.25">
      <c r="A48" s="3" t="s">
        <v>13</v>
      </c>
      <c r="B48" s="1">
        <f t="shared" si="3"/>
        <v>1</v>
      </c>
      <c r="C48" s="1">
        <f t="shared" si="4"/>
        <v>0</v>
      </c>
      <c r="D48" s="1">
        <f t="shared" si="5"/>
        <v>1</v>
      </c>
      <c r="E48" s="1">
        <f t="shared" si="6"/>
        <v>0</v>
      </c>
      <c r="F48" s="1">
        <f t="shared" si="7"/>
        <v>0</v>
      </c>
      <c r="G48" s="1">
        <f t="shared" si="8"/>
        <v>0</v>
      </c>
      <c r="H48" s="1">
        <f t="shared" si="9"/>
        <v>1</v>
      </c>
      <c r="I48" s="1">
        <f t="shared" si="10"/>
        <v>1</v>
      </c>
      <c r="J48" s="1">
        <f t="shared" si="11"/>
        <v>0</v>
      </c>
      <c r="K48" s="1">
        <f t="shared" si="12"/>
        <v>0</v>
      </c>
      <c r="L48" s="1">
        <f t="shared" si="13"/>
        <v>0</v>
      </c>
      <c r="M48" s="7">
        <f t="shared" si="14"/>
        <v>0</v>
      </c>
      <c r="N48" s="1">
        <f t="shared" si="15"/>
        <v>0</v>
      </c>
      <c r="O48" s="1">
        <f t="shared" si="16"/>
        <v>0</v>
      </c>
      <c r="P48" s="1">
        <f t="shared" si="17"/>
        <v>0</v>
      </c>
      <c r="Q48" s="1">
        <f t="shared" si="18"/>
        <v>0</v>
      </c>
      <c r="R48" s="1">
        <f t="shared" si="19"/>
        <v>0</v>
      </c>
      <c r="S48" s="1">
        <f t="shared" si="20"/>
        <v>1</v>
      </c>
      <c r="T48" s="1">
        <f t="shared" si="21"/>
        <v>0</v>
      </c>
      <c r="U48" s="1">
        <f t="shared" si="22"/>
        <v>0</v>
      </c>
      <c r="V48" s="1">
        <f t="shared" si="23"/>
        <v>0</v>
      </c>
      <c r="W48" s="1">
        <f t="shared" si="24"/>
        <v>0</v>
      </c>
      <c r="X48" s="1">
        <f t="shared" si="25"/>
        <v>0</v>
      </c>
      <c r="Y48" s="1">
        <f t="shared" si="26"/>
        <v>1</v>
      </c>
      <c r="Z48" s="1">
        <f t="shared" si="27"/>
        <v>0</v>
      </c>
      <c r="AA48" s="1">
        <f t="shared" si="28"/>
        <v>1</v>
      </c>
      <c r="AB48" s="1">
        <f t="shared" si="29"/>
        <v>0</v>
      </c>
      <c r="AC48" s="1">
        <f t="shared" si="30"/>
        <v>0</v>
      </c>
      <c r="AD48" s="1">
        <f t="shared" si="31"/>
        <v>1</v>
      </c>
      <c r="AE48" s="1">
        <f t="shared" si="32"/>
        <v>0</v>
      </c>
    </row>
    <row r="49" spans="1:31" x14ac:dyDescent="0.25">
      <c r="A49" s="3" t="s">
        <v>14</v>
      </c>
      <c r="B49" s="1">
        <f t="shared" si="3"/>
        <v>1</v>
      </c>
      <c r="C49" s="1">
        <f t="shared" si="4"/>
        <v>0</v>
      </c>
      <c r="D49" s="1">
        <f t="shared" si="5"/>
        <v>1</v>
      </c>
      <c r="E49" s="1">
        <f t="shared" si="6"/>
        <v>0</v>
      </c>
      <c r="F49" s="1">
        <f t="shared" si="7"/>
        <v>0</v>
      </c>
      <c r="G49" s="1">
        <f t="shared" si="8"/>
        <v>0</v>
      </c>
      <c r="H49" s="1">
        <f t="shared" si="9"/>
        <v>1</v>
      </c>
      <c r="I49" s="1">
        <f t="shared" si="10"/>
        <v>0</v>
      </c>
      <c r="J49" s="1">
        <f t="shared" si="11"/>
        <v>0</v>
      </c>
      <c r="K49" s="1">
        <f t="shared" si="12"/>
        <v>0</v>
      </c>
      <c r="L49" s="1">
        <f t="shared" si="13"/>
        <v>0</v>
      </c>
      <c r="M49" s="1">
        <f t="shared" si="14"/>
        <v>0</v>
      </c>
      <c r="N49" s="7">
        <f t="shared" si="15"/>
        <v>0</v>
      </c>
      <c r="O49" s="1">
        <f t="shared" si="16"/>
        <v>0</v>
      </c>
      <c r="P49" s="1">
        <f t="shared" si="17"/>
        <v>0</v>
      </c>
      <c r="Q49" s="1">
        <f t="shared" si="18"/>
        <v>0</v>
      </c>
      <c r="R49" s="1">
        <f t="shared" si="19"/>
        <v>0</v>
      </c>
      <c r="S49" s="1">
        <f t="shared" si="20"/>
        <v>1</v>
      </c>
      <c r="T49" s="1">
        <f t="shared" si="21"/>
        <v>0</v>
      </c>
      <c r="U49" s="1">
        <f t="shared" si="22"/>
        <v>0</v>
      </c>
      <c r="V49" s="1">
        <f t="shared" si="23"/>
        <v>0</v>
      </c>
      <c r="W49" s="1">
        <f t="shared" si="24"/>
        <v>0</v>
      </c>
      <c r="X49" s="1">
        <f t="shared" si="25"/>
        <v>0</v>
      </c>
      <c r="Y49" s="1">
        <f t="shared" si="26"/>
        <v>0</v>
      </c>
      <c r="Z49" s="1">
        <f t="shared" si="27"/>
        <v>0</v>
      </c>
      <c r="AA49" s="1">
        <f t="shared" si="28"/>
        <v>1</v>
      </c>
      <c r="AB49" s="1">
        <f t="shared" si="29"/>
        <v>0</v>
      </c>
      <c r="AC49" s="1">
        <f t="shared" si="30"/>
        <v>0</v>
      </c>
      <c r="AD49" s="1">
        <f t="shared" si="31"/>
        <v>0</v>
      </c>
      <c r="AE49" s="1">
        <f t="shared" si="32"/>
        <v>0</v>
      </c>
    </row>
    <row r="50" spans="1:31" x14ac:dyDescent="0.25">
      <c r="A50" s="3" t="s">
        <v>15</v>
      </c>
      <c r="B50" s="1">
        <f t="shared" si="3"/>
        <v>1</v>
      </c>
      <c r="C50" s="1">
        <f t="shared" si="4"/>
        <v>0</v>
      </c>
      <c r="D50" s="1">
        <f t="shared" si="5"/>
        <v>1</v>
      </c>
      <c r="E50" s="1">
        <f t="shared" si="6"/>
        <v>0</v>
      </c>
      <c r="F50" s="1">
        <f t="shared" si="7"/>
        <v>0</v>
      </c>
      <c r="G50" s="1">
        <f t="shared" si="8"/>
        <v>0</v>
      </c>
      <c r="H50" s="1">
        <f t="shared" si="9"/>
        <v>1</v>
      </c>
      <c r="I50" s="1">
        <f t="shared" si="10"/>
        <v>1</v>
      </c>
      <c r="J50" s="1">
        <f t="shared" si="11"/>
        <v>0</v>
      </c>
      <c r="K50" s="1">
        <f t="shared" si="12"/>
        <v>1</v>
      </c>
      <c r="L50" s="1">
        <f t="shared" si="13"/>
        <v>1</v>
      </c>
      <c r="M50" s="1">
        <f t="shared" si="14"/>
        <v>0</v>
      </c>
      <c r="N50" s="1">
        <f t="shared" si="15"/>
        <v>0</v>
      </c>
      <c r="O50" s="7">
        <f t="shared" si="16"/>
        <v>0</v>
      </c>
      <c r="P50" s="1">
        <f t="shared" si="17"/>
        <v>0</v>
      </c>
      <c r="Q50" s="1">
        <f t="shared" si="18"/>
        <v>0</v>
      </c>
      <c r="R50" s="1">
        <f t="shared" si="19"/>
        <v>0</v>
      </c>
      <c r="S50" s="1">
        <f t="shared" si="20"/>
        <v>1</v>
      </c>
      <c r="T50" s="1">
        <f t="shared" si="21"/>
        <v>0</v>
      </c>
      <c r="U50" s="1">
        <f t="shared" si="22"/>
        <v>0</v>
      </c>
      <c r="V50" s="1">
        <f t="shared" si="23"/>
        <v>0</v>
      </c>
      <c r="W50" s="1">
        <f t="shared" si="24"/>
        <v>0</v>
      </c>
      <c r="X50" s="1">
        <f t="shared" si="25"/>
        <v>0</v>
      </c>
      <c r="Y50" s="1">
        <f t="shared" si="26"/>
        <v>1</v>
      </c>
      <c r="Z50" s="1">
        <f t="shared" si="27"/>
        <v>0</v>
      </c>
      <c r="AA50" s="1">
        <f t="shared" si="28"/>
        <v>1</v>
      </c>
      <c r="AB50" s="1">
        <f t="shared" si="29"/>
        <v>0</v>
      </c>
      <c r="AC50" s="1">
        <f t="shared" si="30"/>
        <v>0</v>
      </c>
      <c r="AD50" s="1">
        <f t="shared" si="31"/>
        <v>1</v>
      </c>
      <c r="AE50" s="1">
        <f t="shared" si="32"/>
        <v>0</v>
      </c>
    </row>
    <row r="51" spans="1:31" x14ac:dyDescent="0.25">
      <c r="A51" s="3" t="s">
        <v>16</v>
      </c>
      <c r="B51" s="1">
        <f t="shared" si="3"/>
        <v>1</v>
      </c>
      <c r="C51" s="1">
        <f t="shared" si="4"/>
        <v>0</v>
      </c>
      <c r="D51" s="1">
        <f t="shared" si="5"/>
        <v>1</v>
      </c>
      <c r="E51" s="1">
        <f t="shared" si="6"/>
        <v>0</v>
      </c>
      <c r="F51" s="1">
        <f t="shared" si="7"/>
        <v>0</v>
      </c>
      <c r="G51" s="1">
        <f t="shared" si="8"/>
        <v>0</v>
      </c>
      <c r="H51" s="1">
        <f t="shared" si="9"/>
        <v>1</v>
      </c>
      <c r="I51" s="1">
        <f t="shared" si="10"/>
        <v>1</v>
      </c>
      <c r="J51" s="1">
        <f t="shared" si="11"/>
        <v>0</v>
      </c>
      <c r="K51" s="1">
        <f t="shared" si="12"/>
        <v>1</v>
      </c>
      <c r="L51" s="1">
        <f t="shared" si="13"/>
        <v>1</v>
      </c>
      <c r="M51" s="1">
        <f t="shared" si="14"/>
        <v>0</v>
      </c>
      <c r="N51" s="1">
        <f t="shared" si="15"/>
        <v>0</v>
      </c>
      <c r="O51" s="1">
        <f t="shared" si="16"/>
        <v>0</v>
      </c>
      <c r="P51" s="7">
        <f t="shared" si="17"/>
        <v>0</v>
      </c>
      <c r="Q51" s="1">
        <f t="shared" si="18"/>
        <v>0</v>
      </c>
      <c r="R51" s="1">
        <f t="shared" si="19"/>
        <v>0</v>
      </c>
      <c r="S51" s="1">
        <f t="shared" si="20"/>
        <v>1</v>
      </c>
      <c r="T51" s="1">
        <f t="shared" si="21"/>
        <v>0</v>
      </c>
      <c r="U51" s="1">
        <f t="shared" si="22"/>
        <v>0</v>
      </c>
      <c r="V51" s="1">
        <f t="shared" si="23"/>
        <v>0</v>
      </c>
      <c r="W51" s="1">
        <f t="shared" si="24"/>
        <v>0</v>
      </c>
      <c r="X51" s="1">
        <f t="shared" si="25"/>
        <v>0</v>
      </c>
      <c r="Y51" s="1">
        <f t="shared" si="26"/>
        <v>1</v>
      </c>
      <c r="Z51" s="1">
        <f t="shared" si="27"/>
        <v>0</v>
      </c>
      <c r="AA51" s="1">
        <f t="shared" si="28"/>
        <v>1</v>
      </c>
      <c r="AB51" s="1">
        <f t="shared" si="29"/>
        <v>0</v>
      </c>
      <c r="AC51" s="1">
        <f t="shared" si="30"/>
        <v>0</v>
      </c>
      <c r="AD51" s="1">
        <f t="shared" si="31"/>
        <v>1</v>
      </c>
      <c r="AE51" s="1">
        <f t="shared" si="32"/>
        <v>0</v>
      </c>
    </row>
    <row r="52" spans="1:31" x14ac:dyDescent="0.25">
      <c r="A52" s="3" t="s">
        <v>17</v>
      </c>
      <c r="B52" s="1">
        <f t="shared" si="3"/>
        <v>1</v>
      </c>
      <c r="C52" s="1">
        <f t="shared" si="4"/>
        <v>0</v>
      </c>
      <c r="D52" s="1">
        <f t="shared" si="5"/>
        <v>1</v>
      </c>
      <c r="E52" s="1">
        <f t="shared" si="6"/>
        <v>0</v>
      </c>
      <c r="F52" s="1">
        <f t="shared" si="7"/>
        <v>0</v>
      </c>
      <c r="G52" s="1">
        <f t="shared" si="8"/>
        <v>0</v>
      </c>
      <c r="H52" s="1">
        <f t="shared" si="9"/>
        <v>1</v>
      </c>
      <c r="I52" s="1">
        <f t="shared" si="10"/>
        <v>1</v>
      </c>
      <c r="J52" s="1">
        <f t="shared" si="11"/>
        <v>0</v>
      </c>
      <c r="K52" s="1">
        <f t="shared" si="12"/>
        <v>1</v>
      </c>
      <c r="L52" s="1">
        <f t="shared" si="13"/>
        <v>1</v>
      </c>
      <c r="M52" s="1">
        <f t="shared" si="14"/>
        <v>0</v>
      </c>
      <c r="N52" s="1">
        <f t="shared" si="15"/>
        <v>0</v>
      </c>
      <c r="O52" s="1">
        <f t="shared" si="16"/>
        <v>0</v>
      </c>
      <c r="P52" s="1">
        <f t="shared" si="17"/>
        <v>0</v>
      </c>
      <c r="Q52" s="7">
        <f t="shared" si="18"/>
        <v>0</v>
      </c>
      <c r="R52" s="1">
        <f t="shared" si="19"/>
        <v>0</v>
      </c>
      <c r="S52" s="1">
        <f t="shared" si="20"/>
        <v>1</v>
      </c>
      <c r="T52" s="1">
        <f t="shared" si="21"/>
        <v>1</v>
      </c>
      <c r="U52" s="1">
        <f t="shared" si="22"/>
        <v>0</v>
      </c>
      <c r="V52" s="1">
        <f t="shared" si="23"/>
        <v>0</v>
      </c>
      <c r="W52" s="1">
        <f t="shared" si="24"/>
        <v>0</v>
      </c>
      <c r="X52" s="1">
        <f t="shared" si="25"/>
        <v>0</v>
      </c>
      <c r="Y52" s="1">
        <f t="shared" si="26"/>
        <v>1</v>
      </c>
      <c r="Z52" s="1">
        <f t="shared" si="27"/>
        <v>0</v>
      </c>
      <c r="AA52" s="1">
        <f t="shared" si="28"/>
        <v>1</v>
      </c>
      <c r="AB52" s="1">
        <f t="shared" si="29"/>
        <v>0</v>
      </c>
      <c r="AC52" s="1">
        <f t="shared" si="30"/>
        <v>0</v>
      </c>
      <c r="AD52" s="1">
        <f t="shared" si="31"/>
        <v>1</v>
      </c>
      <c r="AE52" s="1">
        <f t="shared" si="32"/>
        <v>0</v>
      </c>
    </row>
    <row r="53" spans="1:31" x14ac:dyDescent="0.25">
      <c r="A53" s="3" t="s">
        <v>18</v>
      </c>
      <c r="B53" s="1">
        <f t="shared" ref="B53:B66" si="33">IF(B19&gt;$C$35,1,0)</f>
        <v>1</v>
      </c>
      <c r="C53" s="1">
        <f t="shared" ref="C53:C66" si="34">IF(C19&gt;$C$35,1,0)</f>
        <v>0</v>
      </c>
      <c r="D53" s="1">
        <f t="shared" ref="D53:D66" si="35">IF(D19&gt;$C$35,1,0)</f>
        <v>1</v>
      </c>
      <c r="E53" s="1">
        <f t="shared" ref="E53:E66" si="36">IF(E19&gt;$C$35,1,0)</f>
        <v>0</v>
      </c>
      <c r="F53" s="1">
        <f t="shared" ref="F53:F66" si="37">IF(F19&gt;$C$35,1,0)</f>
        <v>0</v>
      </c>
      <c r="G53" s="1">
        <f t="shared" ref="G53:G66" si="38">IF(G19&gt;$C$35,1,0)</f>
        <v>0</v>
      </c>
      <c r="H53" s="1">
        <f t="shared" ref="H53:H66" si="39">IF(H19&gt;$C$35,1,0)</f>
        <v>1</v>
      </c>
      <c r="I53" s="1">
        <f t="shared" ref="I53:I66" si="40">IF(I19&gt;$C$35,1,0)</f>
        <v>1</v>
      </c>
      <c r="J53" s="1">
        <f t="shared" ref="J53:J66" si="41">IF(J19&gt;$C$35,1,0)</f>
        <v>0</v>
      </c>
      <c r="K53" s="1">
        <f t="shared" ref="K53:K66" si="42">IF(K19&gt;$C$35,1,0)</f>
        <v>1</v>
      </c>
      <c r="L53" s="1">
        <f t="shared" ref="L53:L66" si="43">IF(L19&gt;$C$35,1,0)</f>
        <v>1</v>
      </c>
      <c r="M53" s="1">
        <f t="shared" ref="M53:M66" si="44">IF(M19&gt;$C$35,1,0)</f>
        <v>0</v>
      </c>
      <c r="N53" s="1">
        <f t="shared" ref="N53:N66" si="45">IF(N19&gt;$C$35,1,0)</f>
        <v>0</v>
      </c>
      <c r="O53" s="1">
        <f t="shared" ref="O53:O66" si="46">IF(O19&gt;$C$35,1,0)</f>
        <v>0</v>
      </c>
      <c r="P53" s="1">
        <f t="shared" ref="P53:P66" si="47">IF(P19&gt;$C$35,1,0)</f>
        <v>0</v>
      </c>
      <c r="Q53" s="1">
        <f t="shared" ref="Q53:Q66" si="48">IF(Q19&gt;$C$35,1,0)</f>
        <v>0</v>
      </c>
      <c r="R53" s="7">
        <f t="shared" ref="R53:R66" si="49">IF(R19&gt;$C$35,1,0)</f>
        <v>0</v>
      </c>
      <c r="S53" s="1">
        <f t="shared" ref="S53:S66" si="50">IF(S19&gt;$C$35,1,0)</f>
        <v>1</v>
      </c>
      <c r="T53" s="1">
        <f t="shared" ref="T53:T66" si="51">IF(T19&gt;$C$35,1,0)</f>
        <v>0</v>
      </c>
      <c r="U53" s="1">
        <f t="shared" ref="U53:U66" si="52">IF(U19&gt;$C$35,1,0)</f>
        <v>0</v>
      </c>
      <c r="V53" s="1">
        <f t="shared" ref="V53:V66" si="53">IF(V19&gt;$C$35,1,0)</f>
        <v>0</v>
      </c>
      <c r="W53" s="1">
        <f t="shared" ref="W53:W66" si="54">IF(W19&gt;$C$35,1,0)</f>
        <v>0</v>
      </c>
      <c r="X53" s="1">
        <f t="shared" ref="X53:X66" si="55">IF(X19&gt;$C$35,1,0)</f>
        <v>0</v>
      </c>
      <c r="Y53" s="1">
        <f t="shared" ref="Y53:Y66" si="56">IF(Y19&gt;$C$35,1,0)</f>
        <v>1</v>
      </c>
      <c r="Z53" s="1">
        <f t="shared" ref="Z53:Z66" si="57">IF(Z19&gt;$C$35,1,0)</f>
        <v>0</v>
      </c>
      <c r="AA53" s="1">
        <f t="shared" ref="AA53:AA66" si="58">IF(AA19&gt;$C$35,1,0)</f>
        <v>1</v>
      </c>
      <c r="AB53" s="1">
        <f t="shared" ref="AB53:AB66" si="59">IF(AB19&gt;$C$35,1,0)</f>
        <v>0</v>
      </c>
      <c r="AC53" s="1">
        <f t="shared" ref="AC53:AC66" si="60">IF(AC19&gt;$C$35,1,0)</f>
        <v>0</v>
      </c>
      <c r="AD53" s="1">
        <f t="shared" ref="AD53:AD66" si="61">IF(AD19&gt;$C$35,1,0)</f>
        <v>1</v>
      </c>
      <c r="AE53" s="1">
        <f t="shared" ref="AE53:AE66" si="62">IF(AE19&gt;$C$35,1,0)</f>
        <v>0</v>
      </c>
    </row>
    <row r="54" spans="1:31" x14ac:dyDescent="0.25">
      <c r="A54" s="3" t="s">
        <v>19</v>
      </c>
      <c r="B54" s="1">
        <f t="shared" si="33"/>
        <v>1</v>
      </c>
      <c r="C54" s="1">
        <f t="shared" si="34"/>
        <v>1</v>
      </c>
      <c r="D54" s="1">
        <f t="shared" si="35"/>
        <v>0</v>
      </c>
      <c r="E54" s="1">
        <f t="shared" si="36"/>
        <v>1</v>
      </c>
      <c r="F54" s="1">
        <f t="shared" si="37"/>
        <v>1</v>
      </c>
      <c r="G54" s="1">
        <f t="shared" si="38"/>
        <v>1</v>
      </c>
      <c r="H54" s="1">
        <f t="shared" si="39"/>
        <v>0</v>
      </c>
      <c r="I54" s="1">
        <f t="shared" si="40"/>
        <v>0</v>
      </c>
      <c r="J54" s="1">
        <f t="shared" si="41"/>
        <v>1</v>
      </c>
      <c r="K54" s="1">
        <f t="shared" si="42"/>
        <v>1</v>
      </c>
      <c r="L54" s="1">
        <f t="shared" si="43"/>
        <v>1</v>
      </c>
      <c r="M54" s="1">
        <f t="shared" si="44"/>
        <v>1</v>
      </c>
      <c r="N54" s="1">
        <f t="shared" si="45"/>
        <v>1</v>
      </c>
      <c r="O54" s="1">
        <f t="shared" si="46"/>
        <v>1</v>
      </c>
      <c r="P54" s="1">
        <f t="shared" si="47"/>
        <v>1</v>
      </c>
      <c r="Q54" s="1">
        <f t="shared" si="48"/>
        <v>1</v>
      </c>
      <c r="R54" s="1">
        <f t="shared" si="49"/>
        <v>1</v>
      </c>
      <c r="S54" s="7">
        <f t="shared" si="50"/>
        <v>0</v>
      </c>
      <c r="T54" s="1">
        <f t="shared" si="51"/>
        <v>1</v>
      </c>
      <c r="U54" s="1">
        <f t="shared" si="52"/>
        <v>1</v>
      </c>
      <c r="V54" s="1">
        <f t="shared" si="53"/>
        <v>1</v>
      </c>
      <c r="W54" s="1">
        <f t="shared" si="54"/>
        <v>1</v>
      </c>
      <c r="X54" s="1">
        <f t="shared" si="55"/>
        <v>1</v>
      </c>
      <c r="Y54" s="1">
        <f t="shared" si="56"/>
        <v>0</v>
      </c>
      <c r="Z54" s="1">
        <f t="shared" si="57"/>
        <v>1</v>
      </c>
      <c r="AA54" s="1">
        <f t="shared" si="58"/>
        <v>0</v>
      </c>
      <c r="AB54" s="1">
        <f t="shared" si="59"/>
        <v>1</v>
      </c>
      <c r="AC54" s="1">
        <f t="shared" si="60"/>
        <v>1</v>
      </c>
      <c r="AD54" s="1">
        <f t="shared" si="61"/>
        <v>0</v>
      </c>
      <c r="AE54" s="1">
        <f t="shared" si="62"/>
        <v>1</v>
      </c>
    </row>
    <row r="55" spans="1:31" x14ac:dyDescent="0.25">
      <c r="A55" s="3" t="s">
        <v>20</v>
      </c>
      <c r="B55" s="1">
        <f t="shared" si="33"/>
        <v>1</v>
      </c>
      <c r="C55" s="1">
        <f t="shared" si="34"/>
        <v>0</v>
      </c>
      <c r="D55" s="1">
        <f t="shared" si="35"/>
        <v>0</v>
      </c>
      <c r="E55" s="1">
        <f t="shared" si="36"/>
        <v>0</v>
      </c>
      <c r="F55" s="1">
        <f t="shared" si="37"/>
        <v>0</v>
      </c>
      <c r="G55" s="1">
        <f t="shared" si="38"/>
        <v>0</v>
      </c>
      <c r="H55" s="1">
        <f t="shared" si="39"/>
        <v>0</v>
      </c>
      <c r="I55" s="1">
        <f t="shared" si="40"/>
        <v>0</v>
      </c>
      <c r="J55" s="1">
        <f t="shared" si="41"/>
        <v>0</v>
      </c>
      <c r="K55" s="1">
        <f t="shared" si="42"/>
        <v>0</v>
      </c>
      <c r="L55" s="1">
        <f t="shared" si="43"/>
        <v>0</v>
      </c>
      <c r="M55" s="1">
        <f t="shared" si="44"/>
        <v>0</v>
      </c>
      <c r="N55" s="1">
        <f t="shared" si="45"/>
        <v>0</v>
      </c>
      <c r="O55" s="1">
        <f t="shared" si="46"/>
        <v>0</v>
      </c>
      <c r="P55" s="1">
        <f t="shared" si="47"/>
        <v>0</v>
      </c>
      <c r="Q55" s="1">
        <f t="shared" si="48"/>
        <v>1</v>
      </c>
      <c r="R55" s="1">
        <f t="shared" si="49"/>
        <v>0</v>
      </c>
      <c r="S55" s="1">
        <f t="shared" si="50"/>
        <v>1</v>
      </c>
      <c r="T55" s="7">
        <f t="shared" si="51"/>
        <v>0</v>
      </c>
      <c r="U55" s="1">
        <f t="shared" si="52"/>
        <v>0</v>
      </c>
      <c r="V55" s="1">
        <f t="shared" si="53"/>
        <v>0</v>
      </c>
      <c r="W55" s="1">
        <f t="shared" si="54"/>
        <v>0</v>
      </c>
      <c r="X55" s="1">
        <f t="shared" si="55"/>
        <v>0</v>
      </c>
      <c r="Y55" s="1">
        <f t="shared" si="56"/>
        <v>0</v>
      </c>
      <c r="Z55" s="1">
        <f t="shared" si="57"/>
        <v>0</v>
      </c>
      <c r="AA55" s="1">
        <f t="shared" si="58"/>
        <v>0</v>
      </c>
      <c r="AB55" s="1">
        <f t="shared" si="59"/>
        <v>0</v>
      </c>
      <c r="AC55" s="1">
        <f t="shared" si="60"/>
        <v>0</v>
      </c>
      <c r="AD55" s="1">
        <f t="shared" si="61"/>
        <v>0</v>
      </c>
      <c r="AE55" s="1">
        <f t="shared" si="62"/>
        <v>0</v>
      </c>
    </row>
    <row r="56" spans="1:31" x14ac:dyDescent="0.25">
      <c r="A56" s="3" t="s">
        <v>21</v>
      </c>
      <c r="B56" s="1">
        <f t="shared" si="33"/>
        <v>1</v>
      </c>
      <c r="C56" s="1">
        <f t="shared" si="34"/>
        <v>0</v>
      </c>
      <c r="D56" s="1">
        <f t="shared" si="35"/>
        <v>1</v>
      </c>
      <c r="E56" s="1">
        <f t="shared" si="36"/>
        <v>0</v>
      </c>
      <c r="F56" s="1">
        <f t="shared" si="37"/>
        <v>0</v>
      </c>
      <c r="G56" s="1">
        <f t="shared" si="38"/>
        <v>0</v>
      </c>
      <c r="H56" s="1">
        <f t="shared" si="39"/>
        <v>1</v>
      </c>
      <c r="I56" s="1">
        <f t="shared" si="40"/>
        <v>1</v>
      </c>
      <c r="J56" s="1">
        <f t="shared" si="41"/>
        <v>0</v>
      </c>
      <c r="K56" s="1">
        <f t="shared" si="42"/>
        <v>0</v>
      </c>
      <c r="L56" s="1">
        <f t="shared" si="43"/>
        <v>0</v>
      </c>
      <c r="M56" s="1">
        <f t="shared" si="44"/>
        <v>0</v>
      </c>
      <c r="N56" s="1">
        <f t="shared" si="45"/>
        <v>0</v>
      </c>
      <c r="O56" s="1">
        <f t="shared" si="46"/>
        <v>0</v>
      </c>
      <c r="P56" s="1">
        <f t="shared" si="47"/>
        <v>0</v>
      </c>
      <c r="Q56" s="1">
        <f t="shared" si="48"/>
        <v>0</v>
      </c>
      <c r="R56" s="1">
        <f t="shared" si="49"/>
        <v>0</v>
      </c>
      <c r="S56" s="1">
        <f t="shared" si="50"/>
        <v>1</v>
      </c>
      <c r="T56" s="1">
        <f t="shared" si="51"/>
        <v>0</v>
      </c>
      <c r="U56" s="7">
        <f t="shared" si="52"/>
        <v>0</v>
      </c>
      <c r="V56" s="1">
        <f t="shared" si="53"/>
        <v>0</v>
      </c>
      <c r="W56" s="1">
        <f t="shared" si="54"/>
        <v>0</v>
      </c>
      <c r="X56" s="1">
        <f t="shared" si="55"/>
        <v>0</v>
      </c>
      <c r="Y56" s="1">
        <f t="shared" si="56"/>
        <v>0</v>
      </c>
      <c r="Z56" s="1">
        <f t="shared" si="57"/>
        <v>0</v>
      </c>
      <c r="AA56" s="1">
        <f t="shared" si="58"/>
        <v>1</v>
      </c>
      <c r="AB56" s="1">
        <f t="shared" si="59"/>
        <v>0</v>
      </c>
      <c r="AC56" s="1">
        <f t="shared" si="60"/>
        <v>0</v>
      </c>
      <c r="AD56" s="1">
        <f t="shared" si="61"/>
        <v>1</v>
      </c>
      <c r="AE56" s="1">
        <f t="shared" si="62"/>
        <v>0</v>
      </c>
    </row>
    <row r="57" spans="1:31" x14ac:dyDescent="0.25">
      <c r="A57" s="3" t="s">
        <v>22</v>
      </c>
      <c r="B57" s="1">
        <f t="shared" si="33"/>
        <v>1</v>
      </c>
      <c r="C57" s="1">
        <f t="shared" si="34"/>
        <v>0</v>
      </c>
      <c r="D57" s="1">
        <f t="shared" si="35"/>
        <v>1</v>
      </c>
      <c r="E57" s="1">
        <f t="shared" si="36"/>
        <v>0</v>
      </c>
      <c r="F57" s="1">
        <f t="shared" si="37"/>
        <v>0</v>
      </c>
      <c r="G57" s="1">
        <f t="shared" si="38"/>
        <v>0</v>
      </c>
      <c r="H57" s="1">
        <f t="shared" si="39"/>
        <v>1</v>
      </c>
      <c r="I57" s="1">
        <f t="shared" si="40"/>
        <v>1</v>
      </c>
      <c r="J57" s="1">
        <f t="shared" si="41"/>
        <v>0</v>
      </c>
      <c r="K57" s="1">
        <f t="shared" si="42"/>
        <v>0</v>
      </c>
      <c r="L57" s="1">
        <f t="shared" si="43"/>
        <v>0</v>
      </c>
      <c r="M57" s="1">
        <f t="shared" si="44"/>
        <v>0</v>
      </c>
      <c r="N57" s="1">
        <f t="shared" si="45"/>
        <v>0</v>
      </c>
      <c r="O57" s="1">
        <f t="shared" si="46"/>
        <v>0</v>
      </c>
      <c r="P57" s="1">
        <f t="shared" si="47"/>
        <v>0</v>
      </c>
      <c r="Q57" s="1">
        <f t="shared" si="48"/>
        <v>0</v>
      </c>
      <c r="R57" s="1">
        <f t="shared" si="49"/>
        <v>0</v>
      </c>
      <c r="S57" s="1">
        <f t="shared" si="50"/>
        <v>1</v>
      </c>
      <c r="T57" s="1">
        <f t="shared" si="51"/>
        <v>0</v>
      </c>
      <c r="U57" s="1">
        <f t="shared" si="52"/>
        <v>0</v>
      </c>
      <c r="V57" s="7">
        <f t="shared" si="53"/>
        <v>0</v>
      </c>
      <c r="W57" s="1">
        <f t="shared" si="54"/>
        <v>0</v>
      </c>
      <c r="X57" s="1">
        <f t="shared" si="55"/>
        <v>0</v>
      </c>
      <c r="Y57" s="1">
        <f t="shared" si="56"/>
        <v>0</v>
      </c>
      <c r="Z57" s="1">
        <f t="shared" si="57"/>
        <v>0</v>
      </c>
      <c r="AA57" s="1">
        <f t="shared" si="58"/>
        <v>1</v>
      </c>
      <c r="AB57" s="1">
        <f t="shared" si="59"/>
        <v>0</v>
      </c>
      <c r="AC57" s="1">
        <f t="shared" si="60"/>
        <v>0</v>
      </c>
      <c r="AD57" s="1">
        <f t="shared" si="61"/>
        <v>1</v>
      </c>
      <c r="AE57" s="1">
        <f t="shared" si="62"/>
        <v>0</v>
      </c>
    </row>
    <row r="58" spans="1:31" x14ac:dyDescent="0.25">
      <c r="A58" s="3" t="s">
        <v>23</v>
      </c>
      <c r="B58" s="1">
        <f t="shared" si="33"/>
        <v>1</v>
      </c>
      <c r="C58" s="1">
        <f t="shared" si="34"/>
        <v>0</v>
      </c>
      <c r="D58" s="1">
        <f t="shared" si="35"/>
        <v>1</v>
      </c>
      <c r="E58" s="1">
        <f t="shared" si="36"/>
        <v>0</v>
      </c>
      <c r="F58" s="1">
        <f t="shared" si="37"/>
        <v>0</v>
      </c>
      <c r="G58" s="1">
        <f t="shared" si="38"/>
        <v>0</v>
      </c>
      <c r="H58" s="1">
        <f t="shared" si="39"/>
        <v>1</v>
      </c>
      <c r="I58" s="1">
        <f t="shared" si="40"/>
        <v>1</v>
      </c>
      <c r="J58" s="1">
        <f t="shared" si="41"/>
        <v>0</v>
      </c>
      <c r="K58" s="1">
        <f t="shared" si="42"/>
        <v>1</v>
      </c>
      <c r="L58" s="1">
        <f t="shared" si="43"/>
        <v>1</v>
      </c>
      <c r="M58" s="1">
        <f t="shared" si="44"/>
        <v>0</v>
      </c>
      <c r="N58" s="1">
        <f t="shared" si="45"/>
        <v>0</v>
      </c>
      <c r="O58" s="1">
        <f t="shared" si="46"/>
        <v>0</v>
      </c>
      <c r="P58" s="1">
        <f t="shared" si="47"/>
        <v>0</v>
      </c>
      <c r="Q58" s="1">
        <f t="shared" si="48"/>
        <v>0</v>
      </c>
      <c r="R58" s="1">
        <f t="shared" si="49"/>
        <v>0</v>
      </c>
      <c r="S58" s="1">
        <f t="shared" si="50"/>
        <v>1</v>
      </c>
      <c r="T58" s="1">
        <f t="shared" si="51"/>
        <v>0</v>
      </c>
      <c r="U58" s="1">
        <f t="shared" si="52"/>
        <v>0</v>
      </c>
      <c r="V58" s="1">
        <f t="shared" si="53"/>
        <v>0</v>
      </c>
      <c r="W58" s="7">
        <f t="shared" si="54"/>
        <v>0</v>
      </c>
      <c r="X58" s="1">
        <f t="shared" si="55"/>
        <v>0</v>
      </c>
      <c r="Y58" s="1">
        <f t="shared" si="56"/>
        <v>1</v>
      </c>
      <c r="Z58" s="1">
        <f t="shared" si="57"/>
        <v>0</v>
      </c>
      <c r="AA58" s="1">
        <f t="shared" si="58"/>
        <v>1</v>
      </c>
      <c r="AB58" s="1">
        <f t="shared" si="59"/>
        <v>0</v>
      </c>
      <c r="AC58" s="1">
        <f t="shared" si="60"/>
        <v>0</v>
      </c>
      <c r="AD58" s="1">
        <f t="shared" si="61"/>
        <v>1</v>
      </c>
      <c r="AE58" s="1">
        <f t="shared" si="62"/>
        <v>0</v>
      </c>
    </row>
    <row r="59" spans="1:31" x14ac:dyDescent="0.25">
      <c r="A59" s="3" t="s">
        <v>24</v>
      </c>
      <c r="B59" s="1">
        <f t="shared" si="33"/>
        <v>1</v>
      </c>
      <c r="C59" s="1">
        <f t="shared" si="34"/>
        <v>0</v>
      </c>
      <c r="D59" s="1">
        <f t="shared" si="35"/>
        <v>1</v>
      </c>
      <c r="E59" s="1">
        <f t="shared" si="36"/>
        <v>0</v>
      </c>
      <c r="F59" s="1">
        <f t="shared" si="37"/>
        <v>0</v>
      </c>
      <c r="G59" s="1">
        <f t="shared" si="38"/>
        <v>0</v>
      </c>
      <c r="H59" s="1">
        <f t="shared" si="39"/>
        <v>1</v>
      </c>
      <c r="I59" s="1">
        <f t="shared" si="40"/>
        <v>1</v>
      </c>
      <c r="J59" s="1">
        <f t="shared" si="41"/>
        <v>0</v>
      </c>
      <c r="K59" s="1">
        <f t="shared" si="42"/>
        <v>1</v>
      </c>
      <c r="L59" s="1">
        <f t="shared" si="43"/>
        <v>1</v>
      </c>
      <c r="M59" s="1">
        <f t="shared" si="44"/>
        <v>0</v>
      </c>
      <c r="N59" s="1">
        <f t="shared" si="45"/>
        <v>0</v>
      </c>
      <c r="O59" s="1">
        <f t="shared" si="46"/>
        <v>0</v>
      </c>
      <c r="P59" s="1">
        <f t="shared" si="47"/>
        <v>0</v>
      </c>
      <c r="Q59" s="1">
        <f t="shared" si="48"/>
        <v>0</v>
      </c>
      <c r="R59" s="1">
        <f t="shared" si="49"/>
        <v>0</v>
      </c>
      <c r="S59" s="1">
        <f t="shared" si="50"/>
        <v>1</v>
      </c>
      <c r="T59" s="1">
        <f t="shared" si="51"/>
        <v>0</v>
      </c>
      <c r="U59" s="1">
        <f t="shared" si="52"/>
        <v>0</v>
      </c>
      <c r="V59" s="1">
        <f t="shared" si="53"/>
        <v>0</v>
      </c>
      <c r="W59" s="1">
        <f t="shared" si="54"/>
        <v>0</v>
      </c>
      <c r="X59" s="7">
        <f t="shared" si="55"/>
        <v>0</v>
      </c>
      <c r="Y59" s="1">
        <f t="shared" si="56"/>
        <v>1</v>
      </c>
      <c r="Z59" s="1">
        <f t="shared" si="57"/>
        <v>0</v>
      </c>
      <c r="AA59" s="1">
        <f t="shared" si="58"/>
        <v>1</v>
      </c>
      <c r="AB59" s="1">
        <f t="shared" si="59"/>
        <v>0</v>
      </c>
      <c r="AC59" s="1">
        <f t="shared" si="60"/>
        <v>0</v>
      </c>
      <c r="AD59" s="1">
        <f t="shared" si="61"/>
        <v>1</v>
      </c>
      <c r="AE59" s="1">
        <f t="shared" si="62"/>
        <v>0</v>
      </c>
    </row>
    <row r="60" spans="1:31" x14ac:dyDescent="0.25">
      <c r="A60" s="3" t="s">
        <v>25</v>
      </c>
      <c r="B60" s="1">
        <f t="shared" si="33"/>
        <v>1</v>
      </c>
      <c r="C60" s="1">
        <f t="shared" si="34"/>
        <v>0</v>
      </c>
      <c r="D60" s="1">
        <f t="shared" si="35"/>
        <v>0</v>
      </c>
      <c r="E60" s="1">
        <f t="shared" si="36"/>
        <v>0</v>
      </c>
      <c r="F60" s="1">
        <f t="shared" si="37"/>
        <v>0</v>
      </c>
      <c r="G60" s="1">
        <f t="shared" si="38"/>
        <v>0</v>
      </c>
      <c r="H60" s="1">
        <f t="shared" si="39"/>
        <v>0</v>
      </c>
      <c r="I60" s="1">
        <f t="shared" si="40"/>
        <v>0</v>
      </c>
      <c r="J60" s="1">
        <f t="shared" si="41"/>
        <v>0</v>
      </c>
      <c r="K60" s="1">
        <f t="shared" si="42"/>
        <v>0</v>
      </c>
      <c r="L60" s="1">
        <f t="shared" si="43"/>
        <v>0</v>
      </c>
      <c r="M60" s="1">
        <f t="shared" si="44"/>
        <v>1</v>
      </c>
      <c r="N60" s="1">
        <f t="shared" si="45"/>
        <v>0</v>
      </c>
      <c r="O60" s="1">
        <f t="shared" si="46"/>
        <v>1</v>
      </c>
      <c r="P60" s="1">
        <f t="shared" si="47"/>
        <v>1</v>
      </c>
      <c r="Q60" s="1">
        <f t="shared" si="48"/>
        <v>1</v>
      </c>
      <c r="R60" s="1">
        <f t="shared" si="49"/>
        <v>1</v>
      </c>
      <c r="S60" s="1">
        <f t="shared" si="50"/>
        <v>0</v>
      </c>
      <c r="T60" s="1">
        <f t="shared" si="51"/>
        <v>0</v>
      </c>
      <c r="U60" s="1">
        <f t="shared" si="52"/>
        <v>0</v>
      </c>
      <c r="V60" s="1">
        <f t="shared" si="53"/>
        <v>0</v>
      </c>
      <c r="W60" s="1">
        <f t="shared" si="54"/>
        <v>1</v>
      </c>
      <c r="X60" s="1">
        <f t="shared" si="55"/>
        <v>1</v>
      </c>
      <c r="Y60" s="7">
        <f t="shared" si="56"/>
        <v>0</v>
      </c>
      <c r="Z60" s="1">
        <f t="shared" si="57"/>
        <v>0</v>
      </c>
      <c r="AA60" s="1">
        <f t="shared" si="58"/>
        <v>0</v>
      </c>
      <c r="AB60" s="1">
        <f t="shared" si="59"/>
        <v>0</v>
      </c>
      <c r="AC60" s="1">
        <f t="shared" si="60"/>
        <v>0</v>
      </c>
      <c r="AD60" s="1">
        <f t="shared" si="61"/>
        <v>0</v>
      </c>
      <c r="AE60" s="1">
        <f t="shared" si="62"/>
        <v>0</v>
      </c>
    </row>
    <row r="61" spans="1:31" x14ac:dyDescent="0.25">
      <c r="A61" s="3" t="s">
        <v>26</v>
      </c>
      <c r="B61" s="1">
        <f t="shared" si="33"/>
        <v>1</v>
      </c>
      <c r="C61" s="1">
        <f t="shared" si="34"/>
        <v>0</v>
      </c>
      <c r="D61" s="1">
        <f t="shared" si="35"/>
        <v>1</v>
      </c>
      <c r="E61" s="1">
        <f t="shared" si="36"/>
        <v>0</v>
      </c>
      <c r="F61" s="1">
        <f t="shared" si="37"/>
        <v>0</v>
      </c>
      <c r="G61" s="1">
        <f t="shared" si="38"/>
        <v>0</v>
      </c>
      <c r="H61" s="1">
        <f t="shared" si="39"/>
        <v>1</v>
      </c>
      <c r="I61" s="1">
        <f t="shared" si="40"/>
        <v>0</v>
      </c>
      <c r="J61" s="1">
        <f t="shared" si="41"/>
        <v>0</v>
      </c>
      <c r="K61" s="1">
        <f t="shared" si="42"/>
        <v>0</v>
      </c>
      <c r="L61" s="1">
        <f t="shared" si="43"/>
        <v>0</v>
      </c>
      <c r="M61" s="1">
        <f t="shared" si="44"/>
        <v>0</v>
      </c>
      <c r="N61" s="1">
        <f t="shared" si="45"/>
        <v>0</v>
      </c>
      <c r="O61" s="1">
        <f t="shared" si="46"/>
        <v>0</v>
      </c>
      <c r="P61" s="1">
        <f t="shared" si="47"/>
        <v>0</v>
      </c>
      <c r="Q61" s="1">
        <f t="shared" si="48"/>
        <v>0</v>
      </c>
      <c r="R61" s="1">
        <f t="shared" si="49"/>
        <v>0</v>
      </c>
      <c r="S61" s="1">
        <f t="shared" si="50"/>
        <v>1</v>
      </c>
      <c r="T61" s="1">
        <f t="shared" si="51"/>
        <v>0</v>
      </c>
      <c r="U61" s="1">
        <f t="shared" si="52"/>
        <v>0</v>
      </c>
      <c r="V61" s="1">
        <f t="shared" si="53"/>
        <v>0</v>
      </c>
      <c r="W61" s="1">
        <f t="shared" si="54"/>
        <v>0</v>
      </c>
      <c r="X61" s="1">
        <f t="shared" si="55"/>
        <v>0</v>
      </c>
      <c r="Y61" s="1">
        <f t="shared" si="56"/>
        <v>0</v>
      </c>
      <c r="Z61" s="7">
        <f t="shared" si="57"/>
        <v>0</v>
      </c>
      <c r="AA61" s="1">
        <f t="shared" si="58"/>
        <v>0</v>
      </c>
      <c r="AB61" s="1">
        <f t="shared" si="59"/>
        <v>0</v>
      </c>
      <c r="AC61" s="1">
        <f t="shared" si="60"/>
        <v>0</v>
      </c>
      <c r="AD61" s="1">
        <f t="shared" si="61"/>
        <v>0</v>
      </c>
      <c r="AE61" s="1">
        <f t="shared" si="62"/>
        <v>0</v>
      </c>
    </row>
    <row r="62" spans="1:31" x14ac:dyDescent="0.25">
      <c r="A62" s="3" t="s">
        <v>27</v>
      </c>
      <c r="B62" s="1">
        <f t="shared" si="33"/>
        <v>1</v>
      </c>
      <c r="C62" s="1">
        <f t="shared" si="34"/>
        <v>1</v>
      </c>
      <c r="D62" s="1">
        <f t="shared" si="35"/>
        <v>0</v>
      </c>
      <c r="E62" s="1">
        <f t="shared" si="36"/>
        <v>1</v>
      </c>
      <c r="F62" s="1">
        <f t="shared" si="37"/>
        <v>1</v>
      </c>
      <c r="G62" s="1">
        <f t="shared" si="38"/>
        <v>1</v>
      </c>
      <c r="H62" s="1">
        <f t="shared" si="39"/>
        <v>0</v>
      </c>
      <c r="I62" s="1">
        <f t="shared" si="40"/>
        <v>0</v>
      </c>
      <c r="J62" s="1">
        <f t="shared" si="41"/>
        <v>1</v>
      </c>
      <c r="K62" s="1">
        <f t="shared" si="42"/>
        <v>0</v>
      </c>
      <c r="L62" s="1">
        <f t="shared" si="43"/>
        <v>0</v>
      </c>
      <c r="M62" s="1">
        <f t="shared" si="44"/>
        <v>1</v>
      </c>
      <c r="N62" s="1">
        <f t="shared" si="45"/>
        <v>1</v>
      </c>
      <c r="O62" s="1">
        <f t="shared" si="46"/>
        <v>1</v>
      </c>
      <c r="P62" s="1">
        <f t="shared" si="47"/>
        <v>1</v>
      </c>
      <c r="Q62" s="1">
        <f t="shared" si="48"/>
        <v>1</v>
      </c>
      <c r="R62" s="1">
        <f t="shared" si="49"/>
        <v>1</v>
      </c>
      <c r="S62" s="1">
        <f t="shared" si="50"/>
        <v>0</v>
      </c>
      <c r="T62" s="1">
        <f t="shared" si="51"/>
        <v>0</v>
      </c>
      <c r="U62" s="1">
        <f t="shared" si="52"/>
        <v>1</v>
      </c>
      <c r="V62" s="1">
        <f t="shared" si="53"/>
        <v>1</v>
      </c>
      <c r="W62" s="1">
        <f t="shared" si="54"/>
        <v>1</v>
      </c>
      <c r="X62" s="1">
        <f t="shared" si="55"/>
        <v>1</v>
      </c>
      <c r="Y62" s="1">
        <f t="shared" si="56"/>
        <v>0</v>
      </c>
      <c r="Z62" s="1">
        <f t="shared" si="57"/>
        <v>0</v>
      </c>
      <c r="AA62" s="7">
        <f t="shared" si="58"/>
        <v>0</v>
      </c>
      <c r="AB62" s="1">
        <f t="shared" si="59"/>
        <v>0</v>
      </c>
      <c r="AC62" s="1">
        <f t="shared" si="60"/>
        <v>1</v>
      </c>
      <c r="AD62" s="1">
        <f t="shared" si="61"/>
        <v>0</v>
      </c>
      <c r="AE62" s="1">
        <f t="shared" si="62"/>
        <v>0</v>
      </c>
    </row>
    <row r="63" spans="1:31" x14ac:dyDescent="0.25">
      <c r="A63" s="3" t="s">
        <v>28</v>
      </c>
      <c r="B63" s="1">
        <f t="shared" si="33"/>
        <v>1</v>
      </c>
      <c r="C63" s="1">
        <f t="shared" si="34"/>
        <v>0</v>
      </c>
      <c r="D63" s="1">
        <f t="shared" si="35"/>
        <v>1</v>
      </c>
      <c r="E63" s="1">
        <f t="shared" si="36"/>
        <v>0</v>
      </c>
      <c r="F63" s="1">
        <f t="shared" si="37"/>
        <v>0</v>
      </c>
      <c r="G63" s="1">
        <f t="shared" si="38"/>
        <v>0</v>
      </c>
      <c r="H63" s="1">
        <f t="shared" si="39"/>
        <v>1</v>
      </c>
      <c r="I63" s="1">
        <f t="shared" si="40"/>
        <v>0</v>
      </c>
      <c r="J63" s="1">
        <f t="shared" si="41"/>
        <v>0</v>
      </c>
      <c r="K63" s="1">
        <f t="shared" si="42"/>
        <v>0</v>
      </c>
      <c r="L63" s="1">
        <f t="shared" si="43"/>
        <v>0</v>
      </c>
      <c r="M63" s="1">
        <f t="shared" si="44"/>
        <v>0</v>
      </c>
      <c r="N63" s="1">
        <f t="shared" si="45"/>
        <v>0</v>
      </c>
      <c r="O63" s="1">
        <f t="shared" si="46"/>
        <v>0</v>
      </c>
      <c r="P63" s="1">
        <f t="shared" si="47"/>
        <v>0</v>
      </c>
      <c r="Q63" s="1">
        <f t="shared" si="48"/>
        <v>0</v>
      </c>
      <c r="R63" s="1">
        <f t="shared" si="49"/>
        <v>0</v>
      </c>
      <c r="S63" s="1">
        <f t="shared" si="50"/>
        <v>1</v>
      </c>
      <c r="T63" s="1">
        <f t="shared" si="51"/>
        <v>0</v>
      </c>
      <c r="U63" s="1">
        <f t="shared" si="52"/>
        <v>0</v>
      </c>
      <c r="V63" s="1">
        <f t="shared" si="53"/>
        <v>0</v>
      </c>
      <c r="W63" s="1">
        <f t="shared" si="54"/>
        <v>0</v>
      </c>
      <c r="X63" s="1">
        <f t="shared" si="55"/>
        <v>0</v>
      </c>
      <c r="Y63" s="1">
        <f t="shared" si="56"/>
        <v>0</v>
      </c>
      <c r="Z63" s="1">
        <f t="shared" si="57"/>
        <v>0</v>
      </c>
      <c r="AA63" s="1">
        <f t="shared" si="58"/>
        <v>0</v>
      </c>
      <c r="AB63" s="7">
        <f t="shared" si="59"/>
        <v>0</v>
      </c>
      <c r="AC63" s="1">
        <f t="shared" si="60"/>
        <v>0</v>
      </c>
      <c r="AD63" s="1">
        <f t="shared" si="61"/>
        <v>0</v>
      </c>
      <c r="AE63" s="1">
        <f t="shared" si="62"/>
        <v>0</v>
      </c>
    </row>
    <row r="64" spans="1:31" x14ac:dyDescent="0.25">
      <c r="A64" s="3" t="s">
        <v>29</v>
      </c>
      <c r="B64" s="1">
        <f t="shared" si="33"/>
        <v>1</v>
      </c>
      <c r="C64" s="1">
        <f t="shared" si="34"/>
        <v>0</v>
      </c>
      <c r="D64" s="1">
        <f t="shared" si="35"/>
        <v>1</v>
      </c>
      <c r="E64" s="1">
        <f t="shared" si="36"/>
        <v>0</v>
      </c>
      <c r="F64" s="1">
        <f t="shared" si="37"/>
        <v>0</v>
      </c>
      <c r="G64" s="1">
        <f t="shared" si="38"/>
        <v>0</v>
      </c>
      <c r="H64" s="1">
        <f t="shared" si="39"/>
        <v>1</v>
      </c>
      <c r="I64" s="1">
        <f t="shared" si="40"/>
        <v>0</v>
      </c>
      <c r="J64" s="1">
        <f t="shared" si="41"/>
        <v>0</v>
      </c>
      <c r="K64" s="1">
        <f t="shared" si="42"/>
        <v>0</v>
      </c>
      <c r="L64" s="1">
        <f t="shared" si="43"/>
        <v>0</v>
      </c>
      <c r="M64" s="1">
        <f t="shared" si="44"/>
        <v>0</v>
      </c>
      <c r="N64" s="1">
        <f t="shared" si="45"/>
        <v>0</v>
      </c>
      <c r="O64" s="1">
        <f t="shared" si="46"/>
        <v>0</v>
      </c>
      <c r="P64" s="1">
        <f t="shared" si="47"/>
        <v>0</v>
      </c>
      <c r="Q64" s="1">
        <f t="shared" si="48"/>
        <v>0</v>
      </c>
      <c r="R64" s="1">
        <f t="shared" si="49"/>
        <v>0</v>
      </c>
      <c r="S64" s="1">
        <f t="shared" si="50"/>
        <v>1</v>
      </c>
      <c r="T64" s="1">
        <f t="shared" si="51"/>
        <v>0</v>
      </c>
      <c r="U64" s="1">
        <f t="shared" si="52"/>
        <v>0</v>
      </c>
      <c r="V64" s="1">
        <f t="shared" si="53"/>
        <v>0</v>
      </c>
      <c r="W64" s="1">
        <f t="shared" si="54"/>
        <v>0</v>
      </c>
      <c r="X64" s="1">
        <f t="shared" si="55"/>
        <v>0</v>
      </c>
      <c r="Y64" s="1">
        <f t="shared" si="56"/>
        <v>0</v>
      </c>
      <c r="Z64" s="1">
        <f t="shared" si="57"/>
        <v>0</v>
      </c>
      <c r="AA64" s="1">
        <f t="shared" si="58"/>
        <v>1</v>
      </c>
      <c r="AB64" s="1">
        <f t="shared" si="59"/>
        <v>0</v>
      </c>
      <c r="AC64" s="7">
        <f t="shared" si="60"/>
        <v>0</v>
      </c>
      <c r="AD64" s="1">
        <f t="shared" si="61"/>
        <v>0</v>
      </c>
      <c r="AE64" s="1">
        <f t="shared" si="62"/>
        <v>0</v>
      </c>
    </row>
    <row r="65" spans="1:32" x14ac:dyDescent="0.25">
      <c r="A65" s="3" t="s">
        <v>30</v>
      </c>
      <c r="B65" s="1">
        <f t="shared" si="33"/>
        <v>1</v>
      </c>
      <c r="C65" s="1">
        <f t="shared" si="34"/>
        <v>1</v>
      </c>
      <c r="D65" s="1">
        <f t="shared" si="35"/>
        <v>0</v>
      </c>
      <c r="E65" s="1">
        <f t="shared" si="36"/>
        <v>1</v>
      </c>
      <c r="F65" s="1">
        <f t="shared" si="37"/>
        <v>1</v>
      </c>
      <c r="G65" s="1">
        <f t="shared" si="38"/>
        <v>0</v>
      </c>
      <c r="H65" s="1">
        <f t="shared" si="39"/>
        <v>0</v>
      </c>
      <c r="I65" s="1">
        <f t="shared" si="40"/>
        <v>0</v>
      </c>
      <c r="J65" s="1">
        <f t="shared" si="41"/>
        <v>1</v>
      </c>
      <c r="K65" s="1">
        <f t="shared" si="42"/>
        <v>0</v>
      </c>
      <c r="L65" s="1">
        <f t="shared" si="43"/>
        <v>0</v>
      </c>
      <c r="M65" s="1">
        <f t="shared" si="44"/>
        <v>1</v>
      </c>
      <c r="N65" s="1">
        <f t="shared" si="45"/>
        <v>0</v>
      </c>
      <c r="O65" s="1">
        <f t="shared" si="46"/>
        <v>1</v>
      </c>
      <c r="P65" s="1">
        <f t="shared" si="47"/>
        <v>1</v>
      </c>
      <c r="Q65" s="1">
        <f t="shared" si="48"/>
        <v>1</v>
      </c>
      <c r="R65" s="1">
        <f t="shared" si="49"/>
        <v>1</v>
      </c>
      <c r="S65" s="1">
        <f t="shared" si="50"/>
        <v>0</v>
      </c>
      <c r="T65" s="1">
        <f t="shared" si="51"/>
        <v>0</v>
      </c>
      <c r="U65" s="1">
        <f t="shared" si="52"/>
        <v>1</v>
      </c>
      <c r="V65" s="1">
        <f t="shared" si="53"/>
        <v>1</v>
      </c>
      <c r="W65" s="1">
        <f t="shared" si="54"/>
        <v>1</v>
      </c>
      <c r="X65" s="1">
        <f t="shared" si="55"/>
        <v>1</v>
      </c>
      <c r="Y65" s="1">
        <f t="shared" si="56"/>
        <v>0</v>
      </c>
      <c r="Z65" s="1">
        <f t="shared" si="57"/>
        <v>0</v>
      </c>
      <c r="AA65" s="1">
        <f t="shared" si="58"/>
        <v>0</v>
      </c>
      <c r="AB65" s="1">
        <f t="shared" si="59"/>
        <v>0</v>
      </c>
      <c r="AC65" s="1">
        <f t="shared" si="60"/>
        <v>0</v>
      </c>
      <c r="AD65" s="7">
        <f t="shared" si="61"/>
        <v>0</v>
      </c>
      <c r="AE65" s="1">
        <f t="shared" si="62"/>
        <v>0</v>
      </c>
    </row>
    <row r="66" spans="1:32" x14ac:dyDescent="0.25">
      <c r="A66" s="3" t="s">
        <v>31</v>
      </c>
      <c r="B66" s="1">
        <f t="shared" si="33"/>
        <v>1</v>
      </c>
      <c r="C66" s="1">
        <f t="shared" si="34"/>
        <v>0</v>
      </c>
      <c r="D66" s="1">
        <f t="shared" si="35"/>
        <v>1</v>
      </c>
      <c r="E66" s="1">
        <f t="shared" si="36"/>
        <v>0</v>
      </c>
      <c r="F66" s="1">
        <f t="shared" si="37"/>
        <v>0</v>
      </c>
      <c r="G66" s="1">
        <f t="shared" si="38"/>
        <v>0</v>
      </c>
      <c r="H66" s="1">
        <f t="shared" si="39"/>
        <v>1</v>
      </c>
      <c r="I66" s="1">
        <f t="shared" si="40"/>
        <v>0</v>
      </c>
      <c r="J66" s="1">
        <f t="shared" si="41"/>
        <v>0</v>
      </c>
      <c r="K66" s="1">
        <f t="shared" si="42"/>
        <v>0</v>
      </c>
      <c r="L66" s="1">
        <f t="shared" si="43"/>
        <v>0</v>
      </c>
      <c r="M66" s="1">
        <f t="shared" si="44"/>
        <v>0</v>
      </c>
      <c r="N66" s="1">
        <f t="shared" si="45"/>
        <v>0</v>
      </c>
      <c r="O66" s="1">
        <f t="shared" si="46"/>
        <v>0</v>
      </c>
      <c r="P66" s="1">
        <f t="shared" si="47"/>
        <v>0</v>
      </c>
      <c r="Q66" s="1">
        <f t="shared" si="48"/>
        <v>0</v>
      </c>
      <c r="R66" s="1">
        <f t="shared" si="49"/>
        <v>0</v>
      </c>
      <c r="S66" s="1">
        <f t="shared" si="50"/>
        <v>1</v>
      </c>
      <c r="T66" s="1">
        <f t="shared" si="51"/>
        <v>0</v>
      </c>
      <c r="U66" s="1">
        <f t="shared" si="52"/>
        <v>0</v>
      </c>
      <c r="V66" s="1">
        <f t="shared" si="53"/>
        <v>0</v>
      </c>
      <c r="W66" s="1">
        <f t="shared" si="54"/>
        <v>0</v>
      </c>
      <c r="X66" s="1">
        <f t="shared" si="55"/>
        <v>0</v>
      </c>
      <c r="Y66" s="1">
        <f t="shared" si="56"/>
        <v>0</v>
      </c>
      <c r="Z66" s="1">
        <f t="shared" si="57"/>
        <v>0</v>
      </c>
      <c r="AA66" s="1">
        <f t="shared" si="58"/>
        <v>0</v>
      </c>
      <c r="AB66" s="1">
        <f t="shared" si="59"/>
        <v>0</v>
      </c>
      <c r="AC66" s="1">
        <f t="shared" si="60"/>
        <v>0</v>
      </c>
      <c r="AD66" s="1">
        <f t="shared" si="61"/>
        <v>0</v>
      </c>
      <c r="AE66" s="7">
        <f t="shared" si="62"/>
        <v>0</v>
      </c>
    </row>
    <row r="73" spans="1:32" x14ac:dyDescent="0.25">
      <c r="C73" s="3" t="s">
        <v>2</v>
      </c>
      <c r="D73" s="3" t="s">
        <v>3</v>
      </c>
      <c r="E73" s="3" t="s">
        <v>4</v>
      </c>
      <c r="F73" s="3" t="s">
        <v>5</v>
      </c>
      <c r="G73" s="3" t="s">
        <v>6</v>
      </c>
      <c r="H73" s="3" t="s">
        <v>7</v>
      </c>
      <c r="I73" s="3" t="s">
        <v>8</v>
      </c>
      <c r="J73" s="3" t="s">
        <v>9</v>
      </c>
      <c r="K73" s="3" t="s">
        <v>10</v>
      </c>
      <c r="L73" s="3" t="s">
        <v>11</v>
      </c>
      <c r="M73" s="3" t="s">
        <v>12</v>
      </c>
      <c r="N73" s="3" t="s">
        <v>13</v>
      </c>
      <c r="O73" s="3" t="s">
        <v>14</v>
      </c>
      <c r="P73" s="3" t="s">
        <v>15</v>
      </c>
      <c r="Q73" s="3" t="s">
        <v>16</v>
      </c>
      <c r="R73" s="3" t="s">
        <v>17</v>
      </c>
      <c r="S73" s="3" t="s">
        <v>18</v>
      </c>
      <c r="T73" s="3" t="s">
        <v>19</v>
      </c>
      <c r="U73" s="3" t="s">
        <v>20</v>
      </c>
      <c r="V73" s="3" t="s">
        <v>21</v>
      </c>
      <c r="W73" s="3" t="s">
        <v>22</v>
      </c>
      <c r="X73" s="3" t="s">
        <v>23</v>
      </c>
      <c r="Y73" s="3" t="s">
        <v>24</v>
      </c>
      <c r="Z73" s="3" t="s">
        <v>25</v>
      </c>
      <c r="AA73" s="3" t="s">
        <v>26</v>
      </c>
      <c r="AB73" s="3" t="s">
        <v>27</v>
      </c>
      <c r="AC73" s="3" t="s">
        <v>28</v>
      </c>
      <c r="AD73" s="3" t="s">
        <v>29</v>
      </c>
      <c r="AE73" s="3" t="s">
        <v>30</v>
      </c>
      <c r="AF73" s="3" t="s">
        <v>31</v>
      </c>
    </row>
    <row r="74" spans="1:32" x14ac:dyDescent="0.25">
      <c r="A74" s="3" t="s">
        <v>2</v>
      </c>
      <c r="B74" s="1">
        <v>39.8072411387991</v>
      </c>
    </row>
    <row r="75" spans="1:32" x14ac:dyDescent="0.25">
      <c r="A75" s="3" t="s">
        <v>3</v>
      </c>
      <c r="B75" s="1">
        <v>6.3416551182079504</v>
      </c>
      <c r="C75" s="1">
        <f>ABS($B$74-B75)</f>
        <v>33.465586020591097</v>
      </c>
    </row>
    <row r="76" spans="1:32" x14ac:dyDescent="0.25">
      <c r="A76" s="3" t="s">
        <v>4</v>
      </c>
      <c r="B76" s="1">
        <v>15.8107974104348</v>
      </c>
      <c r="C76" s="1">
        <f t="shared" ref="C76:C103" si="63">ABS($B$74-B76)</f>
        <v>23.996443728364302</v>
      </c>
      <c r="D76" s="1">
        <f>ABS($B$75-B76)</f>
        <v>9.4691422922268504</v>
      </c>
    </row>
    <row r="77" spans="1:32" x14ac:dyDescent="0.25">
      <c r="A77" s="3" t="s">
        <v>5</v>
      </c>
      <c r="B77" s="1">
        <v>6.9608452454940997</v>
      </c>
      <c r="C77" s="1">
        <f t="shared" si="63"/>
        <v>32.846395893305001</v>
      </c>
      <c r="D77" s="1">
        <f t="shared" ref="D77:D103" si="64">ABS($B$75-B77)</f>
        <v>0.61919012728614897</v>
      </c>
      <c r="E77" s="1">
        <f>ABS($B$76-B77)</f>
        <v>8.8499521649406994</v>
      </c>
    </row>
    <row r="78" spans="1:32" x14ac:dyDescent="0.25">
      <c r="A78" s="3" t="s">
        <v>6</v>
      </c>
      <c r="B78" s="1">
        <v>6.19213702682468</v>
      </c>
      <c r="C78" s="1">
        <f t="shared" si="63"/>
        <v>33.615104111974397</v>
      </c>
      <c r="D78" s="1">
        <f t="shared" si="64"/>
        <v>0.14951809138326999</v>
      </c>
      <c r="E78" s="1">
        <f t="shared" ref="E78:E103" si="65">ABS($B$76-B78)</f>
        <v>9.6186603836101199</v>
      </c>
      <c r="F78" s="1">
        <f>ABS($B$77-B78)</f>
        <v>0.76870821866941996</v>
      </c>
    </row>
    <row r="79" spans="1:32" x14ac:dyDescent="0.25">
      <c r="A79" s="3" t="s">
        <v>7</v>
      </c>
      <c r="B79" s="1">
        <v>7.3896965059933697</v>
      </c>
      <c r="C79" s="1">
        <f t="shared" si="63"/>
        <v>32.417544632805701</v>
      </c>
      <c r="D79" s="1">
        <f t="shared" si="64"/>
        <v>1.04804138778542</v>
      </c>
      <c r="E79" s="1">
        <f t="shared" si="65"/>
        <v>8.4211009044414293</v>
      </c>
      <c r="F79" s="1">
        <f t="shared" ref="F79:F103" si="66">ABS($B$77-B79)</f>
        <v>0.42885126049927003</v>
      </c>
      <c r="G79" s="1">
        <f>ABS($B$78-B79)</f>
        <v>1.1975594791686901</v>
      </c>
    </row>
    <row r="80" spans="1:32" x14ac:dyDescent="0.25">
      <c r="A80" s="3" t="s">
        <v>8</v>
      </c>
      <c r="B80" s="1">
        <v>16.915796709884699</v>
      </c>
      <c r="C80" s="1">
        <f t="shared" si="63"/>
        <v>22.891444428914401</v>
      </c>
      <c r="D80" s="1">
        <f t="shared" si="64"/>
        <v>10.5741415916767</v>
      </c>
      <c r="E80" s="1">
        <f t="shared" si="65"/>
        <v>1.1049992994499001</v>
      </c>
      <c r="F80" s="1">
        <f t="shared" si="66"/>
        <v>9.9549514643906001</v>
      </c>
      <c r="G80" s="1">
        <f t="shared" ref="G80:G103" si="67">ABS($B$78-B80)</f>
        <v>10.723659683059999</v>
      </c>
      <c r="H80" s="1">
        <f>ABS($B$79-B80)</f>
        <v>9.5261002038913301</v>
      </c>
    </row>
    <row r="81" spans="1:24" x14ac:dyDescent="0.25">
      <c r="A81" s="3" t="s">
        <v>9</v>
      </c>
      <c r="B81" s="1">
        <v>13.974406265073901</v>
      </c>
      <c r="C81" s="1">
        <f t="shared" si="63"/>
        <v>25.832834873725201</v>
      </c>
      <c r="D81" s="1">
        <f t="shared" si="64"/>
        <v>7.6327511468659504</v>
      </c>
      <c r="E81" s="1">
        <f t="shared" si="65"/>
        <v>1.8363911453609001</v>
      </c>
      <c r="F81" s="1">
        <f t="shared" si="66"/>
        <v>7.0135610195798002</v>
      </c>
      <c r="G81" s="1">
        <f t="shared" si="67"/>
        <v>7.7822692382492198</v>
      </c>
      <c r="H81" s="1">
        <f t="shared" ref="H81:H103" si="68">ABS($B$79-B81)</f>
        <v>6.5847097590805301</v>
      </c>
      <c r="I81" s="1">
        <f>ABS($B$80-B81)</f>
        <v>2.9413904448107999</v>
      </c>
    </row>
    <row r="82" spans="1:24" x14ac:dyDescent="0.25">
      <c r="A82" s="3" t="s">
        <v>10</v>
      </c>
      <c r="B82" s="1">
        <v>6.2355903007817703</v>
      </c>
      <c r="C82" s="1">
        <f t="shared" si="63"/>
        <v>33.571650838017298</v>
      </c>
      <c r="D82" s="1">
        <f t="shared" si="64"/>
        <v>0.10606481742618</v>
      </c>
      <c r="E82" s="1">
        <f t="shared" si="65"/>
        <v>9.5752071096530305</v>
      </c>
      <c r="F82" s="1">
        <f t="shared" si="66"/>
        <v>0.72525494471232899</v>
      </c>
      <c r="G82" s="1">
        <f t="shared" si="67"/>
        <v>4.3453273957090303E-2</v>
      </c>
      <c r="H82" s="1">
        <f t="shared" si="68"/>
        <v>1.1541062052116</v>
      </c>
      <c r="I82" s="1">
        <f t="shared" ref="I82:I103" si="69">ABS($B$80-B82)</f>
        <v>10.680206409102899</v>
      </c>
      <c r="J82" s="1">
        <f>ABS($B$81-B82)</f>
        <v>7.7388159642921304</v>
      </c>
    </row>
    <row r="83" spans="1:24" x14ac:dyDescent="0.25">
      <c r="A83" s="3" t="s">
        <v>11</v>
      </c>
      <c r="B83" s="1">
        <v>12.036783497626899</v>
      </c>
      <c r="C83" s="1">
        <f t="shared" si="63"/>
        <v>27.7704576411722</v>
      </c>
      <c r="D83" s="1">
        <f t="shared" si="64"/>
        <v>5.69512837941895</v>
      </c>
      <c r="E83" s="1">
        <f t="shared" si="65"/>
        <v>3.7740139128079</v>
      </c>
      <c r="F83" s="1">
        <f t="shared" si="66"/>
        <v>5.0759382521327998</v>
      </c>
      <c r="G83" s="1">
        <f t="shared" si="67"/>
        <v>5.8446464708022203</v>
      </c>
      <c r="H83" s="1">
        <f t="shared" si="68"/>
        <v>4.6470869916335298</v>
      </c>
      <c r="I83" s="1">
        <f t="shared" si="69"/>
        <v>4.8790132122578003</v>
      </c>
      <c r="J83" s="1">
        <f t="shared" ref="J83:J103" si="70">ABS($B$81-B83)</f>
        <v>1.9376227674469999</v>
      </c>
      <c r="K83" s="1">
        <f>ABS($B$82-B83)</f>
        <v>5.80119319684513</v>
      </c>
    </row>
    <row r="84" spans="1:24" x14ac:dyDescent="0.25">
      <c r="A84" s="3" t="s">
        <v>12</v>
      </c>
      <c r="B84" s="1">
        <v>12.078924069311499</v>
      </c>
      <c r="C84" s="1">
        <f t="shared" si="63"/>
        <v>27.728317069487598</v>
      </c>
      <c r="D84" s="1">
        <f t="shared" si="64"/>
        <v>5.73726895110355</v>
      </c>
      <c r="E84" s="1">
        <f t="shared" si="65"/>
        <v>3.7318733411233</v>
      </c>
      <c r="F84" s="1">
        <f t="shared" si="66"/>
        <v>5.1180788238173998</v>
      </c>
      <c r="G84" s="1">
        <f t="shared" si="67"/>
        <v>5.8867870424868203</v>
      </c>
      <c r="H84" s="1">
        <f t="shared" si="68"/>
        <v>4.6892275633181297</v>
      </c>
      <c r="I84" s="1">
        <f t="shared" si="69"/>
        <v>4.8368726405732003</v>
      </c>
      <c r="J84" s="1">
        <f t="shared" si="70"/>
        <v>1.8954821957624</v>
      </c>
      <c r="K84" s="1">
        <f t="shared" ref="K84:K103" si="71">ABS($B$82-B84)</f>
        <v>5.84333376852973</v>
      </c>
      <c r="L84" s="1">
        <f>ABS($B$83-B84)</f>
        <v>4.2140571684599899E-2</v>
      </c>
    </row>
    <row r="85" spans="1:24" x14ac:dyDescent="0.25">
      <c r="A85" s="3" t="s">
        <v>13</v>
      </c>
      <c r="B85" s="1">
        <v>5.9447774393239703</v>
      </c>
      <c r="C85" s="1">
        <f t="shared" si="63"/>
        <v>33.8624636994751</v>
      </c>
      <c r="D85" s="1">
        <f t="shared" si="64"/>
        <v>0.39687767888398001</v>
      </c>
      <c r="E85" s="1">
        <f t="shared" si="65"/>
        <v>9.8660199711108305</v>
      </c>
      <c r="F85" s="1">
        <f t="shared" si="66"/>
        <v>1.01606780617013</v>
      </c>
      <c r="G85" s="1">
        <f t="shared" si="67"/>
        <v>0.24735958750070999</v>
      </c>
      <c r="H85" s="1">
        <f t="shared" si="68"/>
        <v>1.4449190666694001</v>
      </c>
      <c r="I85" s="1">
        <f t="shared" si="69"/>
        <v>10.971019270560699</v>
      </c>
      <c r="J85" s="1">
        <f t="shared" si="70"/>
        <v>8.0296288257499295</v>
      </c>
      <c r="K85" s="1">
        <f t="shared" si="71"/>
        <v>0.2908128614578</v>
      </c>
      <c r="L85" s="1">
        <f t="shared" ref="L85:L103" si="72">ABS($B$83-B85)</f>
        <v>6.0920060583029301</v>
      </c>
      <c r="M85" s="1">
        <f>ABS($B$84-B85)</f>
        <v>6.13414662998753</v>
      </c>
    </row>
    <row r="86" spans="1:24" x14ac:dyDescent="0.25">
      <c r="A86" s="3" t="s">
        <v>14</v>
      </c>
      <c r="B86" s="1">
        <v>7.7166942863318697</v>
      </c>
      <c r="C86" s="1">
        <f t="shared" si="63"/>
        <v>32.090546852467199</v>
      </c>
      <c r="D86" s="1">
        <f t="shared" si="64"/>
        <v>1.37503916812392</v>
      </c>
      <c r="E86" s="1">
        <f t="shared" si="65"/>
        <v>8.0941031241029293</v>
      </c>
      <c r="F86" s="1">
        <f t="shared" si="66"/>
        <v>0.75584904083777005</v>
      </c>
      <c r="G86" s="1">
        <f t="shared" si="67"/>
        <v>1.5245572595071899</v>
      </c>
      <c r="H86" s="1">
        <f t="shared" si="68"/>
        <v>0.32699778033850002</v>
      </c>
      <c r="I86" s="1">
        <f t="shared" si="69"/>
        <v>9.19910242355283</v>
      </c>
      <c r="J86" s="1">
        <f t="shared" si="70"/>
        <v>6.2577119787420301</v>
      </c>
      <c r="K86" s="1">
        <f t="shared" si="71"/>
        <v>1.4811039855501</v>
      </c>
      <c r="L86" s="1">
        <f t="shared" si="72"/>
        <v>4.3200892112950298</v>
      </c>
      <c r="M86" s="1">
        <f t="shared" ref="M86:M103" si="73">ABS($B$84-B86)</f>
        <v>4.3622297829796297</v>
      </c>
      <c r="N86" s="1">
        <f>ABS($B$85-B86)</f>
        <v>1.7719168470079001</v>
      </c>
    </row>
    <row r="87" spans="1:24" x14ac:dyDescent="0.25">
      <c r="A87" s="3" t="s">
        <v>15</v>
      </c>
      <c r="B87" s="1">
        <v>5.2989026168367701</v>
      </c>
      <c r="C87" s="1">
        <f t="shared" si="63"/>
        <v>34.508338521962301</v>
      </c>
      <c r="D87" s="1">
        <f t="shared" si="64"/>
        <v>1.04275250137118</v>
      </c>
      <c r="E87" s="1">
        <f t="shared" si="65"/>
        <v>10.511894793598</v>
      </c>
      <c r="F87" s="1">
        <f t="shared" si="66"/>
        <v>1.66194262865733</v>
      </c>
      <c r="G87" s="1">
        <f t="shared" si="67"/>
        <v>0.89323440998791004</v>
      </c>
      <c r="H87" s="1">
        <f t="shared" si="68"/>
        <v>2.0907938891566</v>
      </c>
      <c r="I87" s="1">
        <f t="shared" si="69"/>
        <v>11.6168940930479</v>
      </c>
      <c r="J87" s="1">
        <f t="shared" si="70"/>
        <v>8.6755036482371306</v>
      </c>
      <c r="K87" s="1">
        <f t="shared" si="71"/>
        <v>0.93668768394500002</v>
      </c>
      <c r="L87" s="1">
        <f t="shared" si="72"/>
        <v>6.7378808807901303</v>
      </c>
      <c r="M87" s="1">
        <f t="shared" si="73"/>
        <v>6.7800214524747302</v>
      </c>
      <c r="N87" s="1">
        <f t="shared" ref="N87:N103" si="74">ABS($B$85-B87)</f>
        <v>0.64587482248719996</v>
      </c>
      <c r="O87" s="1">
        <f>ABS($B$86-B87)</f>
        <v>2.4177916694951</v>
      </c>
    </row>
    <row r="88" spans="1:24" x14ac:dyDescent="0.25">
      <c r="A88" s="3" t="s">
        <v>16</v>
      </c>
      <c r="B88" s="1">
        <v>5.4853606131546</v>
      </c>
      <c r="C88" s="1">
        <f t="shared" si="63"/>
        <v>34.321880525644502</v>
      </c>
      <c r="D88" s="1">
        <f t="shared" si="64"/>
        <v>0.85629450505335003</v>
      </c>
      <c r="E88" s="1">
        <f t="shared" si="65"/>
        <v>10.325436797280201</v>
      </c>
      <c r="F88" s="1">
        <f t="shared" si="66"/>
        <v>1.4754846323394999</v>
      </c>
      <c r="G88" s="1">
        <f t="shared" si="67"/>
        <v>0.70677641367008004</v>
      </c>
      <c r="H88" s="1">
        <f t="shared" si="68"/>
        <v>1.9043358928387699</v>
      </c>
      <c r="I88" s="1">
        <f t="shared" si="69"/>
        <v>11.4304360967301</v>
      </c>
      <c r="J88" s="1">
        <f t="shared" si="70"/>
        <v>8.4890456519192998</v>
      </c>
      <c r="K88" s="1">
        <f t="shared" si="71"/>
        <v>0.75022968762717002</v>
      </c>
      <c r="L88" s="1">
        <f t="shared" si="72"/>
        <v>6.5514228844723004</v>
      </c>
      <c r="M88" s="1">
        <f t="shared" si="73"/>
        <v>6.5935634561569003</v>
      </c>
      <c r="N88" s="1">
        <f t="shared" si="74"/>
        <v>0.45941682616937002</v>
      </c>
      <c r="O88" s="1">
        <f t="shared" ref="O88:O103" si="75">ABS($B$86-B88)</f>
        <v>2.2313336731772702</v>
      </c>
      <c r="P88" s="1">
        <f>ABS($B$87-B88)</f>
        <v>0.18645799631783</v>
      </c>
    </row>
    <row r="89" spans="1:24" x14ac:dyDescent="0.25">
      <c r="A89" s="3" t="s">
        <v>17</v>
      </c>
      <c r="B89" s="1">
        <v>3.8021000809429299</v>
      </c>
      <c r="C89" s="1">
        <f t="shared" si="63"/>
        <v>36.0051410578562</v>
      </c>
      <c r="D89" s="1">
        <f t="shared" si="64"/>
        <v>2.53955503726502</v>
      </c>
      <c r="E89" s="1">
        <f t="shared" si="65"/>
        <v>12.0086973294919</v>
      </c>
      <c r="F89" s="1">
        <f t="shared" si="66"/>
        <v>3.1587451645511702</v>
      </c>
      <c r="G89" s="1">
        <f t="shared" si="67"/>
        <v>2.3900369458817501</v>
      </c>
      <c r="H89" s="1">
        <f t="shared" si="68"/>
        <v>3.5875964250504402</v>
      </c>
      <c r="I89" s="1">
        <f t="shared" si="69"/>
        <v>13.113696628941801</v>
      </c>
      <c r="J89" s="1">
        <f t="shared" si="70"/>
        <v>10.172306184130999</v>
      </c>
      <c r="K89" s="1">
        <f t="shared" si="71"/>
        <v>2.43349021983884</v>
      </c>
      <c r="L89" s="1">
        <f t="shared" si="72"/>
        <v>8.2346834166839695</v>
      </c>
      <c r="M89" s="1">
        <f t="shared" si="73"/>
        <v>8.2768239883685695</v>
      </c>
      <c r="N89" s="1">
        <f t="shared" si="74"/>
        <v>2.1426773583810399</v>
      </c>
      <c r="O89" s="1">
        <f t="shared" si="75"/>
        <v>3.9145942053889402</v>
      </c>
      <c r="P89" s="1">
        <f t="shared" ref="P89:P103" si="76">ABS($B$87-B89)</f>
        <v>1.4968025358938399</v>
      </c>
      <c r="Q89" s="1">
        <f>ABS($B$88-B89)</f>
        <v>1.68326053221167</v>
      </c>
    </row>
    <row r="90" spans="1:24" x14ac:dyDescent="0.25">
      <c r="A90" s="3" t="s">
        <v>18</v>
      </c>
      <c r="B90" s="1">
        <v>4.6870762863055697</v>
      </c>
      <c r="C90" s="1">
        <f t="shared" si="63"/>
        <v>35.120164852493502</v>
      </c>
      <c r="D90" s="1">
        <f t="shared" si="64"/>
        <v>1.65457883190238</v>
      </c>
      <c r="E90" s="1">
        <f t="shared" si="65"/>
        <v>11.123721124129201</v>
      </c>
      <c r="F90" s="1">
        <f t="shared" si="66"/>
        <v>2.2737689591885299</v>
      </c>
      <c r="G90" s="1">
        <f t="shared" si="67"/>
        <v>1.5050607405191101</v>
      </c>
      <c r="H90" s="1">
        <f t="shared" si="68"/>
        <v>2.7026202196878</v>
      </c>
      <c r="I90" s="1">
        <f t="shared" si="69"/>
        <v>12.2287204235791</v>
      </c>
      <c r="J90" s="1">
        <f t="shared" si="70"/>
        <v>9.2873299787683301</v>
      </c>
      <c r="K90" s="1">
        <f t="shared" si="71"/>
        <v>1.5485140144762</v>
      </c>
      <c r="L90" s="1">
        <f t="shared" si="72"/>
        <v>7.3497072113213298</v>
      </c>
      <c r="M90" s="1">
        <f t="shared" si="73"/>
        <v>7.3918477830059297</v>
      </c>
      <c r="N90" s="1">
        <f t="shared" si="74"/>
        <v>1.2577011530183999</v>
      </c>
      <c r="O90" s="1">
        <f t="shared" si="75"/>
        <v>3.0296180000263</v>
      </c>
      <c r="P90" s="1">
        <f t="shared" si="76"/>
        <v>0.61182633053119995</v>
      </c>
      <c r="Q90" s="1">
        <f t="shared" ref="Q90:Q103" si="77">ABS($B$88-B90)</f>
        <v>0.79828432684902995</v>
      </c>
      <c r="R90" s="1">
        <f>ABS($B$89-B90)</f>
        <v>0.88497620536263999</v>
      </c>
    </row>
    <row r="91" spans="1:24" x14ac:dyDescent="0.25">
      <c r="A91" s="3" t="s">
        <v>19</v>
      </c>
      <c r="B91" s="1">
        <v>18.514960197639301</v>
      </c>
      <c r="C91" s="1">
        <f t="shared" si="63"/>
        <v>21.292280941159799</v>
      </c>
      <c r="D91" s="1">
        <f t="shared" si="64"/>
        <v>12.173305079431399</v>
      </c>
      <c r="E91" s="1">
        <f t="shared" si="65"/>
        <v>2.7041627872045</v>
      </c>
      <c r="F91" s="1">
        <f t="shared" si="66"/>
        <v>11.5541149521452</v>
      </c>
      <c r="G91" s="1">
        <f t="shared" si="67"/>
        <v>12.322823170814599</v>
      </c>
      <c r="H91" s="1">
        <f t="shared" si="68"/>
        <v>11.1252636916459</v>
      </c>
      <c r="I91" s="1">
        <f t="shared" si="69"/>
        <v>1.5991634877545999</v>
      </c>
      <c r="J91" s="1">
        <f t="shared" si="70"/>
        <v>4.5405539325654001</v>
      </c>
      <c r="K91" s="1">
        <f t="shared" si="71"/>
        <v>12.279369896857499</v>
      </c>
      <c r="L91" s="1">
        <f t="shared" si="72"/>
        <v>6.4781767000124004</v>
      </c>
      <c r="M91" s="1">
        <f t="shared" si="73"/>
        <v>6.4360361283277996</v>
      </c>
      <c r="N91" s="1">
        <f t="shared" si="74"/>
        <v>12.570182758315299</v>
      </c>
      <c r="O91" s="1">
        <f t="shared" si="75"/>
        <v>10.7982659113074</v>
      </c>
      <c r="P91" s="1">
        <f t="shared" si="76"/>
        <v>13.2160575808025</v>
      </c>
      <c r="Q91" s="1">
        <f t="shared" si="77"/>
        <v>13.0295995844847</v>
      </c>
      <c r="R91" s="1">
        <f t="shared" ref="R91:R103" si="78">ABS($B$89-B91)</f>
        <v>14.712860116696399</v>
      </c>
      <c r="S91" s="1">
        <f>ABS($B$90-B91)</f>
        <v>13.8278839113337</v>
      </c>
    </row>
    <row r="92" spans="1:24" x14ac:dyDescent="0.25">
      <c r="A92" s="3" t="s">
        <v>20</v>
      </c>
      <c r="B92" s="1">
        <v>10.8011535485686</v>
      </c>
      <c r="C92" s="1">
        <f t="shared" si="63"/>
        <v>29.0060875902305</v>
      </c>
      <c r="D92" s="1">
        <f t="shared" si="64"/>
        <v>4.4594984303606502</v>
      </c>
      <c r="E92" s="1">
        <f t="shared" si="65"/>
        <v>5.0096438618662003</v>
      </c>
      <c r="F92" s="1">
        <f t="shared" si="66"/>
        <v>3.8403083030745</v>
      </c>
      <c r="G92" s="1">
        <f t="shared" si="67"/>
        <v>4.6090165217439196</v>
      </c>
      <c r="H92" s="1">
        <f t="shared" si="68"/>
        <v>3.41145704257523</v>
      </c>
      <c r="I92" s="1">
        <f t="shared" si="69"/>
        <v>6.1146431613161001</v>
      </c>
      <c r="J92" s="1">
        <f t="shared" si="70"/>
        <v>3.1732527165053002</v>
      </c>
      <c r="K92" s="1">
        <f t="shared" si="71"/>
        <v>4.5655632477868302</v>
      </c>
      <c r="L92" s="1">
        <f t="shared" si="72"/>
        <v>1.2356299490583</v>
      </c>
      <c r="M92" s="1">
        <f t="shared" si="73"/>
        <v>1.2777705207429</v>
      </c>
      <c r="N92" s="1">
        <f t="shared" si="74"/>
        <v>4.8563761092446303</v>
      </c>
      <c r="O92" s="1">
        <f t="shared" si="75"/>
        <v>3.0844592622367299</v>
      </c>
      <c r="P92" s="1">
        <f t="shared" si="76"/>
        <v>5.5022509317318304</v>
      </c>
      <c r="Q92" s="1">
        <f t="shared" si="77"/>
        <v>5.3157929354139997</v>
      </c>
      <c r="R92" s="1">
        <f t="shared" si="78"/>
        <v>6.9990534676256697</v>
      </c>
      <c r="S92" s="1">
        <f t="shared" ref="S92:S103" si="79">ABS($B$90-B92)</f>
        <v>6.1140772622630299</v>
      </c>
      <c r="T92" s="1">
        <f>ABS($B$91-B92)</f>
        <v>7.7138066490707002</v>
      </c>
    </row>
    <row r="93" spans="1:24" x14ac:dyDescent="0.25">
      <c r="A93" s="3" t="s">
        <v>21</v>
      </c>
      <c r="B93" s="1">
        <v>7.17798383413525</v>
      </c>
      <c r="C93" s="1">
        <f t="shared" si="63"/>
        <v>32.629257304663902</v>
      </c>
      <c r="D93" s="1">
        <f t="shared" si="64"/>
        <v>0.83632871592729996</v>
      </c>
      <c r="E93" s="1">
        <f t="shared" si="65"/>
        <v>8.6328135762995508</v>
      </c>
      <c r="F93" s="1">
        <f t="shared" si="66"/>
        <v>0.21713858864114999</v>
      </c>
      <c r="G93" s="1">
        <f t="shared" si="67"/>
        <v>0.98584680731056995</v>
      </c>
      <c r="H93" s="1">
        <f t="shared" si="68"/>
        <v>0.21171267185812001</v>
      </c>
      <c r="I93" s="1">
        <f t="shared" si="69"/>
        <v>9.7378128757494498</v>
      </c>
      <c r="J93" s="1">
        <f t="shared" si="70"/>
        <v>6.7964224309386498</v>
      </c>
      <c r="K93" s="1">
        <f t="shared" si="71"/>
        <v>0.94239353335347997</v>
      </c>
      <c r="L93" s="1">
        <f t="shared" si="72"/>
        <v>4.8587996634916504</v>
      </c>
      <c r="M93" s="1">
        <f t="shared" si="73"/>
        <v>4.9009402351762503</v>
      </c>
      <c r="N93" s="1">
        <f t="shared" si="74"/>
        <v>1.2332063948112799</v>
      </c>
      <c r="O93" s="1">
        <f t="shared" si="75"/>
        <v>0.53871045219661995</v>
      </c>
      <c r="P93" s="1">
        <f t="shared" si="76"/>
        <v>1.8790812172984801</v>
      </c>
      <c r="Q93" s="1">
        <f t="shared" si="77"/>
        <v>1.69262322098065</v>
      </c>
      <c r="R93" s="1">
        <f t="shared" si="78"/>
        <v>3.37588375319232</v>
      </c>
      <c r="S93" s="1">
        <f t="shared" si="79"/>
        <v>2.4909075478296798</v>
      </c>
      <c r="T93" s="1">
        <f t="shared" ref="T93:T103" si="80">ABS($B$91-B93)</f>
        <v>11.336976363504</v>
      </c>
      <c r="U93" s="1">
        <f>ABS($B$92-B93)</f>
        <v>3.6231697144333501</v>
      </c>
    </row>
    <row r="94" spans="1:24" x14ac:dyDescent="0.25">
      <c r="A94" s="3" t="s">
        <v>22</v>
      </c>
      <c r="B94" s="1">
        <v>7.2044025157232703</v>
      </c>
      <c r="C94" s="1">
        <f t="shared" si="63"/>
        <v>32.602838623075797</v>
      </c>
      <c r="D94" s="1">
        <f t="shared" si="64"/>
        <v>0.86274739751532004</v>
      </c>
      <c r="E94" s="1">
        <f t="shared" si="65"/>
        <v>8.6063948947115296</v>
      </c>
      <c r="F94" s="1">
        <f t="shared" si="66"/>
        <v>0.24355727022917101</v>
      </c>
      <c r="G94" s="1">
        <f t="shared" si="67"/>
        <v>1.01226548889859</v>
      </c>
      <c r="H94" s="1">
        <f t="shared" si="68"/>
        <v>0.18529399027009899</v>
      </c>
      <c r="I94" s="1">
        <f t="shared" si="69"/>
        <v>9.7113941941614303</v>
      </c>
      <c r="J94" s="1">
        <f t="shared" si="70"/>
        <v>6.7700037493506304</v>
      </c>
      <c r="K94" s="1">
        <f t="shared" si="71"/>
        <v>0.96881221494150005</v>
      </c>
      <c r="L94" s="1">
        <f t="shared" si="72"/>
        <v>4.8323809819036301</v>
      </c>
      <c r="M94" s="1">
        <f t="shared" si="73"/>
        <v>4.87452155358823</v>
      </c>
      <c r="N94" s="1">
        <f t="shared" si="74"/>
        <v>1.2596250763993</v>
      </c>
      <c r="O94" s="1">
        <f t="shared" si="75"/>
        <v>0.51229177060859898</v>
      </c>
      <c r="P94" s="1">
        <f t="shared" si="76"/>
        <v>1.9054998988865</v>
      </c>
      <c r="Q94" s="1">
        <f t="shared" si="77"/>
        <v>1.7190419025686701</v>
      </c>
      <c r="R94" s="1">
        <f t="shared" si="78"/>
        <v>3.4023024347803399</v>
      </c>
      <c r="S94" s="1">
        <f t="shared" si="79"/>
        <v>2.5173262294177001</v>
      </c>
      <c r="T94" s="1">
        <f t="shared" si="80"/>
        <v>11.310557681916</v>
      </c>
      <c r="U94" s="1">
        <f t="shared" ref="U94:U103" si="81">ABS($B$92-B94)</f>
        <v>3.5967510328453298</v>
      </c>
      <c r="V94" s="1">
        <f>ABS($B$93-B94)</f>
        <v>2.6418681588020299E-2</v>
      </c>
    </row>
    <row r="95" spans="1:24" x14ac:dyDescent="0.25">
      <c r="A95" s="3" t="s">
        <v>23</v>
      </c>
      <c r="B95" s="1">
        <v>5.1310093415356599</v>
      </c>
      <c r="C95" s="1">
        <f t="shared" si="63"/>
        <v>34.676231797263398</v>
      </c>
      <c r="D95" s="1">
        <f t="shared" si="64"/>
        <v>1.21064577667229</v>
      </c>
      <c r="E95" s="1">
        <f t="shared" si="65"/>
        <v>10.6797880688991</v>
      </c>
      <c r="F95" s="1">
        <f t="shared" si="66"/>
        <v>1.82983590395844</v>
      </c>
      <c r="G95" s="1">
        <f t="shared" si="67"/>
        <v>1.0611276852890199</v>
      </c>
      <c r="H95" s="1">
        <f t="shared" si="68"/>
        <v>2.2586871644577098</v>
      </c>
      <c r="I95" s="1">
        <f t="shared" si="69"/>
        <v>11.784787368349001</v>
      </c>
      <c r="J95" s="1">
        <f t="shared" si="70"/>
        <v>8.8433969235382399</v>
      </c>
      <c r="K95" s="1">
        <f t="shared" si="71"/>
        <v>1.10458095924611</v>
      </c>
      <c r="L95" s="1">
        <f t="shared" si="72"/>
        <v>6.9057741560912396</v>
      </c>
      <c r="M95" s="1">
        <f t="shared" si="73"/>
        <v>6.9479147277758404</v>
      </c>
      <c r="N95" s="1">
        <f t="shared" si="74"/>
        <v>0.81376809778831005</v>
      </c>
      <c r="O95" s="1">
        <f t="shared" si="75"/>
        <v>2.5856849447962098</v>
      </c>
      <c r="P95" s="1">
        <f t="shared" si="76"/>
        <v>0.16789327530111001</v>
      </c>
      <c r="Q95" s="1">
        <f t="shared" si="77"/>
        <v>0.35435127161893998</v>
      </c>
      <c r="R95" s="1">
        <f t="shared" si="78"/>
        <v>1.32890926059273</v>
      </c>
      <c r="S95" s="1">
        <f t="shared" si="79"/>
        <v>0.44393305523009002</v>
      </c>
      <c r="T95" s="1">
        <f t="shared" si="80"/>
        <v>13.383950856103599</v>
      </c>
      <c r="U95" s="1">
        <f t="shared" si="81"/>
        <v>5.6701442070329398</v>
      </c>
      <c r="V95" s="1">
        <f t="shared" ref="V95:V103" si="82">ABS($B$93-B95)</f>
        <v>2.0469744925995901</v>
      </c>
      <c r="W95" s="1">
        <f>ABS($B$94-B95)</f>
        <v>2.0733931741876099</v>
      </c>
    </row>
    <row r="96" spans="1:24" x14ac:dyDescent="0.25">
      <c r="A96" s="3" t="s">
        <v>24</v>
      </c>
      <c r="B96" s="1">
        <v>5.3513456906482402</v>
      </c>
      <c r="C96" s="1">
        <f t="shared" si="63"/>
        <v>34.455895448150898</v>
      </c>
      <c r="D96" s="1">
        <f t="shared" si="64"/>
        <v>0.99030942755970996</v>
      </c>
      <c r="E96" s="1">
        <f t="shared" si="65"/>
        <v>10.4594517197866</v>
      </c>
      <c r="F96" s="1">
        <f t="shared" si="66"/>
        <v>1.6094995548458599</v>
      </c>
      <c r="G96" s="1">
        <f t="shared" si="67"/>
        <v>0.84079133617643997</v>
      </c>
      <c r="H96" s="1">
        <f t="shared" si="68"/>
        <v>2.03835081534513</v>
      </c>
      <c r="I96" s="1">
        <f t="shared" si="69"/>
        <v>11.5644510192365</v>
      </c>
      <c r="J96" s="1">
        <f t="shared" si="70"/>
        <v>8.6230605744256597</v>
      </c>
      <c r="K96" s="1">
        <f t="shared" si="71"/>
        <v>0.88424461013352995</v>
      </c>
      <c r="L96" s="1">
        <f t="shared" si="72"/>
        <v>6.6854378069786602</v>
      </c>
      <c r="M96" s="1">
        <f t="shared" si="73"/>
        <v>6.7275783786632601</v>
      </c>
      <c r="N96" s="1">
        <f t="shared" si="74"/>
        <v>0.59343174867573001</v>
      </c>
      <c r="O96" s="1">
        <f t="shared" si="75"/>
        <v>2.36534859568363</v>
      </c>
      <c r="P96" s="1">
        <f t="shared" si="76"/>
        <v>5.2443073811470099E-2</v>
      </c>
      <c r="Q96" s="1">
        <f t="shared" si="77"/>
        <v>0.13401492250635999</v>
      </c>
      <c r="R96" s="1">
        <f t="shared" si="78"/>
        <v>1.54924560970531</v>
      </c>
      <c r="S96" s="1">
        <f t="shared" si="79"/>
        <v>0.66426940434267001</v>
      </c>
      <c r="T96" s="1">
        <f t="shared" si="80"/>
        <v>13.163614506991101</v>
      </c>
      <c r="U96" s="1">
        <f t="shared" si="81"/>
        <v>5.4498078579203604</v>
      </c>
      <c r="V96" s="1">
        <f t="shared" si="82"/>
        <v>1.82663814348701</v>
      </c>
      <c r="W96" s="1">
        <f t="shared" ref="W96:W103" si="83">ABS($B$94-B96)</f>
        <v>1.8530568250750299</v>
      </c>
      <c r="X96" s="1">
        <f>ABS($B$95-B96)</f>
        <v>0.22033634911257999</v>
      </c>
    </row>
    <row r="97" spans="1:31" x14ac:dyDescent="0.25">
      <c r="A97" s="3" t="s">
        <v>25</v>
      </c>
      <c r="B97" s="1">
        <v>12.378824280506</v>
      </c>
      <c r="C97" s="1">
        <f t="shared" si="63"/>
        <v>27.428416858293101</v>
      </c>
      <c r="D97" s="1">
        <f t="shared" si="64"/>
        <v>6.0371691622980501</v>
      </c>
      <c r="E97" s="1">
        <f t="shared" si="65"/>
        <v>3.4319731299287999</v>
      </c>
      <c r="F97" s="1">
        <f t="shared" si="66"/>
        <v>5.4179790350118999</v>
      </c>
      <c r="G97" s="1">
        <f t="shared" si="67"/>
        <v>6.1866872536813204</v>
      </c>
      <c r="H97" s="1">
        <f t="shared" si="68"/>
        <v>4.9891277745126299</v>
      </c>
      <c r="I97" s="1">
        <f t="shared" si="69"/>
        <v>4.5369724293787002</v>
      </c>
      <c r="J97" s="1">
        <f t="shared" si="70"/>
        <v>1.5955819845679</v>
      </c>
      <c r="K97" s="1">
        <f t="shared" si="71"/>
        <v>6.1432339797242301</v>
      </c>
      <c r="L97" s="1">
        <f t="shared" si="72"/>
        <v>0.342040782879101</v>
      </c>
      <c r="M97" s="1">
        <f t="shared" si="73"/>
        <v>0.299900211194501</v>
      </c>
      <c r="N97" s="1">
        <f t="shared" si="74"/>
        <v>6.4340468411820302</v>
      </c>
      <c r="O97" s="1">
        <f t="shared" si="75"/>
        <v>4.6621299941741299</v>
      </c>
      <c r="P97" s="1">
        <f t="shared" si="76"/>
        <v>7.0799216636692304</v>
      </c>
      <c r="Q97" s="1">
        <f t="shared" si="77"/>
        <v>6.8934636673513996</v>
      </c>
      <c r="R97" s="1">
        <f t="shared" si="78"/>
        <v>8.5767241995630705</v>
      </c>
      <c r="S97" s="1">
        <f t="shared" si="79"/>
        <v>7.6917479942004299</v>
      </c>
      <c r="T97" s="1">
        <f t="shared" si="80"/>
        <v>6.1361359171333003</v>
      </c>
      <c r="U97" s="1">
        <f t="shared" si="81"/>
        <v>1.5776707319373999</v>
      </c>
      <c r="V97" s="1">
        <f t="shared" si="82"/>
        <v>5.2008404463707496</v>
      </c>
      <c r="W97" s="1">
        <f t="shared" si="83"/>
        <v>5.1744217647827302</v>
      </c>
      <c r="X97" s="1">
        <f t="shared" ref="X97:X103" si="84">ABS($B$95-B97)</f>
        <v>7.2478149389703397</v>
      </c>
      <c r="Y97" s="1">
        <f>ABS($B$96-B97)</f>
        <v>7.0274785898577603</v>
      </c>
    </row>
    <row r="98" spans="1:31" x14ac:dyDescent="0.25">
      <c r="A98" s="3" t="s">
        <v>26</v>
      </c>
      <c r="B98" s="1">
        <v>8.9450766834547899</v>
      </c>
      <c r="C98" s="1">
        <f t="shared" si="63"/>
        <v>30.862164455344299</v>
      </c>
      <c r="D98" s="1">
        <f t="shared" si="64"/>
        <v>2.60342156524684</v>
      </c>
      <c r="E98" s="1">
        <f t="shared" si="65"/>
        <v>6.86572072698001</v>
      </c>
      <c r="F98" s="1">
        <f t="shared" si="66"/>
        <v>1.98423143796069</v>
      </c>
      <c r="G98" s="1">
        <f t="shared" si="67"/>
        <v>2.7529396566301099</v>
      </c>
      <c r="H98" s="1">
        <f t="shared" si="68"/>
        <v>1.55538017746142</v>
      </c>
      <c r="I98" s="1">
        <f t="shared" si="69"/>
        <v>7.9707200264299098</v>
      </c>
      <c r="J98" s="1">
        <f t="shared" si="70"/>
        <v>5.0293295816191099</v>
      </c>
      <c r="K98" s="1">
        <f t="shared" si="71"/>
        <v>2.70948638267302</v>
      </c>
      <c r="L98" s="1">
        <f t="shared" si="72"/>
        <v>3.09170681417211</v>
      </c>
      <c r="M98" s="1">
        <f t="shared" si="73"/>
        <v>3.13384738585671</v>
      </c>
      <c r="N98" s="1">
        <f t="shared" si="74"/>
        <v>3.0002992441308201</v>
      </c>
      <c r="O98" s="1">
        <f t="shared" si="75"/>
        <v>1.22838239712292</v>
      </c>
      <c r="P98" s="1">
        <f t="shared" si="76"/>
        <v>3.6461740666180198</v>
      </c>
      <c r="Q98" s="1">
        <f t="shared" si="77"/>
        <v>3.4597160703001899</v>
      </c>
      <c r="R98" s="1">
        <f t="shared" si="78"/>
        <v>5.14297660251186</v>
      </c>
      <c r="S98" s="1">
        <f t="shared" si="79"/>
        <v>4.2580003971492202</v>
      </c>
      <c r="T98" s="1">
        <f t="shared" si="80"/>
        <v>9.5698835141845109</v>
      </c>
      <c r="U98" s="1">
        <f t="shared" si="81"/>
        <v>1.85607686511381</v>
      </c>
      <c r="V98" s="1">
        <f t="shared" si="82"/>
        <v>1.7670928493195399</v>
      </c>
      <c r="W98" s="1">
        <f t="shared" si="83"/>
        <v>1.7406741677315201</v>
      </c>
      <c r="X98" s="1">
        <f t="shared" si="84"/>
        <v>3.81406734191913</v>
      </c>
      <c r="Y98" s="1">
        <f t="shared" ref="Y98:Y103" si="85">ABS($B$96-B98)</f>
        <v>3.5937309928065502</v>
      </c>
      <c r="Z98" s="1">
        <f t="shared" ref="Z98:Z103" si="86">ABS($B$97-B98)</f>
        <v>3.4337475970512101</v>
      </c>
    </row>
    <row r="99" spans="1:31" x14ac:dyDescent="0.25">
      <c r="A99" s="3" t="s">
        <v>27</v>
      </c>
      <c r="B99" s="1">
        <v>14.8477157360406</v>
      </c>
      <c r="C99" s="1">
        <f t="shared" si="63"/>
        <v>24.959525402758501</v>
      </c>
      <c r="D99" s="1">
        <f t="shared" si="64"/>
        <v>8.5060606178326505</v>
      </c>
      <c r="E99" s="1">
        <f t="shared" si="65"/>
        <v>0.9630816743942</v>
      </c>
      <c r="F99" s="1">
        <f t="shared" si="66"/>
        <v>7.8868704905465004</v>
      </c>
      <c r="G99" s="1">
        <f t="shared" si="67"/>
        <v>8.65557870921592</v>
      </c>
      <c r="H99" s="1">
        <f t="shared" si="68"/>
        <v>7.4580192300472303</v>
      </c>
      <c r="I99" s="1">
        <f t="shared" si="69"/>
        <v>2.0680809738441002</v>
      </c>
      <c r="J99" s="1">
        <f t="shared" si="70"/>
        <v>0.87330947096669898</v>
      </c>
      <c r="K99" s="1">
        <f t="shared" si="71"/>
        <v>8.6121254352588306</v>
      </c>
      <c r="L99" s="1">
        <f t="shared" si="72"/>
        <v>2.8109322384137001</v>
      </c>
      <c r="M99" s="1">
        <f t="shared" si="73"/>
        <v>2.7687916667291002</v>
      </c>
      <c r="N99" s="1">
        <f t="shared" si="74"/>
        <v>8.9029382967166306</v>
      </c>
      <c r="O99" s="1">
        <f t="shared" si="75"/>
        <v>7.1310214497087303</v>
      </c>
      <c r="P99" s="1">
        <f t="shared" si="76"/>
        <v>9.5488131192038299</v>
      </c>
      <c r="Q99" s="1">
        <f t="shared" si="77"/>
        <v>9.3623551228859991</v>
      </c>
      <c r="R99" s="1">
        <f t="shared" si="78"/>
        <v>11.0456156550977</v>
      </c>
      <c r="S99" s="1">
        <f t="shared" si="79"/>
        <v>10.160639449734999</v>
      </c>
      <c r="T99" s="1">
        <f t="shared" si="80"/>
        <v>3.6672444615986999</v>
      </c>
      <c r="U99" s="1">
        <f t="shared" si="81"/>
        <v>4.0465621874720004</v>
      </c>
      <c r="V99" s="1">
        <f t="shared" si="82"/>
        <v>7.66973190190535</v>
      </c>
      <c r="W99" s="1">
        <f t="shared" si="83"/>
        <v>7.6433132203173297</v>
      </c>
      <c r="X99" s="1">
        <f t="shared" si="84"/>
        <v>9.7167063945049392</v>
      </c>
      <c r="Y99" s="1">
        <f t="shared" si="85"/>
        <v>9.4963700453923607</v>
      </c>
      <c r="Z99" s="1">
        <f t="shared" si="86"/>
        <v>2.4688914555346</v>
      </c>
      <c r="AA99" s="1">
        <f>ABS($B$98-B99)</f>
        <v>5.9026390525858101</v>
      </c>
    </row>
    <row r="100" spans="1:31" x14ac:dyDescent="0.25">
      <c r="A100" s="3" t="s">
        <v>28</v>
      </c>
      <c r="B100" s="1">
        <v>8.9039999999999999</v>
      </c>
      <c r="C100" s="1">
        <f t="shared" si="63"/>
        <v>30.9032411387991</v>
      </c>
      <c r="D100" s="1">
        <f t="shared" si="64"/>
        <v>2.56234488179205</v>
      </c>
      <c r="E100" s="1">
        <f t="shared" si="65"/>
        <v>6.9067974104348</v>
      </c>
      <c r="F100" s="1">
        <f t="shared" si="66"/>
        <v>1.9431547545059</v>
      </c>
      <c r="G100" s="1">
        <f t="shared" si="67"/>
        <v>2.7118629731753199</v>
      </c>
      <c r="H100" s="1">
        <f t="shared" si="68"/>
        <v>1.51430349400663</v>
      </c>
      <c r="I100" s="1">
        <f t="shared" si="69"/>
        <v>8.0117967098847007</v>
      </c>
      <c r="J100" s="1">
        <f t="shared" si="70"/>
        <v>5.0704062650738999</v>
      </c>
      <c r="K100" s="1">
        <f t="shared" si="71"/>
        <v>2.66840969921823</v>
      </c>
      <c r="L100" s="1">
        <f t="shared" si="72"/>
        <v>3.1327834976269</v>
      </c>
      <c r="M100" s="1">
        <f t="shared" si="73"/>
        <v>3.1749240693115</v>
      </c>
      <c r="N100" s="1">
        <f t="shared" si="74"/>
        <v>2.9592225606760301</v>
      </c>
      <c r="O100" s="1">
        <f t="shared" si="75"/>
        <v>1.18730571366813</v>
      </c>
      <c r="P100" s="1">
        <f t="shared" si="76"/>
        <v>3.6050973831632298</v>
      </c>
      <c r="Q100" s="1">
        <f t="shared" si="77"/>
        <v>3.4186393868453999</v>
      </c>
      <c r="R100" s="1">
        <f t="shared" si="78"/>
        <v>5.10189991905707</v>
      </c>
      <c r="S100" s="1">
        <f t="shared" si="79"/>
        <v>4.2169237136944302</v>
      </c>
      <c r="T100" s="1">
        <f t="shared" si="80"/>
        <v>9.6109601976393009</v>
      </c>
      <c r="U100" s="1">
        <f t="shared" si="81"/>
        <v>1.8971535485686</v>
      </c>
      <c r="V100" s="1">
        <f t="shared" si="82"/>
        <v>1.7260161658647499</v>
      </c>
      <c r="W100" s="1">
        <f t="shared" si="83"/>
        <v>1.6995974842767301</v>
      </c>
      <c r="X100" s="1">
        <f t="shared" si="84"/>
        <v>3.77299065846434</v>
      </c>
      <c r="Y100" s="1">
        <f t="shared" si="85"/>
        <v>3.5526543093517602</v>
      </c>
      <c r="Z100" s="1">
        <f t="shared" si="86"/>
        <v>3.4748242805060001</v>
      </c>
      <c r="AA100" s="1">
        <f>ABS($B$98-B100)</f>
        <v>4.107668345479E-2</v>
      </c>
      <c r="AB100" s="1">
        <f>ABS($B$99-B100)</f>
        <v>5.9437157360406001</v>
      </c>
    </row>
    <row r="101" spans="1:31" x14ac:dyDescent="0.25">
      <c r="A101" s="3" t="s">
        <v>29</v>
      </c>
      <c r="B101" s="1">
        <v>7.7335834896810498</v>
      </c>
      <c r="C101" s="1">
        <f t="shared" si="63"/>
        <v>32.073657649117997</v>
      </c>
      <c r="D101" s="1">
        <f t="shared" si="64"/>
        <v>1.3919283714730999</v>
      </c>
      <c r="E101" s="1">
        <f t="shared" si="65"/>
        <v>8.0772139207537492</v>
      </c>
      <c r="F101" s="1">
        <f t="shared" si="66"/>
        <v>0.77273824418695003</v>
      </c>
      <c r="G101" s="1">
        <f t="shared" si="67"/>
        <v>1.54144646285637</v>
      </c>
      <c r="H101" s="1">
        <f t="shared" si="68"/>
        <v>0.34388698368768</v>
      </c>
      <c r="I101" s="1">
        <f t="shared" si="69"/>
        <v>9.1822132202036499</v>
      </c>
      <c r="J101" s="1">
        <f t="shared" si="70"/>
        <v>6.24082277539285</v>
      </c>
      <c r="K101" s="1">
        <f t="shared" si="71"/>
        <v>1.4979931888992799</v>
      </c>
      <c r="L101" s="1">
        <f t="shared" si="72"/>
        <v>4.3032000079458497</v>
      </c>
      <c r="M101" s="1">
        <f t="shared" si="73"/>
        <v>4.3453405796304496</v>
      </c>
      <c r="N101" s="1">
        <f t="shared" si="74"/>
        <v>1.78880605035708</v>
      </c>
      <c r="O101" s="1">
        <f t="shared" si="75"/>
        <v>1.68892033491801E-2</v>
      </c>
      <c r="P101" s="1">
        <f t="shared" si="76"/>
        <v>2.4346808728442801</v>
      </c>
      <c r="Q101" s="1">
        <f t="shared" si="77"/>
        <v>2.2482228765264498</v>
      </c>
      <c r="R101" s="1">
        <f t="shared" si="78"/>
        <v>3.9314834087381199</v>
      </c>
      <c r="S101" s="1">
        <f t="shared" si="79"/>
        <v>3.0465072033754801</v>
      </c>
      <c r="T101" s="1">
        <f t="shared" si="80"/>
        <v>10.7813767079583</v>
      </c>
      <c r="U101" s="1">
        <f t="shared" si="81"/>
        <v>3.0675700588875499</v>
      </c>
      <c r="V101" s="1">
        <f t="shared" si="82"/>
        <v>0.55559965554580004</v>
      </c>
      <c r="W101" s="1">
        <f t="shared" si="83"/>
        <v>0.52918097395777997</v>
      </c>
      <c r="X101" s="1">
        <f t="shared" si="84"/>
        <v>2.6025741481453899</v>
      </c>
      <c r="Y101" s="1">
        <f t="shared" si="85"/>
        <v>2.3822377990328101</v>
      </c>
      <c r="Z101" s="1">
        <f t="shared" si="86"/>
        <v>4.6452407908249498</v>
      </c>
      <c r="AA101" s="1">
        <f>ABS($B$98-B101)</f>
        <v>1.2114931937737401</v>
      </c>
      <c r="AB101" s="1">
        <f>ABS($B$99-B101)</f>
        <v>7.1141322463595502</v>
      </c>
      <c r="AC101" s="1">
        <f>ABS($B$100-B101)</f>
        <v>1.1704165103189501</v>
      </c>
    </row>
    <row r="102" spans="1:31" x14ac:dyDescent="0.25">
      <c r="A102" s="3" t="s">
        <v>30</v>
      </c>
      <c r="B102" s="1">
        <v>13.675757575757601</v>
      </c>
      <c r="C102" s="1">
        <f t="shared" si="63"/>
        <v>26.131483563041499</v>
      </c>
      <c r="D102" s="1">
        <f t="shared" si="64"/>
        <v>7.3341024575496503</v>
      </c>
      <c r="E102" s="1">
        <f t="shared" si="65"/>
        <v>2.1350398346772002</v>
      </c>
      <c r="F102" s="1">
        <f t="shared" si="66"/>
        <v>6.7149123302635001</v>
      </c>
      <c r="G102" s="1">
        <f t="shared" si="67"/>
        <v>7.4836205489329197</v>
      </c>
      <c r="H102" s="1">
        <f t="shared" si="68"/>
        <v>6.2860610697642301</v>
      </c>
      <c r="I102" s="1">
        <f t="shared" si="69"/>
        <v>3.2400391341271</v>
      </c>
      <c r="J102" s="1">
        <f t="shared" si="70"/>
        <v>0.29864868931630001</v>
      </c>
      <c r="K102" s="1">
        <f t="shared" si="71"/>
        <v>7.4401672749758303</v>
      </c>
      <c r="L102" s="1">
        <f t="shared" si="72"/>
        <v>1.6389740781307001</v>
      </c>
      <c r="M102" s="1">
        <f t="shared" si="73"/>
        <v>1.5968335064460999</v>
      </c>
      <c r="N102" s="1">
        <f t="shared" si="74"/>
        <v>7.7309801364336304</v>
      </c>
      <c r="O102" s="1">
        <f t="shared" si="75"/>
        <v>5.95906328942573</v>
      </c>
      <c r="P102" s="1">
        <f t="shared" si="76"/>
        <v>8.3768549589208305</v>
      </c>
      <c r="Q102" s="1">
        <f t="shared" si="77"/>
        <v>8.1903969626029998</v>
      </c>
      <c r="R102" s="1">
        <f t="shared" si="78"/>
        <v>9.8736574948146707</v>
      </c>
      <c r="S102" s="1">
        <f t="shared" si="79"/>
        <v>8.98868128945203</v>
      </c>
      <c r="T102" s="1">
        <f t="shared" si="80"/>
        <v>4.8392026218817001</v>
      </c>
      <c r="U102" s="1">
        <f t="shared" si="81"/>
        <v>2.8746040271890001</v>
      </c>
      <c r="V102" s="1">
        <f t="shared" si="82"/>
        <v>6.4977737416223498</v>
      </c>
      <c r="W102" s="1">
        <f t="shared" si="83"/>
        <v>6.4713550600343304</v>
      </c>
      <c r="X102" s="1">
        <f t="shared" si="84"/>
        <v>8.5447482342219399</v>
      </c>
      <c r="Y102" s="1">
        <f t="shared" si="85"/>
        <v>8.3244118851093596</v>
      </c>
      <c r="Z102" s="1">
        <f t="shared" si="86"/>
        <v>1.2969332952515999</v>
      </c>
      <c r="AA102" s="1">
        <f>ABS($B$98-B102)</f>
        <v>4.7306808923028099</v>
      </c>
      <c r="AB102" s="1">
        <f>ABS($B$99-B102)</f>
        <v>1.171958160283</v>
      </c>
      <c r="AC102" s="1">
        <f>ABS($B$100-B102)</f>
        <v>4.7717575757575998</v>
      </c>
      <c r="AD102" s="1">
        <f>ABS($B$101-B102)</f>
        <v>5.94217408607655</v>
      </c>
    </row>
    <row r="103" spans="1:31" x14ac:dyDescent="0.25">
      <c r="A103" s="3" t="s">
        <v>31</v>
      </c>
      <c r="B103" s="1">
        <v>8.7231707317073202</v>
      </c>
      <c r="C103" s="1">
        <f t="shared" si="63"/>
        <v>31.084070407091801</v>
      </c>
      <c r="D103" s="1">
        <f t="shared" si="64"/>
        <v>2.3815156134993698</v>
      </c>
      <c r="E103" s="1">
        <f t="shared" si="65"/>
        <v>7.0876266787274798</v>
      </c>
      <c r="F103" s="1">
        <f t="shared" si="66"/>
        <v>1.76232548621322</v>
      </c>
      <c r="G103" s="1">
        <f t="shared" si="67"/>
        <v>2.5310337048826401</v>
      </c>
      <c r="H103" s="1">
        <f t="shared" si="68"/>
        <v>1.33347422571395</v>
      </c>
      <c r="I103" s="1">
        <f t="shared" si="69"/>
        <v>8.1926259781773805</v>
      </c>
      <c r="J103" s="1">
        <f t="shared" si="70"/>
        <v>5.2512355333665797</v>
      </c>
      <c r="K103" s="1">
        <f t="shared" si="71"/>
        <v>2.4875804309255498</v>
      </c>
      <c r="L103" s="1">
        <f t="shared" si="72"/>
        <v>3.3136127659195802</v>
      </c>
      <c r="M103" s="1">
        <f t="shared" si="73"/>
        <v>3.3557533376041802</v>
      </c>
      <c r="N103" s="1">
        <f t="shared" si="74"/>
        <v>2.7783932923833499</v>
      </c>
      <c r="O103" s="1">
        <f t="shared" si="75"/>
        <v>1.00647644537545</v>
      </c>
      <c r="P103" s="1">
        <f t="shared" si="76"/>
        <v>3.4242681148705501</v>
      </c>
      <c r="Q103" s="1">
        <f t="shared" si="77"/>
        <v>3.2378101185527202</v>
      </c>
      <c r="R103" s="1">
        <f t="shared" si="78"/>
        <v>4.9210706507643902</v>
      </c>
      <c r="S103" s="1">
        <f t="shared" si="79"/>
        <v>4.0360944454017504</v>
      </c>
      <c r="T103" s="1">
        <f t="shared" si="80"/>
        <v>9.7917894659319806</v>
      </c>
      <c r="U103" s="1">
        <f t="shared" si="81"/>
        <v>2.0779828168612799</v>
      </c>
      <c r="V103" s="1">
        <f t="shared" si="82"/>
        <v>1.54518689757207</v>
      </c>
      <c r="W103" s="1">
        <f t="shared" si="83"/>
        <v>1.5187682159840501</v>
      </c>
      <c r="X103" s="1">
        <f t="shared" si="84"/>
        <v>3.5921613901716598</v>
      </c>
      <c r="Y103" s="1">
        <f t="shared" si="85"/>
        <v>3.37182504105908</v>
      </c>
      <c r="Z103" s="1">
        <f t="shared" si="86"/>
        <v>3.6556535487986799</v>
      </c>
      <c r="AA103" s="1">
        <f>ABS($B$98-B103)</f>
        <v>0.22190595174746999</v>
      </c>
      <c r="AB103" s="1">
        <f>ABS($B$99-B103)</f>
        <v>6.1245450043332799</v>
      </c>
      <c r="AC103" s="1">
        <f>ABS($B$100-B103)</f>
        <v>0.18082926829268001</v>
      </c>
      <c r="AD103" s="1">
        <f>ABS($B$101-B103)</f>
        <v>0.98958724202627002</v>
      </c>
      <c r="AE103" s="1">
        <f>ABS($B$102-B103)</f>
        <v>4.9525868440502796</v>
      </c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3"/>
  <sheetViews>
    <sheetView topLeftCell="A11" workbookViewId="0">
      <selection activeCell="A3" sqref="A3:A32"/>
    </sheetView>
  </sheetViews>
  <sheetFormatPr defaultColWidth="9" defaultRowHeight="14.4" x14ac:dyDescent="0.25"/>
  <cols>
    <col min="1" max="1" width="9" style="1"/>
    <col min="2" max="31" width="6.88671875" style="1" customWidth="1"/>
  </cols>
  <sheetData>
    <row r="1" spans="1:31" ht="49.2" x14ac:dyDescent="0.25">
      <c r="A1" s="5" t="s">
        <v>79</v>
      </c>
      <c r="B1" s="6" t="s">
        <v>80</v>
      </c>
    </row>
    <row r="2" spans="1:31" x14ac:dyDescent="0.2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spans="1:31" x14ac:dyDescent="0.25">
      <c r="A3" s="3" t="s">
        <v>2</v>
      </c>
      <c r="B3" s="7"/>
      <c r="C3" s="1">
        <v>8.0152475201750999</v>
      </c>
      <c r="D3" s="1">
        <v>14.361900358563201</v>
      </c>
      <c r="E3" s="1">
        <v>3.8749955572949002</v>
      </c>
      <c r="F3" s="1">
        <v>2.2962737934798998</v>
      </c>
      <c r="G3" s="1">
        <v>3.6447370490226998</v>
      </c>
      <c r="H3" s="1">
        <v>2.7199518223096</v>
      </c>
      <c r="I3" s="1">
        <v>5.1264734717843004</v>
      </c>
      <c r="J3" s="1">
        <v>6.2741157294649001</v>
      </c>
      <c r="K3" s="1">
        <v>2.9934952996112001</v>
      </c>
      <c r="L3" s="1">
        <v>4.7012711915156</v>
      </c>
      <c r="M3" s="1">
        <v>16.309326127623599</v>
      </c>
      <c r="N3" s="1">
        <v>10.9394316143044</v>
      </c>
      <c r="O3" s="1">
        <v>4.1800726998620998</v>
      </c>
      <c r="P3" s="1">
        <v>10.859497000229601</v>
      </c>
      <c r="Q3" s="1">
        <v>1.8763811557995</v>
      </c>
      <c r="R3" s="1">
        <v>4.0105993915892997</v>
      </c>
      <c r="S3" s="1">
        <v>5.6939452584339998</v>
      </c>
      <c r="T3" s="1">
        <v>5.1151172872658996</v>
      </c>
      <c r="U3" s="1">
        <v>1.5565680523542</v>
      </c>
      <c r="V3" s="1">
        <v>13.5858636865748</v>
      </c>
      <c r="W3" s="1">
        <v>15.173326935414901</v>
      </c>
      <c r="X3" s="1">
        <v>2.6318323949339999</v>
      </c>
      <c r="Y3" s="1">
        <v>5.9127942832056997</v>
      </c>
      <c r="Z3" s="1">
        <v>6.1662024124079</v>
      </c>
      <c r="AA3" s="1">
        <v>0.75240998524209601</v>
      </c>
      <c r="AB3" s="1">
        <v>2.0018288417973999</v>
      </c>
      <c r="AC3" s="1">
        <v>1.3885710859425999</v>
      </c>
      <c r="AD3" s="1">
        <v>5.1804201122829001</v>
      </c>
      <c r="AE3" s="1">
        <v>2.7095164330077002</v>
      </c>
    </row>
    <row r="4" spans="1:31" x14ac:dyDescent="0.25">
      <c r="A4" s="3" t="s">
        <v>3</v>
      </c>
      <c r="B4" s="1">
        <v>8.0152475201750999</v>
      </c>
      <c r="C4" s="7"/>
      <c r="D4" s="1">
        <v>22.377147878738299</v>
      </c>
      <c r="E4" s="1">
        <v>11.89024307747</v>
      </c>
      <c r="F4" s="1">
        <v>5.7189737266952001</v>
      </c>
      <c r="G4" s="1">
        <v>4.3705104711524001</v>
      </c>
      <c r="H4" s="1">
        <v>5.2952956978654999</v>
      </c>
      <c r="I4" s="1">
        <v>2.8887740483908</v>
      </c>
      <c r="J4" s="1">
        <v>1.7411317907102</v>
      </c>
      <c r="K4" s="1">
        <v>5.0217522205638998</v>
      </c>
      <c r="L4" s="1">
        <v>3.3139763286594999</v>
      </c>
      <c r="M4" s="1">
        <v>24.324573647798701</v>
      </c>
      <c r="N4" s="1">
        <v>18.954679134479498</v>
      </c>
      <c r="O4" s="1">
        <v>3.8351748203130001</v>
      </c>
      <c r="P4" s="1">
        <v>18.8747445204047</v>
      </c>
      <c r="Q4" s="1">
        <v>6.1388663643756001</v>
      </c>
      <c r="R4" s="1">
        <v>12.0258469117644</v>
      </c>
      <c r="S4" s="1">
        <v>13.709192778609101</v>
      </c>
      <c r="T4" s="1">
        <v>2.9001302329091998</v>
      </c>
      <c r="U4" s="1">
        <v>6.4586794678209003</v>
      </c>
      <c r="V4" s="1">
        <v>21.601111206749898</v>
      </c>
      <c r="W4" s="1">
        <v>23.18857445559</v>
      </c>
      <c r="X4" s="1">
        <v>10.647079915109099</v>
      </c>
      <c r="Y4" s="1">
        <v>2.1024532369693998</v>
      </c>
      <c r="Z4" s="1">
        <v>1.8490451077672001</v>
      </c>
      <c r="AA4" s="1">
        <v>8.7676575054171995</v>
      </c>
      <c r="AB4" s="1">
        <v>10.017076361972499</v>
      </c>
      <c r="AC4" s="1">
        <v>9.4038186061176994</v>
      </c>
      <c r="AD4" s="1">
        <v>13.195667632457999</v>
      </c>
      <c r="AE4" s="1">
        <v>10.7247639531828</v>
      </c>
    </row>
    <row r="5" spans="1:31" x14ac:dyDescent="0.25">
      <c r="A5" s="3" t="s">
        <v>4</v>
      </c>
      <c r="B5" s="1">
        <v>14.361900358563201</v>
      </c>
      <c r="C5" s="1">
        <v>22.377147878738299</v>
      </c>
      <c r="D5" s="7"/>
      <c r="E5" s="1">
        <v>10.486904801268301</v>
      </c>
      <c r="F5" s="1">
        <v>16.658174152043099</v>
      </c>
      <c r="G5" s="1">
        <v>18.006637407585899</v>
      </c>
      <c r="H5" s="1">
        <v>17.081852180872801</v>
      </c>
      <c r="I5" s="1">
        <v>19.488373830347498</v>
      </c>
      <c r="J5" s="1">
        <v>20.6360160880281</v>
      </c>
      <c r="K5" s="1">
        <v>17.355395658174402</v>
      </c>
      <c r="L5" s="1">
        <v>19.063171550078799</v>
      </c>
      <c r="M5" s="1">
        <v>1.9474257690604</v>
      </c>
      <c r="N5" s="1">
        <v>3.4224687442588002</v>
      </c>
      <c r="O5" s="1">
        <v>18.541973058425299</v>
      </c>
      <c r="P5" s="1">
        <v>3.5024033583335998</v>
      </c>
      <c r="Q5" s="1">
        <v>16.238281514362701</v>
      </c>
      <c r="R5" s="1">
        <v>10.3513009669739</v>
      </c>
      <c r="S5" s="1">
        <v>8.6679551001292001</v>
      </c>
      <c r="T5" s="1">
        <v>19.4770176458291</v>
      </c>
      <c r="U5" s="1">
        <v>15.9184684109174</v>
      </c>
      <c r="V5" s="1">
        <v>0.77603667198839998</v>
      </c>
      <c r="W5" s="1">
        <v>0.81142657685170105</v>
      </c>
      <c r="X5" s="1">
        <v>11.7300679636292</v>
      </c>
      <c r="Y5" s="1">
        <v>20.2746946417689</v>
      </c>
      <c r="Z5" s="1">
        <v>20.528102770971099</v>
      </c>
      <c r="AA5" s="1">
        <v>13.609490373321099</v>
      </c>
      <c r="AB5" s="1">
        <v>12.3600715167658</v>
      </c>
      <c r="AC5" s="1">
        <v>12.9733292726206</v>
      </c>
      <c r="AD5" s="1">
        <v>9.1814802462802998</v>
      </c>
      <c r="AE5" s="1">
        <v>11.652383925555499</v>
      </c>
    </row>
    <row r="6" spans="1:31" x14ac:dyDescent="0.25">
      <c r="A6" s="3" t="s">
        <v>5</v>
      </c>
      <c r="B6" s="1">
        <v>3.8749955572949002</v>
      </c>
      <c r="C6" s="1">
        <v>11.89024307747</v>
      </c>
      <c r="D6" s="1">
        <v>10.486904801268301</v>
      </c>
      <c r="E6" s="7"/>
      <c r="F6" s="1">
        <v>6.1712693507748</v>
      </c>
      <c r="G6" s="1">
        <v>7.5197326063176</v>
      </c>
      <c r="H6" s="1">
        <v>6.5949473796045099</v>
      </c>
      <c r="I6" s="1">
        <v>9.0014690290791997</v>
      </c>
      <c r="J6" s="1">
        <v>10.149111286759799</v>
      </c>
      <c r="K6" s="1">
        <v>6.8684908569061101</v>
      </c>
      <c r="L6" s="1">
        <v>8.5762667488105002</v>
      </c>
      <c r="M6" s="1">
        <v>12.434330570328701</v>
      </c>
      <c r="N6" s="1">
        <v>7.0644360570094902</v>
      </c>
      <c r="O6" s="1">
        <v>8.055068257157</v>
      </c>
      <c r="P6" s="1">
        <v>6.9845014429346897</v>
      </c>
      <c r="Q6" s="1">
        <v>5.7513767130944</v>
      </c>
      <c r="R6" s="1">
        <v>0.13560383429439299</v>
      </c>
      <c r="S6" s="1">
        <v>1.8189497011391</v>
      </c>
      <c r="T6" s="1">
        <v>8.9901128445608105</v>
      </c>
      <c r="U6" s="1">
        <v>5.4315636096490998</v>
      </c>
      <c r="V6" s="1">
        <v>9.7108681292798895</v>
      </c>
      <c r="W6" s="1">
        <v>11.29833137812</v>
      </c>
      <c r="X6" s="1">
        <v>1.2431631623609001</v>
      </c>
      <c r="Y6" s="1">
        <v>9.7877898405006007</v>
      </c>
      <c r="Z6" s="1">
        <v>10.0411979697028</v>
      </c>
      <c r="AA6" s="1">
        <v>3.12258557205281</v>
      </c>
      <c r="AB6" s="1">
        <v>1.8731667154975</v>
      </c>
      <c r="AC6" s="1">
        <v>2.4864244713522998</v>
      </c>
      <c r="AD6" s="1">
        <v>1.3054245549879899</v>
      </c>
      <c r="AE6" s="1">
        <v>1.1654791242872</v>
      </c>
    </row>
    <row r="7" spans="1:31" x14ac:dyDescent="0.25">
      <c r="A7" s="3" t="s">
        <v>6</v>
      </c>
      <c r="B7" s="1">
        <v>2.2962737934798998</v>
      </c>
      <c r="C7" s="1">
        <v>5.7189737266952001</v>
      </c>
      <c r="D7" s="1">
        <v>16.658174152043099</v>
      </c>
      <c r="E7" s="1">
        <v>6.1712693507748</v>
      </c>
      <c r="F7" s="7"/>
      <c r="G7" s="1">
        <v>1.3484632555428</v>
      </c>
      <c r="H7" s="1">
        <v>0.42367802882970601</v>
      </c>
      <c r="I7" s="1">
        <v>2.8301996783044001</v>
      </c>
      <c r="J7" s="1">
        <v>3.9778419359849999</v>
      </c>
      <c r="K7" s="1">
        <v>0.69722150613130696</v>
      </c>
      <c r="L7" s="1">
        <v>2.4049973980356998</v>
      </c>
      <c r="M7" s="1">
        <v>18.605599921103501</v>
      </c>
      <c r="N7" s="1">
        <v>13.2357054077843</v>
      </c>
      <c r="O7" s="1">
        <v>1.8837989063822</v>
      </c>
      <c r="P7" s="1">
        <v>13.1557707937095</v>
      </c>
      <c r="Q7" s="1">
        <v>0.41989263768039797</v>
      </c>
      <c r="R7" s="1">
        <v>6.3068731850691897</v>
      </c>
      <c r="S7" s="1">
        <v>7.9902190519138996</v>
      </c>
      <c r="T7" s="1">
        <v>2.8188434937860101</v>
      </c>
      <c r="U7" s="1">
        <v>0.73970574112569698</v>
      </c>
      <c r="V7" s="1">
        <v>15.8821374800547</v>
      </c>
      <c r="W7" s="1">
        <v>17.4696007288948</v>
      </c>
      <c r="X7" s="1">
        <v>4.9281061884139001</v>
      </c>
      <c r="Y7" s="1">
        <v>3.6165204897257999</v>
      </c>
      <c r="Z7" s="1">
        <v>3.8699286189280002</v>
      </c>
      <c r="AA7" s="1">
        <v>3.04868377872199</v>
      </c>
      <c r="AB7" s="1">
        <v>4.2981026352773002</v>
      </c>
      <c r="AC7" s="1">
        <v>3.6848448794225002</v>
      </c>
      <c r="AD7" s="1">
        <v>7.4766939057627901</v>
      </c>
      <c r="AE7" s="1">
        <v>5.0057902264876004</v>
      </c>
    </row>
    <row r="8" spans="1:31" x14ac:dyDescent="0.25">
      <c r="A8" s="3" t="s">
        <v>7</v>
      </c>
      <c r="B8" s="1">
        <v>3.6447370490226998</v>
      </c>
      <c r="C8" s="1">
        <v>4.3705104711524001</v>
      </c>
      <c r="D8" s="1">
        <v>18.006637407585899</v>
      </c>
      <c r="E8" s="1">
        <v>7.5197326063176</v>
      </c>
      <c r="F8" s="1">
        <v>1.3484632555428</v>
      </c>
      <c r="G8" s="7"/>
      <c r="H8" s="1">
        <v>0.92478522671309804</v>
      </c>
      <c r="I8" s="1">
        <v>1.4817364227615999</v>
      </c>
      <c r="J8" s="1">
        <v>2.6293786804421999</v>
      </c>
      <c r="K8" s="1">
        <v>0.65124174941149704</v>
      </c>
      <c r="L8" s="1">
        <v>1.0565341424929</v>
      </c>
      <c r="M8" s="1">
        <v>19.954063176646301</v>
      </c>
      <c r="N8" s="1">
        <v>14.5841686633271</v>
      </c>
      <c r="O8" s="1">
        <v>0.53533565083940005</v>
      </c>
      <c r="P8" s="1">
        <v>14.5042340492523</v>
      </c>
      <c r="Q8" s="1">
        <v>1.7683558932232</v>
      </c>
      <c r="R8" s="1">
        <v>7.6553364406120004</v>
      </c>
      <c r="S8" s="1">
        <v>9.3386823074567005</v>
      </c>
      <c r="T8" s="1">
        <v>1.4703802382432001</v>
      </c>
      <c r="U8" s="1">
        <v>2.0881689966685002</v>
      </c>
      <c r="V8" s="1">
        <v>17.230600735597498</v>
      </c>
      <c r="W8" s="1">
        <v>18.8180639844376</v>
      </c>
      <c r="X8" s="1">
        <v>6.2765694439567001</v>
      </c>
      <c r="Y8" s="1">
        <v>2.2680572341829999</v>
      </c>
      <c r="Z8" s="1">
        <v>2.5214653633852002</v>
      </c>
      <c r="AA8" s="1">
        <v>4.3971470342648002</v>
      </c>
      <c r="AB8" s="1">
        <v>5.6465658908201002</v>
      </c>
      <c r="AC8" s="1">
        <v>5.0333081349653002</v>
      </c>
      <c r="AD8" s="1">
        <v>8.8251571613056008</v>
      </c>
      <c r="AE8" s="1">
        <v>6.3542534820304004</v>
      </c>
    </row>
    <row r="9" spans="1:31" x14ac:dyDescent="0.25">
      <c r="A9" s="3" t="s">
        <v>8</v>
      </c>
      <c r="B9" s="1">
        <v>2.7199518223096</v>
      </c>
      <c r="C9" s="1">
        <v>5.2952956978654999</v>
      </c>
      <c r="D9" s="1">
        <v>17.081852180872801</v>
      </c>
      <c r="E9" s="1">
        <v>6.5949473796045099</v>
      </c>
      <c r="F9" s="1">
        <v>0.42367802882970601</v>
      </c>
      <c r="G9" s="1">
        <v>0.92478522671309804</v>
      </c>
      <c r="H9" s="7"/>
      <c r="I9" s="1">
        <v>2.4065216494746999</v>
      </c>
      <c r="J9" s="1">
        <v>3.5541639071553002</v>
      </c>
      <c r="K9" s="1">
        <v>0.273543477301601</v>
      </c>
      <c r="L9" s="1">
        <v>1.981319369206</v>
      </c>
      <c r="M9" s="1">
        <v>19.029277949933199</v>
      </c>
      <c r="N9" s="1">
        <v>13.659383436614</v>
      </c>
      <c r="O9" s="1">
        <v>1.4601208775525001</v>
      </c>
      <c r="P9" s="1">
        <v>13.5794488225392</v>
      </c>
      <c r="Q9" s="1">
        <v>0.84357066651010404</v>
      </c>
      <c r="R9" s="1">
        <v>6.7305512138988997</v>
      </c>
      <c r="S9" s="1">
        <v>8.4138970807436007</v>
      </c>
      <c r="T9" s="1">
        <v>2.3951654649563001</v>
      </c>
      <c r="U9" s="1">
        <v>1.1633837699553999</v>
      </c>
      <c r="V9" s="1">
        <v>16.3058155088844</v>
      </c>
      <c r="W9" s="1">
        <v>17.893278757724499</v>
      </c>
      <c r="X9" s="1">
        <v>5.3517842172436003</v>
      </c>
      <c r="Y9" s="1">
        <v>3.1928424608961001</v>
      </c>
      <c r="Z9" s="1">
        <v>3.4462505900982898</v>
      </c>
      <c r="AA9" s="1">
        <v>3.4723618075517</v>
      </c>
      <c r="AB9" s="1">
        <v>4.7217806641070004</v>
      </c>
      <c r="AC9" s="1">
        <v>4.1085229082522003</v>
      </c>
      <c r="AD9" s="1">
        <v>7.9003719345925001</v>
      </c>
      <c r="AE9" s="1">
        <v>5.4294682553172997</v>
      </c>
    </row>
    <row r="10" spans="1:31" x14ac:dyDescent="0.25">
      <c r="A10" s="3" t="s">
        <v>9</v>
      </c>
      <c r="B10" s="1">
        <v>5.1264734717843004</v>
      </c>
      <c r="C10" s="1">
        <v>2.8887740483908</v>
      </c>
      <c r="D10" s="1">
        <v>19.488373830347498</v>
      </c>
      <c r="E10" s="1">
        <v>9.0014690290791997</v>
      </c>
      <c r="F10" s="1">
        <v>2.8301996783044001</v>
      </c>
      <c r="G10" s="1">
        <v>1.4817364227615999</v>
      </c>
      <c r="H10" s="1">
        <v>2.4065216494746999</v>
      </c>
      <c r="I10" s="7"/>
      <c r="J10" s="1">
        <v>1.1476422576806</v>
      </c>
      <c r="K10" s="1">
        <v>2.1329781721730998</v>
      </c>
      <c r="L10" s="1">
        <v>0.425202280268699</v>
      </c>
      <c r="M10" s="1">
        <v>21.4357995994079</v>
      </c>
      <c r="N10" s="1">
        <v>16.065905086088701</v>
      </c>
      <c r="O10" s="1">
        <v>0.94640077192219996</v>
      </c>
      <c r="P10" s="1">
        <v>15.9859704720139</v>
      </c>
      <c r="Q10" s="1">
        <v>3.2500923159848001</v>
      </c>
      <c r="R10" s="1">
        <v>9.1370728633736</v>
      </c>
      <c r="S10" s="1">
        <v>10.8204187302183</v>
      </c>
      <c r="T10" s="1">
        <v>1.1356184518398E-2</v>
      </c>
      <c r="U10" s="1">
        <v>3.5699054194300999</v>
      </c>
      <c r="V10" s="1">
        <v>18.712337158359102</v>
      </c>
      <c r="W10" s="1">
        <v>20.2998004071992</v>
      </c>
      <c r="X10" s="1">
        <v>7.7583058667182998</v>
      </c>
      <c r="Y10" s="1">
        <v>0.78632081142139798</v>
      </c>
      <c r="Z10" s="1">
        <v>1.0397289406236001</v>
      </c>
      <c r="AA10" s="1">
        <v>5.8788834570263999</v>
      </c>
      <c r="AB10" s="1">
        <v>7.1283023135816999</v>
      </c>
      <c r="AC10" s="1">
        <v>6.5150445577268998</v>
      </c>
      <c r="AD10" s="1">
        <v>10.3068935840672</v>
      </c>
      <c r="AE10" s="1">
        <v>7.8359899047920001</v>
      </c>
    </row>
    <row r="11" spans="1:31" x14ac:dyDescent="0.25">
      <c r="A11" s="3" t="s">
        <v>10</v>
      </c>
      <c r="B11" s="1">
        <v>6.2741157294649001</v>
      </c>
      <c r="C11" s="1">
        <v>1.7411317907102</v>
      </c>
      <c r="D11" s="1">
        <v>20.6360160880281</v>
      </c>
      <c r="E11" s="1">
        <v>10.149111286759799</v>
      </c>
      <c r="F11" s="1">
        <v>3.9778419359849999</v>
      </c>
      <c r="G11" s="1">
        <v>2.6293786804421999</v>
      </c>
      <c r="H11" s="1">
        <v>3.5541639071553002</v>
      </c>
      <c r="I11" s="1">
        <v>1.1476422576806</v>
      </c>
      <c r="J11" s="7"/>
      <c r="K11" s="1">
        <v>3.2806204298537001</v>
      </c>
      <c r="L11" s="1">
        <v>1.5728445379492999</v>
      </c>
      <c r="M11" s="1">
        <v>22.583441857088498</v>
      </c>
      <c r="N11" s="1">
        <v>17.213547343769299</v>
      </c>
      <c r="O11" s="1">
        <v>2.0940430296027999</v>
      </c>
      <c r="P11" s="1">
        <v>17.133612729694502</v>
      </c>
      <c r="Q11" s="1">
        <v>4.3977345736654003</v>
      </c>
      <c r="R11" s="1">
        <v>10.2847151210542</v>
      </c>
      <c r="S11" s="1">
        <v>11.9680609878989</v>
      </c>
      <c r="T11" s="1">
        <v>1.1589984421990001</v>
      </c>
      <c r="U11" s="1">
        <v>4.7175476771106997</v>
      </c>
      <c r="V11" s="1">
        <v>19.8599794160397</v>
      </c>
      <c r="W11" s="1">
        <v>21.447442664879802</v>
      </c>
      <c r="X11" s="1">
        <v>8.9059481243989005</v>
      </c>
      <c r="Y11" s="1">
        <v>0.36132144625920398</v>
      </c>
      <c r="Z11" s="1">
        <v>0.10791331705700501</v>
      </c>
      <c r="AA11" s="1">
        <v>7.0265257147069997</v>
      </c>
      <c r="AB11" s="1">
        <v>8.2759445712623005</v>
      </c>
      <c r="AC11" s="1">
        <v>7.6626868154074996</v>
      </c>
      <c r="AD11" s="1">
        <v>11.4545358417478</v>
      </c>
      <c r="AE11" s="1">
        <v>8.9836321624726008</v>
      </c>
    </row>
    <row r="12" spans="1:31" x14ac:dyDescent="0.25">
      <c r="A12" s="3" t="s">
        <v>11</v>
      </c>
      <c r="B12" s="1">
        <v>2.9934952996112001</v>
      </c>
      <c r="C12" s="1">
        <v>5.0217522205638998</v>
      </c>
      <c r="D12" s="1">
        <v>17.355395658174402</v>
      </c>
      <c r="E12" s="1">
        <v>6.8684908569061101</v>
      </c>
      <c r="F12" s="1">
        <v>0.69722150613130696</v>
      </c>
      <c r="G12" s="1">
        <v>0.65124174941149704</v>
      </c>
      <c r="H12" s="1">
        <v>0.273543477301601</v>
      </c>
      <c r="I12" s="1">
        <v>2.1329781721730998</v>
      </c>
      <c r="J12" s="1">
        <v>3.2806204298537001</v>
      </c>
      <c r="K12" s="7"/>
      <c r="L12" s="1">
        <v>1.7077758919043999</v>
      </c>
      <c r="M12" s="1">
        <v>19.3028214272348</v>
      </c>
      <c r="N12" s="1">
        <v>13.932926913915599</v>
      </c>
      <c r="O12" s="1">
        <v>1.1865774002509</v>
      </c>
      <c r="P12" s="1">
        <v>13.8529922998408</v>
      </c>
      <c r="Q12" s="1">
        <v>1.1171141438117</v>
      </c>
      <c r="R12" s="1">
        <v>7.0040946912004998</v>
      </c>
      <c r="S12" s="1">
        <v>8.6874405580451999</v>
      </c>
      <c r="T12" s="1">
        <v>2.1216219876547</v>
      </c>
      <c r="U12" s="1">
        <v>1.4369272472570001</v>
      </c>
      <c r="V12" s="1">
        <v>16.579358986186001</v>
      </c>
      <c r="W12" s="1">
        <v>18.1668222350261</v>
      </c>
      <c r="X12" s="1">
        <v>5.6253276945452102</v>
      </c>
      <c r="Y12" s="1">
        <v>2.9192989835944898</v>
      </c>
      <c r="Z12" s="1">
        <v>3.1727071127966902</v>
      </c>
      <c r="AA12" s="1">
        <v>3.7459052848533001</v>
      </c>
      <c r="AB12" s="1">
        <v>4.9953241414085996</v>
      </c>
      <c r="AC12" s="1">
        <v>4.3820663855538102</v>
      </c>
      <c r="AD12" s="1">
        <v>8.1739154118941002</v>
      </c>
      <c r="AE12" s="1">
        <v>5.7030117326188998</v>
      </c>
    </row>
    <row r="13" spans="1:31" x14ac:dyDescent="0.25">
      <c r="A13" s="3" t="s">
        <v>12</v>
      </c>
      <c r="B13" s="1">
        <v>4.7012711915156</v>
      </c>
      <c r="C13" s="1">
        <v>3.3139763286594999</v>
      </c>
      <c r="D13" s="1">
        <v>19.063171550078799</v>
      </c>
      <c r="E13" s="1">
        <v>8.5762667488105002</v>
      </c>
      <c r="F13" s="1">
        <v>2.4049973980356998</v>
      </c>
      <c r="G13" s="1">
        <v>1.0565341424929</v>
      </c>
      <c r="H13" s="1">
        <v>1.981319369206</v>
      </c>
      <c r="I13" s="1">
        <v>0.425202280268699</v>
      </c>
      <c r="J13" s="1">
        <v>1.5728445379492999</v>
      </c>
      <c r="K13" s="1">
        <v>1.7077758919043999</v>
      </c>
      <c r="L13" s="7"/>
      <c r="M13" s="1">
        <v>21.010597319139201</v>
      </c>
      <c r="N13" s="1">
        <v>15.64070280582</v>
      </c>
      <c r="O13" s="1">
        <v>0.52119849165349996</v>
      </c>
      <c r="P13" s="1">
        <v>15.560768191745201</v>
      </c>
      <c r="Q13" s="1">
        <v>2.8248900357161002</v>
      </c>
      <c r="R13" s="1">
        <v>8.7118705831049006</v>
      </c>
      <c r="S13" s="1">
        <v>10.395216449949601</v>
      </c>
      <c r="T13" s="1">
        <v>0.41384609575030101</v>
      </c>
      <c r="U13" s="1">
        <v>3.1447031391614</v>
      </c>
      <c r="V13" s="1">
        <v>18.287134878090399</v>
      </c>
      <c r="W13" s="1">
        <v>19.874598126930501</v>
      </c>
      <c r="X13" s="1">
        <v>7.3331035864496004</v>
      </c>
      <c r="Y13" s="1">
        <v>1.2115230916901001</v>
      </c>
      <c r="Z13" s="1">
        <v>1.4649312208923</v>
      </c>
      <c r="AA13" s="1">
        <v>5.4536811767576996</v>
      </c>
      <c r="AB13" s="1">
        <v>6.7031000333130004</v>
      </c>
      <c r="AC13" s="1">
        <v>6.0898422774582004</v>
      </c>
      <c r="AD13" s="1">
        <v>9.8816913037984992</v>
      </c>
      <c r="AE13" s="1">
        <v>7.4107876245232998</v>
      </c>
    </row>
    <row r="14" spans="1:31" x14ac:dyDescent="0.25">
      <c r="A14" s="3" t="s">
        <v>13</v>
      </c>
      <c r="B14" s="1">
        <v>16.309326127623599</v>
      </c>
      <c r="C14" s="1">
        <v>24.324573647798701</v>
      </c>
      <c r="D14" s="1">
        <v>1.9474257690604</v>
      </c>
      <c r="E14" s="1">
        <v>12.434330570328701</v>
      </c>
      <c r="F14" s="1">
        <v>18.605599921103501</v>
      </c>
      <c r="G14" s="1">
        <v>19.954063176646301</v>
      </c>
      <c r="H14" s="1">
        <v>19.029277949933199</v>
      </c>
      <c r="I14" s="1">
        <v>21.4357995994079</v>
      </c>
      <c r="J14" s="1">
        <v>22.583441857088498</v>
      </c>
      <c r="K14" s="1">
        <v>19.3028214272348</v>
      </c>
      <c r="L14" s="1">
        <v>21.010597319139201</v>
      </c>
      <c r="M14" s="7"/>
      <c r="N14" s="1">
        <v>5.3698945133192</v>
      </c>
      <c r="O14" s="1">
        <v>20.489398827485701</v>
      </c>
      <c r="P14" s="1">
        <v>5.4498291273939996</v>
      </c>
      <c r="Q14" s="1">
        <v>18.185707283423099</v>
      </c>
      <c r="R14" s="1">
        <v>12.2987267360343</v>
      </c>
      <c r="S14" s="1">
        <v>10.6153808691896</v>
      </c>
      <c r="T14" s="1">
        <v>21.424443414889499</v>
      </c>
      <c r="U14" s="1">
        <v>17.865894179977801</v>
      </c>
      <c r="V14" s="1">
        <v>2.7234624410488002</v>
      </c>
      <c r="W14" s="1">
        <v>1.1359991922087</v>
      </c>
      <c r="X14" s="1">
        <v>13.6774937326896</v>
      </c>
      <c r="Y14" s="1">
        <v>22.222120410829302</v>
      </c>
      <c r="Z14" s="1">
        <v>22.475528540031501</v>
      </c>
      <c r="AA14" s="1">
        <v>15.5569161423815</v>
      </c>
      <c r="AB14" s="1">
        <v>14.3074972858262</v>
      </c>
      <c r="AC14" s="1">
        <v>14.920755041681</v>
      </c>
      <c r="AD14" s="1">
        <v>11.1289060153407</v>
      </c>
      <c r="AE14" s="1">
        <v>13.5998096946159</v>
      </c>
    </row>
    <row r="15" spans="1:31" x14ac:dyDescent="0.25">
      <c r="A15" s="3" t="s">
        <v>14</v>
      </c>
      <c r="B15" s="1">
        <v>10.9394316143044</v>
      </c>
      <c r="C15" s="1">
        <v>18.954679134479498</v>
      </c>
      <c r="D15" s="1">
        <v>3.4224687442588002</v>
      </c>
      <c r="E15" s="1">
        <v>7.0644360570094902</v>
      </c>
      <c r="F15" s="1">
        <v>13.2357054077843</v>
      </c>
      <c r="G15" s="1">
        <v>14.5841686633271</v>
      </c>
      <c r="H15" s="1">
        <v>13.659383436614</v>
      </c>
      <c r="I15" s="1">
        <v>16.065905086088701</v>
      </c>
      <c r="J15" s="1">
        <v>17.213547343769299</v>
      </c>
      <c r="K15" s="1">
        <v>13.932926913915599</v>
      </c>
      <c r="L15" s="1">
        <v>15.64070280582</v>
      </c>
      <c r="M15" s="1">
        <v>5.3698945133192</v>
      </c>
      <c r="N15" s="7"/>
      <c r="O15" s="1">
        <v>15.1195043141665</v>
      </c>
      <c r="P15" s="1">
        <v>7.9934614074801402E-2</v>
      </c>
      <c r="Q15" s="1">
        <v>12.8158127701039</v>
      </c>
      <c r="R15" s="1">
        <v>6.9288322227150996</v>
      </c>
      <c r="S15" s="1">
        <v>5.2454863558704004</v>
      </c>
      <c r="T15" s="1">
        <v>16.0545489015703</v>
      </c>
      <c r="U15" s="1">
        <v>12.4959996666586</v>
      </c>
      <c r="V15" s="1">
        <v>2.6464320722703998</v>
      </c>
      <c r="W15" s="1">
        <v>4.2338953211105004</v>
      </c>
      <c r="X15" s="1">
        <v>8.3075992193704007</v>
      </c>
      <c r="Y15" s="1">
        <v>16.852225897510099</v>
      </c>
      <c r="Z15" s="1">
        <v>17.105634026712298</v>
      </c>
      <c r="AA15" s="1">
        <v>10.187021629062301</v>
      </c>
      <c r="AB15" s="1">
        <v>8.9376027725070006</v>
      </c>
      <c r="AC15" s="1">
        <v>9.5508605283618007</v>
      </c>
      <c r="AD15" s="1">
        <v>5.7590115020215</v>
      </c>
      <c r="AE15" s="1">
        <v>8.2299151812967004</v>
      </c>
    </row>
    <row r="16" spans="1:31" x14ac:dyDescent="0.25">
      <c r="A16" s="3" t="s">
        <v>15</v>
      </c>
      <c r="B16" s="1">
        <v>4.1800726998620998</v>
      </c>
      <c r="C16" s="1">
        <v>3.8351748203130001</v>
      </c>
      <c r="D16" s="1">
        <v>18.541973058425299</v>
      </c>
      <c r="E16" s="1">
        <v>8.055068257157</v>
      </c>
      <c r="F16" s="1">
        <v>1.8837989063822</v>
      </c>
      <c r="G16" s="1">
        <v>0.53533565083940005</v>
      </c>
      <c r="H16" s="1">
        <v>1.4601208775525001</v>
      </c>
      <c r="I16" s="1">
        <v>0.94640077192219996</v>
      </c>
      <c r="J16" s="1">
        <v>2.0940430296027999</v>
      </c>
      <c r="K16" s="1">
        <v>1.1865774002509</v>
      </c>
      <c r="L16" s="1">
        <v>0.52119849165349996</v>
      </c>
      <c r="M16" s="1">
        <v>20.489398827485701</v>
      </c>
      <c r="N16" s="1">
        <v>15.1195043141665</v>
      </c>
      <c r="O16" s="7"/>
      <c r="P16" s="1">
        <v>15.0395697000917</v>
      </c>
      <c r="Q16" s="1">
        <v>2.3036915440626</v>
      </c>
      <c r="R16" s="1">
        <v>8.1906720914514004</v>
      </c>
      <c r="S16" s="1">
        <v>9.8740179582961005</v>
      </c>
      <c r="T16" s="1">
        <v>0.93504458740380203</v>
      </c>
      <c r="U16" s="1">
        <v>2.6235046475078998</v>
      </c>
      <c r="V16" s="1">
        <v>17.765936386436898</v>
      </c>
      <c r="W16" s="1">
        <v>19.353399635277</v>
      </c>
      <c r="X16" s="1">
        <v>6.8119050947961002</v>
      </c>
      <c r="Y16" s="1">
        <v>1.7327215833436</v>
      </c>
      <c r="Z16" s="1">
        <v>1.9861297125458</v>
      </c>
      <c r="AA16" s="1">
        <v>4.9324826851042003</v>
      </c>
      <c r="AB16" s="1">
        <v>6.1819015416595002</v>
      </c>
      <c r="AC16" s="1">
        <v>5.5686437858047002</v>
      </c>
      <c r="AD16" s="1">
        <v>9.3604928121450008</v>
      </c>
      <c r="AE16" s="1">
        <v>6.8895891328697996</v>
      </c>
    </row>
    <row r="17" spans="1:31" x14ac:dyDescent="0.25">
      <c r="A17" s="3" t="s">
        <v>16</v>
      </c>
      <c r="B17" s="1">
        <v>10.859497000229601</v>
      </c>
      <c r="C17" s="1">
        <v>18.8747445204047</v>
      </c>
      <c r="D17" s="1">
        <v>3.5024033583335998</v>
      </c>
      <c r="E17" s="1">
        <v>6.9845014429346897</v>
      </c>
      <c r="F17" s="1">
        <v>13.1557707937095</v>
      </c>
      <c r="G17" s="1">
        <v>14.5042340492523</v>
      </c>
      <c r="H17" s="1">
        <v>13.5794488225392</v>
      </c>
      <c r="I17" s="1">
        <v>15.9859704720139</v>
      </c>
      <c r="J17" s="1">
        <v>17.133612729694502</v>
      </c>
      <c r="K17" s="1">
        <v>13.8529922998408</v>
      </c>
      <c r="L17" s="1">
        <v>15.560768191745201</v>
      </c>
      <c r="M17" s="1">
        <v>5.4498291273939996</v>
      </c>
      <c r="N17" s="1">
        <v>7.9934614074801402E-2</v>
      </c>
      <c r="O17" s="1">
        <v>15.0395697000917</v>
      </c>
      <c r="P17" s="7"/>
      <c r="Q17" s="1">
        <v>12.7358781560291</v>
      </c>
      <c r="R17" s="1">
        <v>6.8488976086402999</v>
      </c>
      <c r="S17" s="1">
        <v>5.1655517417955998</v>
      </c>
      <c r="T17" s="1">
        <v>15.9746142874955</v>
      </c>
      <c r="U17" s="1">
        <v>12.4160650525838</v>
      </c>
      <c r="V17" s="1">
        <v>2.7263666863451999</v>
      </c>
      <c r="W17" s="1">
        <v>4.3138299351853</v>
      </c>
      <c r="X17" s="1">
        <v>8.2276646052955904</v>
      </c>
      <c r="Y17" s="1">
        <v>16.772291283435301</v>
      </c>
      <c r="Z17" s="1">
        <v>17.025699412637501</v>
      </c>
      <c r="AA17" s="1">
        <v>10.107087014987499</v>
      </c>
      <c r="AB17" s="1">
        <v>8.8576681584321992</v>
      </c>
      <c r="AC17" s="1">
        <v>9.4709259142869904</v>
      </c>
      <c r="AD17" s="1">
        <v>5.6790768879467004</v>
      </c>
      <c r="AE17" s="1">
        <v>8.1499805672219008</v>
      </c>
    </row>
    <row r="18" spans="1:31" x14ac:dyDescent="0.25">
      <c r="A18" s="3" t="s">
        <v>17</v>
      </c>
      <c r="B18" s="1">
        <v>1.8763811557995</v>
      </c>
      <c r="C18" s="1">
        <v>6.1388663643756001</v>
      </c>
      <c r="D18" s="1">
        <v>16.238281514362701</v>
      </c>
      <c r="E18" s="1">
        <v>5.7513767130944</v>
      </c>
      <c r="F18" s="1">
        <v>0.41989263768039797</v>
      </c>
      <c r="G18" s="1">
        <v>1.7683558932232</v>
      </c>
      <c r="H18" s="1">
        <v>0.84357066651010404</v>
      </c>
      <c r="I18" s="1">
        <v>3.2500923159848001</v>
      </c>
      <c r="J18" s="1">
        <v>4.3977345736654003</v>
      </c>
      <c r="K18" s="1">
        <v>1.1171141438117</v>
      </c>
      <c r="L18" s="1">
        <v>2.8248900357161002</v>
      </c>
      <c r="M18" s="1">
        <v>18.185707283423099</v>
      </c>
      <c r="N18" s="1">
        <v>12.8158127701039</v>
      </c>
      <c r="O18" s="1">
        <v>2.3036915440626</v>
      </c>
      <c r="P18" s="1">
        <v>12.7358781560291</v>
      </c>
      <c r="Q18" s="7"/>
      <c r="R18" s="1">
        <v>5.8869805473888004</v>
      </c>
      <c r="S18" s="1">
        <v>7.5703264142334996</v>
      </c>
      <c r="T18" s="1">
        <v>3.2387361314663998</v>
      </c>
      <c r="U18" s="1">
        <v>0.31981310344529801</v>
      </c>
      <c r="V18" s="1">
        <v>15.4622448423743</v>
      </c>
      <c r="W18" s="1">
        <v>17.049708091214399</v>
      </c>
      <c r="X18" s="1">
        <v>4.5082135507335002</v>
      </c>
      <c r="Y18" s="1">
        <v>4.0364131274061998</v>
      </c>
      <c r="Z18" s="1">
        <v>4.2898212566084002</v>
      </c>
      <c r="AA18" s="1">
        <v>2.6287911410415998</v>
      </c>
      <c r="AB18" s="1">
        <v>3.8782099975969002</v>
      </c>
      <c r="AC18" s="1">
        <v>3.2649522417421002</v>
      </c>
      <c r="AD18" s="1">
        <v>7.0568012680823999</v>
      </c>
      <c r="AE18" s="1">
        <v>4.5858975888072004</v>
      </c>
    </row>
    <row r="19" spans="1:31" x14ac:dyDescent="0.25">
      <c r="A19" s="3" t="s">
        <v>18</v>
      </c>
      <c r="B19" s="1">
        <v>4.0105993915892997</v>
      </c>
      <c r="C19" s="1">
        <v>12.0258469117644</v>
      </c>
      <c r="D19" s="1">
        <v>10.3513009669739</v>
      </c>
      <c r="E19" s="1">
        <v>0.13560383429439299</v>
      </c>
      <c r="F19" s="1">
        <v>6.3068731850691897</v>
      </c>
      <c r="G19" s="1">
        <v>7.6553364406120004</v>
      </c>
      <c r="H19" s="1">
        <v>6.7305512138988997</v>
      </c>
      <c r="I19" s="1">
        <v>9.1370728633736</v>
      </c>
      <c r="J19" s="1">
        <v>10.2847151210542</v>
      </c>
      <c r="K19" s="1">
        <v>7.0040946912004998</v>
      </c>
      <c r="L19" s="1">
        <v>8.7118705831049006</v>
      </c>
      <c r="M19" s="1">
        <v>12.2987267360343</v>
      </c>
      <c r="N19" s="1">
        <v>6.9288322227150996</v>
      </c>
      <c r="O19" s="1">
        <v>8.1906720914514004</v>
      </c>
      <c r="P19" s="1">
        <v>6.8488976086402999</v>
      </c>
      <c r="Q19" s="1">
        <v>5.8869805473888004</v>
      </c>
      <c r="R19" s="7"/>
      <c r="S19" s="1">
        <v>1.6833458668446999</v>
      </c>
      <c r="T19" s="1">
        <v>9.1257166788552002</v>
      </c>
      <c r="U19" s="1">
        <v>5.5671674439435002</v>
      </c>
      <c r="V19" s="1">
        <v>9.5752642949854998</v>
      </c>
      <c r="W19" s="1">
        <v>11.1627275438256</v>
      </c>
      <c r="X19" s="1">
        <v>1.37876699665529</v>
      </c>
      <c r="Y19" s="1">
        <v>9.9233936747949905</v>
      </c>
      <c r="Z19" s="1">
        <v>10.176801803997201</v>
      </c>
      <c r="AA19" s="1">
        <v>3.2581894063472001</v>
      </c>
      <c r="AB19" s="1">
        <v>2.0087705497919002</v>
      </c>
      <c r="AC19" s="1">
        <v>2.62202830564669</v>
      </c>
      <c r="AD19" s="1">
        <v>1.1698207206936</v>
      </c>
      <c r="AE19" s="1">
        <v>1.3010829585815999</v>
      </c>
    </row>
    <row r="20" spans="1:31" x14ac:dyDescent="0.25">
      <c r="A20" s="3" t="s">
        <v>19</v>
      </c>
      <c r="B20" s="1">
        <v>5.6939452584339998</v>
      </c>
      <c r="C20" s="1">
        <v>13.709192778609101</v>
      </c>
      <c r="D20" s="1">
        <v>8.6679551001292001</v>
      </c>
      <c r="E20" s="1">
        <v>1.8189497011391</v>
      </c>
      <c r="F20" s="1">
        <v>7.9902190519138996</v>
      </c>
      <c r="G20" s="1">
        <v>9.3386823074567005</v>
      </c>
      <c r="H20" s="1">
        <v>8.4138970807436007</v>
      </c>
      <c r="I20" s="1">
        <v>10.8204187302183</v>
      </c>
      <c r="J20" s="1">
        <v>11.9680609878989</v>
      </c>
      <c r="K20" s="1">
        <v>8.6874405580451999</v>
      </c>
      <c r="L20" s="1">
        <v>10.395216449949601</v>
      </c>
      <c r="M20" s="1">
        <v>10.6153808691896</v>
      </c>
      <c r="N20" s="1">
        <v>5.2454863558704004</v>
      </c>
      <c r="O20" s="1">
        <v>9.8740179582961005</v>
      </c>
      <c r="P20" s="1">
        <v>5.1655517417955998</v>
      </c>
      <c r="Q20" s="1">
        <v>7.5703264142334996</v>
      </c>
      <c r="R20" s="1">
        <v>1.6833458668446999</v>
      </c>
      <c r="S20" s="7"/>
      <c r="T20" s="1">
        <v>10.8090625456999</v>
      </c>
      <c r="U20" s="1">
        <v>7.2505133107882003</v>
      </c>
      <c r="V20" s="1">
        <v>7.8919184281407997</v>
      </c>
      <c r="W20" s="1">
        <v>9.4793816769808998</v>
      </c>
      <c r="X20" s="1">
        <v>3.0621128634999999</v>
      </c>
      <c r="Y20" s="1">
        <v>11.606739541639699</v>
      </c>
      <c r="Z20" s="1">
        <v>11.860147670841901</v>
      </c>
      <c r="AA20" s="1">
        <v>4.9415352731919002</v>
      </c>
      <c r="AB20" s="1">
        <v>3.6921164166365998</v>
      </c>
      <c r="AC20" s="1">
        <v>4.3053741724914003</v>
      </c>
      <c r="AD20" s="1">
        <v>0.51352514615110301</v>
      </c>
      <c r="AE20" s="1">
        <v>2.9844288254263001</v>
      </c>
    </row>
    <row r="21" spans="1:31" x14ac:dyDescent="0.25">
      <c r="A21" s="3" t="s">
        <v>20</v>
      </c>
      <c r="B21" s="1">
        <v>5.1151172872658996</v>
      </c>
      <c r="C21" s="1">
        <v>2.9001302329091998</v>
      </c>
      <c r="D21" s="1">
        <v>19.4770176458291</v>
      </c>
      <c r="E21" s="1">
        <v>8.9901128445608105</v>
      </c>
      <c r="F21" s="1">
        <v>2.8188434937860101</v>
      </c>
      <c r="G21" s="1">
        <v>1.4703802382432001</v>
      </c>
      <c r="H21" s="1">
        <v>2.3951654649563001</v>
      </c>
      <c r="I21" s="1">
        <v>1.1356184518398E-2</v>
      </c>
      <c r="J21" s="1">
        <v>1.1589984421990001</v>
      </c>
      <c r="K21" s="1">
        <v>2.1216219876547</v>
      </c>
      <c r="L21" s="1">
        <v>0.41384609575030101</v>
      </c>
      <c r="M21" s="1">
        <v>21.424443414889499</v>
      </c>
      <c r="N21" s="1">
        <v>16.0545489015703</v>
      </c>
      <c r="O21" s="1">
        <v>0.93504458740380203</v>
      </c>
      <c r="P21" s="1">
        <v>15.9746142874955</v>
      </c>
      <c r="Q21" s="1">
        <v>3.2387361314663998</v>
      </c>
      <c r="R21" s="1">
        <v>9.1257166788552002</v>
      </c>
      <c r="S21" s="1">
        <v>10.8090625456999</v>
      </c>
      <c r="T21" s="7"/>
      <c r="U21" s="1">
        <v>3.5585492349117001</v>
      </c>
      <c r="V21" s="1">
        <v>18.7009809738407</v>
      </c>
      <c r="W21" s="1">
        <v>20.288444222680798</v>
      </c>
      <c r="X21" s="1">
        <v>7.7469496821999</v>
      </c>
      <c r="Y21" s="1">
        <v>0.79767699593979602</v>
      </c>
      <c r="Z21" s="1">
        <v>1.0510851251419999</v>
      </c>
      <c r="AA21" s="1">
        <v>5.8675272725080001</v>
      </c>
      <c r="AB21" s="1">
        <v>7.1169461290633</v>
      </c>
      <c r="AC21" s="1">
        <v>6.5036883732085</v>
      </c>
      <c r="AD21" s="1">
        <v>10.295537399548801</v>
      </c>
      <c r="AE21" s="1">
        <v>7.8246337202736003</v>
      </c>
    </row>
    <row r="22" spans="1:31" x14ac:dyDescent="0.25">
      <c r="A22" s="3" t="s">
        <v>21</v>
      </c>
      <c r="B22" s="1">
        <v>1.5565680523542</v>
      </c>
      <c r="C22" s="1">
        <v>6.4586794678209003</v>
      </c>
      <c r="D22" s="1">
        <v>15.9184684109174</v>
      </c>
      <c r="E22" s="1">
        <v>5.4315636096490998</v>
      </c>
      <c r="F22" s="1">
        <v>0.73970574112569698</v>
      </c>
      <c r="G22" s="1">
        <v>2.0881689966685002</v>
      </c>
      <c r="H22" s="1">
        <v>1.1633837699553999</v>
      </c>
      <c r="I22" s="1">
        <v>3.5699054194300999</v>
      </c>
      <c r="J22" s="1">
        <v>4.7175476771106997</v>
      </c>
      <c r="K22" s="1">
        <v>1.4369272472570001</v>
      </c>
      <c r="L22" s="1">
        <v>3.1447031391614</v>
      </c>
      <c r="M22" s="1">
        <v>17.865894179977801</v>
      </c>
      <c r="N22" s="1">
        <v>12.4959996666586</v>
      </c>
      <c r="O22" s="1">
        <v>2.6235046475078998</v>
      </c>
      <c r="P22" s="1">
        <v>12.4160650525838</v>
      </c>
      <c r="Q22" s="1">
        <v>0.31981310344529801</v>
      </c>
      <c r="R22" s="1">
        <v>5.5671674439435002</v>
      </c>
      <c r="S22" s="1">
        <v>7.2505133107882003</v>
      </c>
      <c r="T22" s="1">
        <v>3.5585492349117001</v>
      </c>
      <c r="U22" s="7"/>
      <c r="V22" s="1">
        <v>15.142431738929</v>
      </c>
      <c r="W22" s="1">
        <v>16.7298949877691</v>
      </c>
      <c r="X22" s="1">
        <v>4.1884004472881999</v>
      </c>
      <c r="Y22" s="1">
        <v>4.3562262308515001</v>
      </c>
      <c r="Z22" s="1">
        <v>4.6096343600537004</v>
      </c>
      <c r="AA22" s="1">
        <v>2.3089780375963</v>
      </c>
      <c r="AB22" s="1">
        <v>3.5583968941516</v>
      </c>
      <c r="AC22" s="1">
        <v>2.9451391382968</v>
      </c>
      <c r="AD22" s="1">
        <v>6.7369881646370997</v>
      </c>
      <c r="AE22" s="1">
        <v>4.2660844853619002</v>
      </c>
    </row>
    <row r="23" spans="1:31" x14ac:dyDescent="0.25">
      <c r="A23" s="3" t="s">
        <v>22</v>
      </c>
      <c r="B23" s="1">
        <v>13.5858636865748</v>
      </c>
      <c r="C23" s="1">
        <v>21.601111206749898</v>
      </c>
      <c r="D23" s="1">
        <v>0.77603667198839998</v>
      </c>
      <c r="E23" s="1">
        <v>9.7108681292798895</v>
      </c>
      <c r="F23" s="1">
        <v>15.8821374800547</v>
      </c>
      <c r="G23" s="1">
        <v>17.230600735597498</v>
      </c>
      <c r="H23" s="1">
        <v>16.3058155088844</v>
      </c>
      <c r="I23" s="1">
        <v>18.712337158359102</v>
      </c>
      <c r="J23" s="1">
        <v>19.8599794160397</v>
      </c>
      <c r="K23" s="1">
        <v>16.579358986186001</v>
      </c>
      <c r="L23" s="1">
        <v>18.287134878090399</v>
      </c>
      <c r="M23" s="1">
        <v>2.7234624410488002</v>
      </c>
      <c r="N23" s="1">
        <v>2.6464320722703998</v>
      </c>
      <c r="O23" s="1">
        <v>17.765936386436898</v>
      </c>
      <c r="P23" s="1">
        <v>2.7263666863451999</v>
      </c>
      <c r="Q23" s="1">
        <v>15.4622448423743</v>
      </c>
      <c r="R23" s="1">
        <v>9.5752642949854998</v>
      </c>
      <c r="S23" s="1">
        <v>7.8919184281407997</v>
      </c>
      <c r="T23" s="1">
        <v>18.7009809738407</v>
      </c>
      <c r="U23" s="1">
        <v>15.142431738929</v>
      </c>
      <c r="V23" s="7"/>
      <c r="W23" s="1">
        <v>1.5874632488400999</v>
      </c>
      <c r="X23" s="1">
        <v>10.954031291640799</v>
      </c>
      <c r="Y23" s="1">
        <v>19.498657969780499</v>
      </c>
      <c r="Z23" s="1">
        <v>19.752066098982699</v>
      </c>
      <c r="AA23" s="1">
        <v>12.833453701332701</v>
      </c>
      <c r="AB23" s="1">
        <v>11.584034844777401</v>
      </c>
      <c r="AC23" s="1">
        <v>12.197292600632201</v>
      </c>
      <c r="AD23" s="1">
        <v>8.4054435742918994</v>
      </c>
      <c r="AE23" s="1">
        <v>10.876347253567101</v>
      </c>
    </row>
    <row r="24" spans="1:31" x14ac:dyDescent="0.25">
      <c r="A24" s="3" t="s">
        <v>23</v>
      </c>
      <c r="B24" s="1">
        <v>15.173326935414901</v>
      </c>
      <c r="C24" s="1">
        <v>23.18857445559</v>
      </c>
      <c r="D24" s="1">
        <v>0.81142657685170105</v>
      </c>
      <c r="E24" s="1">
        <v>11.29833137812</v>
      </c>
      <c r="F24" s="1">
        <v>17.4696007288948</v>
      </c>
      <c r="G24" s="1">
        <v>18.8180639844376</v>
      </c>
      <c r="H24" s="1">
        <v>17.893278757724499</v>
      </c>
      <c r="I24" s="1">
        <v>20.2998004071992</v>
      </c>
      <c r="J24" s="1">
        <v>21.447442664879802</v>
      </c>
      <c r="K24" s="1">
        <v>18.1668222350261</v>
      </c>
      <c r="L24" s="1">
        <v>19.874598126930501</v>
      </c>
      <c r="M24" s="1">
        <v>1.1359991922087</v>
      </c>
      <c r="N24" s="1">
        <v>4.2338953211105004</v>
      </c>
      <c r="O24" s="1">
        <v>19.353399635277</v>
      </c>
      <c r="P24" s="1">
        <v>4.3138299351853</v>
      </c>
      <c r="Q24" s="1">
        <v>17.049708091214399</v>
      </c>
      <c r="R24" s="1">
        <v>11.1627275438256</v>
      </c>
      <c r="S24" s="1">
        <v>9.4793816769808998</v>
      </c>
      <c r="T24" s="1">
        <v>20.288444222680798</v>
      </c>
      <c r="U24" s="1">
        <v>16.7298949877691</v>
      </c>
      <c r="V24" s="1">
        <v>1.5874632488400999</v>
      </c>
      <c r="W24" s="7"/>
      <c r="X24" s="1">
        <v>12.541494540480899</v>
      </c>
      <c r="Y24" s="1">
        <v>21.086121218620601</v>
      </c>
      <c r="Z24" s="1">
        <v>21.339529347822801</v>
      </c>
      <c r="AA24" s="1">
        <v>14.420916950172799</v>
      </c>
      <c r="AB24" s="1">
        <v>13.171498093617499</v>
      </c>
      <c r="AC24" s="1">
        <v>13.784755849472299</v>
      </c>
      <c r="AD24" s="1">
        <v>9.9929068231319995</v>
      </c>
      <c r="AE24" s="1">
        <v>12.463810502407201</v>
      </c>
    </row>
    <row r="25" spans="1:31" x14ac:dyDescent="0.25">
      <c r="A25" s="3" t="s">
        <v>24</v>
      </c>
      <c r="B25" s="1">
        <v>2.6318323949339999</v>
      </c>
      <c r="C25" s="1">
        <v>10.647079915109099</v>
      </c>
      <c r="D25" s="1">
        <v>11.7300679636292</v>
      </c>
      <c r="E25" s="1">
        <v>1.2431631623609001</v>
      </c>
      <c r="F25" s="1">
        <v>4.9281061884139001</v>
      </c>
      <c r="G25" s="1">
        <v>6.2765694439567001</v>
      </c>
      <c r="H25" s="1">
        <v>5.3517842172436003</v>
      </c>
      <c r="I25" s="1">
        <v>7.7583058667182998</v>
      </c>
      <c r="J25" s="1">
        <v>8.9059481243989005</v>
      </c>
      <c r="K25" s="1">
        <v>5.6253276945452102</v>
      </c>
      <c r="L25" s="1">
        <v>7.3331035864496004</v>
      </c>
      <c r="M25" s="1">
        <v>13.6774937326896</v>
      </c>
      <c r="N25" s="1">
        <v>8.3075992193704007</v>
      </c>
      <c r="O25" s="1">
        <v>6.8119050947961002</v>
      </c>
      <c r="P25" s="1">
        <v>8.2276646052955904</v>
      </c>
      <c r="Q25" s="1">
        <v>4.5082135507335002</v>
      </c>
      <c r="R25" s="1">
        <v>1.37876699665529</v>
      </c>
      <c r="S25" s="1">
        <v>3.0621128634999999</v>
      </c>
      <c r="T25" s="1">
        <v>7.7469496821999</v>
      </c>
      <c r="U25" s="1">
        <v>4.1884004472881999</v>
      </c>
      <c r="V25" s="1">
        <v>10.954031291640799</v>
      </c>
      <c r="W25" s="1">
        <v>12.541494540480899</v>
      </c>
      <c r="X25" s="7"/>
      <c r="Y25" s="1">
        <v>8.5446266781397</v>
      </c>
      <c r="Z25" s="1">
        <v>8.7980348073418995</v>
      </c>
      <c r="AA25" s="1">
        <v>1.8794224096919101</v>
      </c>
      <c r="AB25" s="1">
        <v>0.63000355313660295</v>
      </c>
      <c r="AC25" s="1">
        <v>1.2432613089914</v>
      </c>
      <c r="AD25" s="1">
        <v>2.54858771734889</v>
      </c>
      <c r="AE25" s="1">
        <v>7.7684038073698503E-2</v>
      </c>
    </row>
    <row r="26" spans="1:31" x14ac:dyDescent="0.25">
      <c r="A26" s="3" t="s">
        <v>25</v>
      </c>
      <c r="B26" s="1">
        <v>5.9127942832056997</v>
      </c>
      <c r="C26" s="1">
        <v>2.1024532369693998</v>
      </c>
      <c r="D26" s="1">
        <v>20.2746946417689</v>
      </c>
      <c r="E26" s="1">
        <v>9.7877898405006007</v>
      </c>
      <c r="F26" s="1">
        <v>3.6165204897257999</v>
      </c>
      <c r="G26" s="1">
        <v>2.2680572341829999</v>
      </c>
      <c r="H26" s="1">
        <v>3.1928424608961001</v>
      </c>
      <c r="I26" s="1">
        <v>0.78632081142139798</v>
      </c>
      <c r="J26" s="1">
        <v>0.36132144625920398</v>
      </c>
      <c r="K26" s="1">
        <v>2.9192989835944898</v>
      </c>
      <c r="L26" s="1">
        <v>1.2115230916901001</v>
      </c>
      <c r="M26" s="1">
        <v>22.222120410829302</v>
      </c>
      <c r="N26" s="1">
        <v>16.852225897510099</v>
      </c>
      <c r="O26" s="1">
        <v>1.7327215833436</v>
      </c>
      <c r="P26" s="1">
        <v>16.772291283435301</v>
      </c>
      <c r="Q26" s="1">
        <v>4.0364131274061998</v>
      </c>
      <c r="R26" s="1">
        <v>9.9233936747949905</v>
      </c>
      <c r="S26" s="1">
        <v>11.606739541639699</v>
      </c>
      <c r="T26" s="1">
        <v>0.79767699593979602</v>
      </c>
      <c r="U26" s="1">
        <v>4.3562262308515001</v>
      </c>
      <c r="V26" s="1">
        <v>19.498657969780499</v>
      </c>
      <c r="W26" s="1">
        <v>21.086121218620601</v>
      </c>
      <c r="X26" s="1">
        <v>8.5446266781397</v>
      </c>
      <c r="Y26" s="7"/>
      <c r="Z26" s="1">
        <v>0.25340812920219902</v>
      </c>
      <c r="AA26" s="1">
        <v>6.6652042684477903</v>
      </c>
      <c r="AB26" s="1">
        <v>7.9146231250031001</v>
      </c>
      <c r="AC26" s="1">
        <v>7.3013653691483</v>
      </c>
      <c r="AD26" s="1">
        <v>11.0932143954886</v>
      </c>
      <c r="AE26" s="1">
        <v>8.6223107162134003</v>
      </c>
    </row>
    <row r="27" spans="1:31" x14ac:dyDescent="0.25">
      <c r="A27" s="3" t="s">
        <v>26</v>
      </c>
      <c r="B27" s="1">
        <v>6.1662024124079</v>
      </c>
      <c r="C27" s="1">
        <v>1.8490451077672001</v>
      </c>
      <c r="D27" s="1">
        <v>20.528102770971099</v>
      </c>
      <c r="E27" s="1">
        <v>10.0411979697028</v>
      </c>
      <c r="F27" s="1">
        <v>3.8699286189280002</v>
      </c>
      <c r="G27" s="1">
        <v>2.5214653633852002</v>
      </c>
      <c r="H27" s="1">
        <v>3.4462505900982898</v>
      </c>
      <c r="I27" s="1">
        <v>1.0397289406236001</v>
      </c>
      <c r="J27" s="1">
        <v>0.10791331705700501</v>
      </c>
      <c r="K27" s="1">
        <v>3.1727071127966902</v>
      </c>
      <c r="L27" s="1">
        <v>1.4649312208923</v>
      </c>
      <c r="M27" s="1">
        <v>22.475528540031501</v>
      </c>
      <c r="N27" s="1">
        <v>17.105634026712298</v>
      </c>
      <c r="O27" s="1">
        <v>1.9861297125458</v>
      </c>
      <c r="P27" s="1">
        <v>17.025699412637501</v>
      </c>
      <c r="Q27" s="1">
        <v>4.2898212566084002</v>
      </c>
      <c r="R27" s="1">
        <v>10.176801803997201</v>
      </c>
      <c r="S27" s="1">
        <v>11.860147670841901</v>
      </c>
      <c r="T27" s="1">
        <v>1.0510851251419999</v>
      </c>
      <c r="U27" s="1">
        <v>4.6096343600537004</v>
      </c>
      <c r="V27" s="1">
        <v>19.752066098982699</v>
      </c>
      <c r="W27" s="1">
        <v>21.339529347822801</v>
      </c>
      <c r="X27" s="1">
        <v>8.7980348073418995</v>
      </c>
      <c r="Y27" s="1">
        <v>0.25340812920219902</v>
      </c>
      <c r="Z27" s="7"/>
      <c r="AA27" s="1">
        <v>6.9186123976499898</v>
      </c>
      <c r="AB27" s="1">
        <v>8.1680312542052995</v>
      </c>
      <c r="AC27" s="1">
        <v>7.5547734983505004</v>
      </c>
      <c r="AD27" s="1">
        <v>11.346622524690799</v>
      </c>
      <c r="AE27" s="1">
        <v>8.8757188454155997</v>
      </c>
    </row>
    <row r="28" spans="1:31" x14ac:dyDescent="0.25">
      <c r="A28" s="3" t="s">
        <v>27</v>
      </c>
      <c r="B28" s="1">
        <v>0.75240998524209601</v>
      </c>
      <c r="C28" s="1">
        <v>8.7676575054171995</v>
      </c>
      <c r="D28" s="1">
        <v>13.609490373321099</v>
      </c>
      <c r="E28" s="1">
        <v>3.12258557205281</v>
      </c>
      <c r="F28" s="1">
        <v>3.04868377872199</v>
      </c>
      <c r="G28" s="1">
        <v>4.3971470342648002</v>
      </c>
      <c r="H28" s="1">
        <v>3.4723618075517</v>
      </c>
      <c r="I28" s="1">
        <v>5.8788834570263999</v>
      </c>
      <c r="J28" s="1">
        <v>7.0265257147069997</v>
      </c>
      <c r="K28" s="1">
        <v>3.7459052848533001</v>
      </c>
      <c r="L28" s="1">
        <v>5.4536811767576996</v>
      </c>
      <c r="M28" s="1">
        <v>15.5569161423815</v>
      </c>
      <c r="N28" s="1">
        <v>10.187021629062301</v>
      </c>
      <c r="O28" s="1">
        <v>4.9324826851042003</v>
      </c>
      <c r="P28" s="1">
        <v>10.107087014987499</v>
      </c>
      <c r="Q28" s="1">
        <v>2.6287911410415998</v>
      </c>
      <c r="R28" s="1">
        <v>3.2581894063472001</v>
      </c>
      <c r="S28" s="1">
        <v>4.9415352731919002</v>
      </c>
      <c r="T28" s="1">
        <v>5.8675272725080001</v>
      </c>
      <c r="U28" s="1">
        <v>2.3089780375963</v>
      </c>
      <c r="V28" s="1">
        <v>12.833453701332701</v>
      </c>
      <c r="W28" s="1">
        <v>14.420916950172799</v>
      </c>
      <c r="X28" s="1">
        <v>1.8794224096919101</v>
      </c>
      <c r="Y28" s="1">
        <v>6.6652042684477903</v>
      </c>
      <c r="Z28" s="1">
        <v>6.9186123976499898</v>
      </c>
      <c r="AA28" s="7"/>
      <c r="AB28" s="1">
        <v>1.2494188565552999</v>
      </c>
      <c r="AC28" s="1">
        <v>0.63616110070050502</v>
      </c>
      <c r="AD28" s="1">
        <v>4.4280101270407997</v>
      </c>
      <c r="AE28" s="1">
        <v>1.9571064477655999</v>
      </c>
    </row>
    <row r="29" spans="1:31" x14ac:dyDescent="0.25">
      <c r="A29" s="3" t="s">
        <v>28</v>
      </c>
      <c r="B29" s="1">
        <v>2.0018288417973999</v>
      </c>
      <c r="C29" s="1">
        <v>10.017076361972499</v>
      </c>
      <c r="D29" s="1">
        <v>12.3600715167658</v>
      </c>
      <c r="E29" s="1">
        <v>1.8731667154975</v>
      </c>
      <c r="F29" s="1">
        <v>4.2981026352773002</v>
      </c>
      <c r="G29" s="1">
        <v>5.6465658908201002</v>
      </c>
      <c r="H29" s="1">
        <v>4.7217806641070004</v>
      </c>
      <c r="I29" s="1">
        <v>7.1283023135816999</v>
      </c>
      <c r="J29" s="1">
        <v>8.2759445712623005</v>
      </c>
      <c r="K29" s="1">
        <v>4.9953241414085996</v>
      </c>
      <c r="L29" s="1">
        <v>6.7031000333130004</v>
      </c>
      <c r="M29" s="1">
        <v>14.3074972858262</v>
      </c>
      <c r="N29" s="1">
        <v>8.9376027725070006</v>
      </c>
      <c r="O29" s="1">
        <v>6.1819015416595002</v>
      </c>
      <c r="P29" s="1">
        <v>8.8576681584321992</v>
      </c>
      <c r="Q29" s="1">
        <v>3.8782099975969002</v>
      </c>
      <c r="R29" s="1">
        <v>2.0087705497919002</v>
      </c>
      <c r="S29" s="1">
        <v>3.6921164166365998</v>
      </c>
      <c r="T29" s="1">
        <v>7.1169461290633</v>
      </c>
      <c r="U29" s="1">
        <v>3.5583968941516</v>
      </c>
      <c r="V29" s="1">
        <v>11.584034844777401</v>
      </c>
      <c r="W29" s="1">
        <v>13.171498093617499</v>
      </c>
      <c r="X29" s="1">
        <v>0.63000355313660295</v>
      </c>
      <c r="Y29" s="1">
        <v>7.9146231250031001</v>
      </c>
      <c r="Z29" s="1">
        <v>8.1680312542052995</v>
      </c>
      <c r="AA29" s="1">
        <v>1.2494188565552999</v>
      </c>
      <c r="AB29" s="7"/>
      <c r="AC29" s="1">
        <v>0.61325775585479603</v>
      </c>
      <c r="AD29" s="1">
        <v>3.1785912704855002</v>
      </c>
      <c r="AE29" s="1">
        <v>0.707687591210302</v>
      </c>
    </row>
    <row r="30" spans="1:31" x14ac:dyDescent="0.25">
      <c r="A30" s="3" t="s">
        <v>29</v>
      </c>
      <c r="B30" s="1">
        <v>1.3885710859425999</v>
      </c>
      <c r="C30" s="1">
        <v>9.4038186061176994</v>
      </c>
      <c r="D30" s="1">
        <v>12.9733292726206</v>
      </c>
      <c r="E30" s="1">
        <v>2.4864244713522998</v>
      </c>
      <c r="F30" s="1">
        <v>3.6848448794225002</v>
      </c>
      <c r="G30" s="1">
        <v>5.0333081349653002</v>
      </c>
      <c r="H30" s="1">
        <v>4.1085229082522003</v>
      </c>
      <c r="I30" s="1">
        <v>6.5150445577268998</v>
      </c>
      <c r="J30" s="1">
        <v>7.6626868154074996</v>
      </c>
      <c r="K30" s="1">
        <v>4.3820663855538102</v>
      </c>
      <c r="L30" s="1">
        <v>6.0898422774582004</v>
      </c>
      <c r="M30" s="1">
        <v>14.920755041681</v>
      </c>
      <c r="N30" s="1">
        <v>9.5508605283618007</v>
      </c>
      <c r="O30" s="1">
        <v>5.5686437858047002</v>
      </c>
      <c r="P30" s="1">
        <v>9.4709259142869904</v>
      </c>
      <c r="Q30" s="1">
        <v>3.2649522417421002</v>
      </c>
      <c r="R30" s="1">
        <v>2.62202830564669</v>
      </c>
      <c r="S30" s="1">
        <v>4.3053741724914003</v>
      </c>
      <c r="T30" s="1">
        <v>6.5036883732085</v>
      </c>
      <c r="U30" s="1">
        <v>2.9451391382968</v>
      </c>
      <c r="V30" s="1">
        <v>12.197292600632201</v>
      </c>
      <c r="W30" s="1">
        <v>13.784755849472299</v>
      </c>
      <c r="X30" s="1">
        <v>1.2432613089914</v>
      </c>
      <c r="Y30" s="1">
        <v>7.3013653691483</v>
      </c>
      <c r="Z30" s="1">
        <v>7.5547734983505004</v>
      </c>
      <c r="AA30" s="1">
        <v>0.63616110070050502</v>
      </c>
      <c r="AB30" s="1">
        <v>0.61325775585479603</v>
      </c>
      <c r="AC30" s="7"/>
      <c r="AD30" s="1">
        <v>3.79184902634029</v>
      </c>
      <c r="AE30" s="1">
        <v>1.3209453470651</v>
      </c>
    </row>
    <row r="31" spans="1:31" x14ac:dyDescent="0.25">
      <c r="A31" s="3" t="s">
        <v>30</v>
      </c>
      <c r="B31" s="1">
        <v>5.1804201122829001</v>
      </c>
      <c r="C31" s="1">
        <v>13.195667632457999</v>
      </c>
      <c r="D31" s="1">
        <v>9.1814802462802998</v>
      </c>
      <c r="E31" s="1">
        <v>1.3054245549879899</v>
      </c>
      <c r="F31" s="1">
        <v>7.4766939057627901</v>
      </c>
      <c r="G31" s="1">
        <v>8.8251571613056008</v>
      </c>
      <c r="H31" s="1">
        <v>7.9003719345925001</v>
      </c>
      <c r="I31" s="1">
        <v>10.3068935840672</v>
      </c>
      <c r="J31" s="1">
        <v>11.4545358417478</v>
      </c>
      <c r="K31" s="1">
        <v>8.1739154118941002</v>
      </c>
      <c r="L31" s="1">
        <v>9.8816913037984992</v>
      </c>
      <c r="M31" s="1">
        <v>11.1289060153407</v>
      </c>
      <c r="N31" s="1">
        <v>5.7590115020215</v>
      </c>
      <c r="O31" s="1">
        <v>9.3604928121450008</v>
      </c>
      <c r="P31" s="1">
        <v>5.6790768879467004</v>
      </c>
      <c r="Q31" s="1">
        <v>7.0568012680823999</v>
      </c>
      <c r="R31" s="1">
        <v>1.1698207206936</v>
      </c>
      <c r="S31" s="1">
        <v>0.51352514615110301</v>
      </c>
      <c r="T31" s="1">
        <v>10.295537399548801</v>
      </c>
      <c r="U31" s="1">
        <v>6.7369881646370997</v>
      </c>
      <c r="V31" s="1">
        <v>8.4054435742918994</v>
      </c>
      <c r="W31" s="1">
        <v>9.9929068231319995</v>
      </c>
      <c r="X31" s="1">
        <v>2.54858771734889</v>
      </c>
      <c r="Y31" s="1">
        <v>11.0932143954886</v>
      </c>
      <c r="Z31" s="1">
        <v>11.346622524690799</v>
      </c>
      <c r="AA31" s="1">
        <v>4.4280101270407997</v>
      </c>
      <c r="AB31" s="1">
        <v>3.1785912704855002</v>
      </c>
      <c r="AC31" s="1">
        <v>3.79184902634029</v>
      </c>
      <c r="AD31" s="7"/>
      <c r="AE31" s="1">
        <v>2.4709036792751999</v>
      </c>
    </row>
    <row r="32" spans="1:31" x14ac:dyDescent="0.25">
      <c r="A32" s="3" t="s">
        <v>31</v>
      </c>
      <c r="B32" s="1">
        <v>2.7095164330077002</v>
      </c>
      <c r="C32" s="1">
        <v>10.7247639531828</v>
      </c>
      <c r="D32" s="1">
        <v>11.652383925555499</v>
      </c>
      <c r="E32" s="1">
        <v>1.1654791242872</v>
      </c>
      <c r="F32" s="1">
        <v>5.0057902264876004</v>
      </c>
      <c r="G32" s="1">
        <v>6.3542534820304004</v>
      </c>
      <c r="H32" s="1">
        <v>5.4294682553172997</v>
      </c>
      <c r="I32" s="1">
        <v>7.8359899047920001</v>
      </c>
      <c r="J32" s="1">
        <v>8.9836321624726008</v>
      </c>
      <c r="K32" s="1">
        <v>5.7030117326188998</v>
      </c>
      <c r="L32" s="1">
        <v>7.4107876245232998</v>
      </c>
      <c r="M32" s="1">
        <v>13.5998096946159</v>
      </c>
      <c r="N32" s="1">
        <v>8.2299151812967004</v>
      </c>
      <c r="O32" s="1">
        <v>6.8895891328697996</v>
      </c>
      <c r="P32" s="1">
        <v>8.1499805672219008</v>
      </c>
      <c r="Q32" s="1">
        <v>4.5858975888072004</v>
      </c>
      <c r="R32" s="1">
        <v>1.3010829585815999</v>
      </c>
      <c r="S32" s="1">
        <v>2.9844288254263001</v>
      </c>
      <c r="T32" s="1">
        <v>7.8246337202736003</v>
      </c>
      <c r="U32" s="1">
        <v>4.2660844853619002</v>
      </c>
      <c r="V32" s="1">
        <v>10.876347253567101</v>
      </c>
      <c r="W32" s="1">
        <v>12.463810502407201</v>
      </c>
      <c r="X32" s="1">
        <v>7.7684038073698503E-2</v>
      </c>
      <c r="Y32" s="1">
        <v>8.6223107162134003</v>
      </c>
      <c r="Z32" s="1">
        <v>8.8757188454155997</v>
      </c>
      <c r="AA32" s="1">
        <v>1.9571064477655999</v>
      </c>
      <c r="AB32" s="1">
        <v>0.707687591210302</v>
      </c>
      <c r="AC32" s="1">
        <v>1.3209453470651</v>
      </c>
      <c r="AD32" s="1">
        <v>2.4709036792751999</v>
      </c>
      <c r="AE32" s="7"/>
    </row>
    <row r="35" spans="1:31" x14ac:dyDescent="0.25">
      <c r="B35" s="4" t="s">
        <v>34</v>
      </c>
      <c r="C35" s="1">
        <f>SUM(B3:AE32)/870</f>
        <v>8.0266819507529696</v>
      </c>
    </row>
    <row r="36" spans="1:31" x14ac:dyDescent="0.25"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  <c r="U36" s="3" t="s">
        <v>21</v>
      </c>
      <c r="V36" s="3" t="s">
        <v>22</v>
      </c>
      <c r="W36" s="3" t="s">
        <v>23</v>
      </c>
      <c r="X36" s="3" t="s">
        <v>24</v>
      </c>
      <c r="Y36" s="3" t="s">
        <v>25</v>
      </c>
      <c r="Z36" s="3" t="s">
        <v>26</v>
      </c>
      <c r="AA36" s="3" t="s">
        <v>27</v>
      </c>
      <c r="AB36" s="3" t="s">
        <v>28</v>
      </c>
      <c r="AC36" s="3" t="s">
        <v>29</v>
      </c>
      <c r="AD36" s="3" t="s">
        <v>30</v>
      </c>
      <c r="AE36" s="3" t="s">
        <v>31</v>
      </c>
    </row>
    <row r="37" spans="1:31" x14ac:dyDescent="0.25">
      <c r="A37" s="3" t="s">
        <v>2</v>
      </c>
      <c r="B37" s="1">
        <f>IF(B3&gt;$C$35,1,0)</f>
        <v>0</v>
      </c>
      <c r="C37" s="1">
        <f t="shared" ref="C37:AE37" si="0">IF(C3&gt;$C$35,1,0)</f>
        <v>0</v>
      </c>
      <c r="D37" s="1">
        <f t="shared" si="0"/>
        <v>1</v>
      </c>
      <c r="E37" s="1">
        <f t="shared" si="0"/>
        <v>0</v>
      </c>
      <c r="F37" s="1">
        <f t="shared" si="0"/>
        <v>0</v>
      </c>
      <c r="G37" s="1">
        <f t="shared" si="0"/>
        <v>0</v>
      </c>
      <c r="H37" s="1">
        <f t="shared" si="0"/>
        <v>0</v>
      </c>
      <c r="I37" s="1">
        <f t="shared" si="0"/>
        <v>0</v>
      </c>
      <c r="J37" s="1">
        <f t="shared" si="0"/>
        <v>0</v>
      </c>
      <c r="K37" s="1">
        <f t="shared" si="0"/>
        <v>0</v>
      </c>
      <c r="L37" s="1">
        <f t="shared" si="0"/>
        <v>0</v>
      </c>
      <c r="M37" s="1">
        <f t="shared" si="0"/>
        <v>1</v>
      </c>
      <c r="N37" s="1">
        <f t="shared" si="0"/>
        <v>1</v>
      </c>
      <c r="O37" s="1">
        <f t="shared" si="0"/>
        <v>0</v>
      </c>
      <c r="P37" s="1">
        <f t="shared" si="0"/>
        <v>1</v>
      </c>
      <c r="Q37" s="1">
        <f t="shared" si="0"/>
        <v>0</v>
      </c>
      <c r="R37" s="1">
        <f t="shared" si="0"/>
        <v>0</v>
      </c>
      <c r="S37" s="1">
        <f t="shared" si="0"/>
        <v>0</v>
      </c>
      <c r="T37" s="1">
        <f t="shared" si="0"/>
        <v>0</v>
      </c>
      <c r="U37" s="1">
        <f t="shared" si="0"/>
        <v>0</v>
      </c>
      <c r="V37" s="1">
        <f t="shared" si="0"/>
        <v>1</v>
      </c>
      <c r="W37" s="1">
        <f t="shared" si="0"/>
        <v>1</v>
      </c>
      <c r="X37" s="1">
        <f t="shared" si="0"/>
        <v>0</v>
      </c>
      <c r="Y37" s="1">
        <f t="shared" si="0"/>
        <v>0</v>
      </c>
      <c r="Z37" s="1">
        <f t="shared" si="0"/>
        <v>0</v>
      </c>
      <c r="AA37" s="1">
        <f t="shared" si="0"/>
        <v>0</v>
      </c>
      <c r="AB37" s="1">
        <f t="shared" si="0"/>
        <v>0</v>
      </c>
      <c r="AC37" s="1">
        <f t="shared" si="0"/>
        <v>0</v>
      </c>
      <c r="AD37" s="1">
        <f t="shared" si="0"/>
        <v>0</v>
      </c>
      <c r="AE37" s="1">
        <f t="shared" si="0"/>
        <v>0</v>
      </c>
    </row>
    <row r="38" spans="1:31" x14ac:dyDescent="0.25">
      <c r="A38" s="3" t="s">
        <v>3</v>
      </c>
      <c r="B38" s="1">
        <f t="shared" ref="B38:B66" si="1">IF(B4&gt;$C$35,1,0)</f>
        <v>0</v>
      </c>
      <c r="C38" s="1">
        <f t="shared" ref="C38:C66" si="2">IF(C4&gt;$C$35,1,0)</f>
        <v>0</v>
      </c>
      <c r="D38" s="1">
        <f t="shared" ref="D38:D66" si="3">IF(D4&gt;$C$35,1,0)</f>
        <v>1</v>
      </c>
      <c r="E38" s="1">
        <f t="shared" ref="E38:E66" si="4">IF(E4&gt;$C$35,1,0)</f>
        <v>1</v>
      </c>
      <c r="F38" s="1">
        <f t="shared" ref="F38:F66" si="5">IF(F4&gt;$C$35,1,0)</f>
        <v>0</v>
      </c>
      <c r="G38" s="1">
        <f t="shared" ref="G38:G66" si="6">IF(G4&gt;$C$35,1,0)</f>
        <v>0</v>
      </c>
      <c r="H38" s="1">
        <f t="shared" ref="H38:H66" si="7">IF(H4&gt;$C$35,1,0)</f>
        <v>0</v>
      </c>
      <c r="I38" s="1">
        <f t="shared" ref="I38:I66" si="8">IF(I4&gt;$C$35,1,0)</f>
        <v>0</v>
      </c>
      <c r="J38" s="1">
        <f t="shared" ref="J38:J66" si="9">IF(J4&gt;$C$35,1,0)</f>
        <v>0</v>
      </c>
      <c r="K38" s="1">
        <f t="shared" ref="K38:K66" si="10">IF(K4&gt;$C$35,1,0)</f>
        <v>0</v>
      </c>
      <c r="L38" s="1">
        <f t="shared" ref="L38:L66" si="11">IF(L4&gt;$C$35,1,0)</f>
        <v>0</v>
      </c>
      <c r="M38" s="1">
        <f t="shared" ref="M38:M66" si="12">IF(M4&gt;$C$35,1,0)</f>
        <v>1</v>
      </c>
      <c r="N38" s="1">
        <f t="shared" ref="N38:N66" si="13">IF(N4&gt;$C$35,1,0)</f>
        <v>1</v>
      </c>
      <c r="O38" s="1">
        <f t="shared" ref="O38:O66" si="14">IF(O4&gt;$C$35,1,0)</f>
        <v>0</v>
      </c>
      <c r="P38" s="1">
        <f t="shared" ref="P38:P66" si="15">IF(P4&gt;$C$35,1,0)</f>
        <v>1</v>
      </c>
      <c r="Q38" s="1">
        <f t="shared" ref="Q38:Q66" si="16">IF(Q4&gt;$C$35,1,0)</f>
        <v>0</v>
      </c>
      <c r="R38" s="1">
        <f t="shared" ref="R38:R66" si="17">IF(R4&gt;$C$35,1,0)</f>
        <v>1</v>
      </c>
      <c r="S38" s="1">
        <f t="shared" ref="S38:S66" si="18">IF(S4&gt;$C$35,1,0)</f>
        <v>1</v>
      </c>
      <c r="T38" s="1">
        <f t="shared" ref="T38:T66" si="19">IF(T4&gt;$C$35,1,0)</f>
        <v>0</v>
      </c>
      <c r="U38" s="1">
        <f t="shared" ref="U38:U66" si="20">IF(U4&gt;$C$35,1,0)</f>
        <v>0</v>
      </c>
      <c r="V38" s="1">
        <f t="shared" ref="V38:V66" si="21">IF(V4&gt;$C$35,1,0)</f>
        <v>1</v>
      </c>
      <c r="W38" s="1">
        <f t="shared" ref="W38:W66" si="22">IF(W4&gt;$C$35,1,0)</f>
        <v>1</v>
      </c>
      <c r="X38" s="1">
        <f t="shared" ref="X38:X66" si="23">IF(X4&gt;$C$35,1,0)</f>
        <v>1</v>
      </c>
      <c r="Y38" s="1">
        <f t="shared" ref="Y38:Y66" si="24">IF(Y4&gt;$C$35,1,0)</f>
        <v>0</v>
      </c>
      <c r="Z38" s="1">
        <f t="shared" ref="Z38:Z66" si="25">IF(Z4&gt;$C$35,1,0)</f>
        <v>0</v>
      </c>
      <c r="AA38" s="1">
        <f t="shared" ref="AA38:AA66" si="26">IF(AA4&gt;$C$35,1,0)</f>
        <v>1</v>
      </c>
      <c r="AB38" s="1">
        <f t="shared" ref="AB38:AB66" si="27">IF(AB4&gt;$C$35,1,0)</f>
        <v>1</v>
      </c>
      <c r="AC38" s="1">
        <f t="shared" ref="AC38:AC66" si="28">IF(AC4&gt;$C$35,1,0)</f>
        <v>1</v>
      </c>
      <c r="AD38" s="1">
        <f t="shared" ref="AD38:AD66" si="29">IF(AD4&gt;$C$35,1,0)</f>
        <v>1</v>
      </c>
      <c r="AE38" s="1">
        <f t="shared" ref="AE38:AE66" si="30">IF(AE4&gt;$C$35,1,0)</f>
        <v>1</v>
      </c>
    </row>
    <row r="39" spans="1:31" x14ac:dyDescent="0.25">
      <c r="A39" s="3" t="s">
        <v>4</v>
      </c>
      <c r="B39" s="1">
        <f t="shared" si="1"/>
        <v>1</v>
      </c>
      <c r="C39" s="1">
        <f t="shared" si="2"/>
        <v>1</v>
      </c>
      <c r="D39" s="1">
        <f t="shared" si="3"/>
        <v>0</v>
      </c>
      <c r="E39" s="1">
        <f t="shared" si="4"/>
        <v>1</v>
      </c>
      <c r="F39" s="1">
        <f t="shared" si="5"/>
        <v>1</v>
      </c>
      <c r="G39" s="1">
        <f t="shared" si="6"/>
        <v>1</v>
      </c>
      <c r="H39" s="1">
        <f t="shared" si="7"/>
        <v>1</v>
      </c>
      <c r="I39" s="1">
        <f t="shared" si="8"/>
        <v>1</v>
      </c>
      <c r="J39" s="1">
        <f t="shared" si="9"/>
        <v>1</v>
      </c>
      <c r="K39" s="1">
        <f t="shared" si="10"/>
        <v>1</v>
      </c>
      <c r="L39" s="1">
        <f t="shared" si="11"/>
        <v>1</v>
      </c>
      <c r="M39" s="1">
        <f t="shared" si="12"/>
        <v>0</v>
      </c>
      <c r="N39" s="1">
        <f t="shared" si="13"/>
        <v>0</v>
      </c>
      <c r="O39" s="1">
        <f t="shared" si="14"/>
        <v>1</v>
      </c>
      <c r="P39" s="1">
        <f t="shared" si="15"/>
        <v>0</v>
      </c>
      <c r="Q39" s="1">
        <f t="shared" si="16"/>
        <v>1</v>
      </c>
      <c r="R39" s="1">
        <f t="shared" si="17"/>
        <v>1</v>
      </c>
      <c r="S39" s="1">
        <f t="shared" si="18"/>
        <v>1</v>
      </c>
      <c r="T39" s="1">
        <f t="shared" si="19"/>
        <v>1</v>
      </c>
      <c r="U39" s="1">
        <f t="shared" si="20"/>
        <v>1</v>
      </c>
      <c r="V39" s="1">
        <f t="shared" si="21"/>
        <v>0</v>
      </c>
      <c r="W39" s="1">
        <f t="shared" si="22"/>
        <v>0</v>
      </c>
      <c r="X39" s="1">
        <f t="shared" si="23"/>
        <v>1</v>
      </c>
      <c r="Y39" s="1">
        <f t="shared" si="24"/>
        <v>1</v>
      </c>
      <c r="Z39" s="1">
        <f t="shared" si="25"/>
        <v>1</v>
      </c>
      <c r="AA39" s="1">
        <f t="shared" si="26"/>
        <v>1</v>
      </c>
      <c r="AB39" s="1">
        <f t="shared" si="27"/>
        <v>1</v>
      </c>
      <c r="AC39" s="1">
        <f t="shared" si="28"/>
        <v>1</v>
      </c>
      <c r="AD39" s="1">
        <f t="shared" si="29"/>
        <v>1</v>
      </c>
      <c r="AE39" s="1">
        <f t="shared" si="30"/>
        <v>1</v>
      </c>
    </row>
    <row r="40" spans="1:31" x14ac:dyDescent="0.25">
      <c r="A40" s="3" t="s">
        <v>5</v>
      </c>
      <c r="B40" s="1">
        <f t="shared" si="1"/>
        <v>0</v>
      </c>
      <c r="C40" s="1">
        <f t="shared" si="2"/>
        <v>1</v>
      </c>
      <c r="D40" s="1">
        <f t="shared" si="3"/>
        <v>1</v>
      </c>
      <c r="E40" s="1">
        <f t="shared" si="4"/>
        <v>0</v>
      </c>
      <c r="F40" s="1">
        <f t="shared" si="5"/>
        <v>0</v>
      </c>
      <c r="G40" s="1">
        <f t="shared" si="6"/>
        <v>0</v>
      </c>
      <c r="H40" s="1">
        <f t="shared" si="7"/>
        <v>0</v>
      </c>
      <c r="I40" s="1">
        <f t="shared" si="8"/>
        <v>1</v>
      </c>
      <c r="J40" s="1">
        <f t="shared" si="9"/>
        <v>1</v>
      </c>
      <c r="K40" s="1">
        <f t="shared" si="10"/>
        <v>0</v>
      </c>
      <c r="L40" s="1">
        <f t="shared" si="11"/>
        <v>1</v>
      </c>
      <c r="M40" s="1">
        <f t="shared" si="12"/>
        <v>1</v>
      </c>
      <c r="N40" s="1">
        <f t="shared" si="13"/>
        <v>0</v>
      </c>
      <c r="O40" s="1">
        <f t="shared" si="14"/>
        <v>1</v>
      </c>
      <c r="P40" s="1">
        <f t="shared" si="15"/>
        <v>0</v>
      </c>
      <c r="Q40" s="1">
        <f t="shared" si="16"/>
        <v>0</v>
      </c>
      <c r="R40" s="1">
        <f t="shared" si="17"/>
        <v>0</v>
      </c>
      <c r="S40" s="1">
        <f t="shared" si="18"/>
        <v>0</v>
      </c>
      <c r="T40" s="1">
        <f t="shared" si="19"/>
        <v>1</v>
      </c>
      <c r="U40" s="1">
        <f t="shared" si="20"/>
        <v>0</v>
      </c>
      <c r="V40" s="1">
        <f t="shared" si="21"/>
        <v>1</v>
      </c>
      <c r="W40" s="1">
        <f t="shared" si="22"/>
        <v>1</v>
      </c>
      <c r="X40" s="1">
        <f t="shared" si="23"/>
        <v>0</v>
      </c>
      <c r="Y40" s="1">
        <f t="shared" si="24"/>
        <v>1</v>
      </c>
      <c r="Z40" s="1">
        <f t="shared" si="25"/>
        <v>1</v>
      </c>
      <c r="AA40" s="1">
        <f t="shared" si="26"/>
        <v>0</v>
      </c>
      <c r="AB40" s="1">
        <f t="shared" si="27"/>
        <v>0</v>
      </c>
      <c r="AC40" s="1">
        <f t="shared" si="28"/>
        <v>0</v>
      </c>
      <c r="AD40" s="1">
        <f t="shared" si="29"/>
        <v>0</v>
      </c>
      <c r="AE40" s="1">
        <f t="shared" si="30"/>
        <v>0</v>
      </c>
    </row>
    <row r="41" spans="1:31" x14ac:dyDescent="0.25">
      <c r="A41" s="3" t="s">
        <v>6</v>
      </c>
      <c r="B41" s="1">
        <f t="shared" si="1"/>
        <v>0</v>
      </c>
      <c r="C41" s="1">
        <f t="shared" si="2"/>
        <v>0</v>
      </c>
      <c r="D41" s="1">
        <f t="shared" si="3"/>
        <v>1</v>
      </c>
      <c r="E41" s="1">
        <f t="shared" si="4"/>
        <v>0</v>
      </c>
      <c r="F41" s="1">
        <f t="shared" si="5"/>
        <v>0</v>
      </c>
      <c r="G41" s="1">
        <f t="shared" si="6"/>
        <v>0</v>
      </c>
      <c r="H41" s="1">
        <f t="shared" si="7"/>
        <v>0</v>
      </c>
      <c r="I41" s="1">
        <f t="shared" si="8"/>
        <v>0</v>
      </c>
      <c r="J41" s="1">
        <f t="shared" si="9"/>
        <v>0</v>
      </c>
      <c r="K41" s="1">
        <f t="shared" si="10"/>
        <v>0</v>
      </c>
      <c r="L41" s="1">
        <f t="shared" si="11"/>
        <v>0</v>
      </c>
      <c r="M41" s="1">
        <f t="shared" si="12"/>
        <v>1</v>
      </c>
      <c r="N41" s="1">
        <f t="shared" si="13"/>
        <v>1</v>
      </c>
      <c r="O41" s="1">
        <f t="shared" si="14"/>
        <v>0</v>
      </c>
      <c r="P41" s="1">
        <f t="shared" si="15"/>
        <v>1</v>
      </c>
      <c r="Q41" s="1">
        <f t="shared" si="16"/>
        <v>0</v>
      </c>
      <c r="R41" s="1">
        <f t="shared" si="17"/>
        <v>0</v>
      </c>
      <c r="S41" s="1">
        <f t="shared" si="18"/>
        <v>0</v>
      </c>
      <c r="T41" s="1">
        <f t="shared" si="19"/>
        <v>0</v>
      </c>
      <c r="U41" s="1">
        <f t="shared" si="20"/>
        <v>0</v>
      </c>
      <c r="V41" s="1">
        <f t="shared" si="21"/>
        <v>1</v>
      </c>
      <c r="W41" s="1">
        <f t="shared" si="22"/>
        <v>1</v>
      </c>
      <c r="X41" s="1">
        <f t="shared" si="23"/>
        <v>0</v>
      </c>
      <c r="Y41" s="1">
        <f t="shared" si="24"/>
        <v>0</v>
      </c>
      <c r="Z41" s="1">
        <f t="shared" si="25"/>
        <v>0</v>
      </c>
      <c r="AA41" s="1">
        <f t="shared" si="26"/>
        <v>0</v>
      </c>
      <c r="AB41" s="1">
        <f t="shared" si="27"/>
        <v>0</v>
      </c>
      <c r="AC41" s="1">
        <f t="shared" si="28"/>
        <v>0</v>
      </c>
      <c r="AD41" s="1">
        <f t="shared" si="29"/>
        <v>0</v>
      </c>
      <c r="AE41" s="1">
        <f t="shared" si="30"/>
        <v>0</v>
      </c>
    </row>
    <row r="42" spans="1:31" x14ac:dyDescent="0.25">
      <c r="A42" s="3" t="s">
        <v>7</v>
      </c>
      <c r="B42" s="1">
        <f t="shared" si="1"/>
        <v>0</v>
      </c>
      <c r="C42" s="1">
        <f t="shared" si="2"/>
        <v>0</v>
      </c>
      <c r="D42" s="1">
        <f t="shared" si="3"/>
        <v>1</v>
      </c>
      <c r="E42" s="1">
        <f t="shared" si="4"/>
        <v>0</v>
      </c>
      <c r="F42" s="1">
        <f t="shared" si="5"/>
        <v>0</v>
      </c>
      <c r="G42" s="1">
        <f t="shared" si="6"/>
        <v>0</v>
      </c>
      <c r="H42" s="1">
        <f t="shared" si="7"/>
        <v>0</v>
      </c>
      <c r="I42" s="1">
        <f t="shared" si="8"/>
        <v>0</v>
      </c>
      <c r="J42" s="1">
        <f t="shared" si="9"/>
        <v>0</v>
      </c>
      <c r="K42" s="1">
        <f t="shared" si="10"/>
        <v>0</v>
      </c>
      <c r="L42" s="1">
        <f t="shared" si="11"/>
        <v>0</v>
      </c>
      <c r="M42" s="1">
        <f t="shared" si="12"/>
        <v>1</v>
      </c>
      <c r="N42" s="1">
        <f t="shared" si="13"/>
        <v>1</v>
      </c>
      <c r="O42" s="1">
        <f t="shared" si="14"/>
        <v>0</v>
      </c>
      <c r="P42" s="1">
        <f t="shared" si="15"/>
        <v>1</v>
      </c>
      <c r="Q42" s="1">
        <f t="shared" si="16"/>
        <v>0</v>
      </c>
      <c r="R42" s="1">
        <f t="shared" si="17"/>
        <v>0</v>
      </c>
      <c r="S42" s="1">
        <f t="shared" si="18"/>
        <v>1</v>
      </c>
      <c r="T42" s="1">
        <f t="shared" si="19"/>
        <v>0</v>
      </c>
      <c r="U42" s="1">
        <f t="shared" si="20"/>
        <v>0</v>
      </c>
      <c r="V42" s="1">
        <f t="shared" si="21"/>
        <v>1</v>
      </c>
      <c r="W42" s="1">
        <f t="shared" si="22"/>
        <v>1</v>
      </c>
      <c r="X42" s="1">
        <f t="shared" si="23"/>
        <v>0</v>
      </c>
      <c r="Y42" s="1">
        <f t="shared" si="24"/>
        <v>0</v>
      </c>
      <c r="Z42" s="1">
        <f t="shared" si="25"/>
        <v>0</v>
      </c>
      <c r="AA42" s="1">
        <f t="shared" si="26"/>
        <v>0</v>
      </c>
      <c r="AB42" s="1">
        <f t="shared" si="27"/>
        <v>0</v>
      </c>
      <c r="AC42" s="1">
        <f t="shared" si="28"/>
        <v>0</v>
      </c>
      <c r="AD42" s="1">
        <f t="shared" si="29"/>
        <v>1</v>
      </c>
      <c r="AE42" s="1">
        <f t="shared" si="30"/>
        <v>0</v>
      </c>
    </row>
    <row r="43" spans="1:31" x14ac:dyDescent="0.25">
      <c r="A43" s="3" t="s">
        <v>8</v>
      </c>
      <c r="B43" s="1">
        <f t="shared" si="1"/>
        <v>0</v>
      </c>
      <c r="C43" s="1">
        <f t="shared" si="2"/>
        <v>0</v>
      </c>
      <c r="D43" s="1">
        <f t="shared" si="3"/>
        <v>1</v>
      </c>
      <c r="E43" s="1">
        <f t="shared" si="4"/>
        <v>0</v>
      </c>
      <c r="F43" s="1">
        <f t="shared" si="5"/>
        <v>0</v>
      </c>
      <c r="G43" s="1">
        <f t="shared" si="6"/>
        <v>0</v>
      </c>
      <c r="H43" s="1">
        <f t="shared" si="7"/>
        <v>0</v>
      </c>
      <c r="I43" s="1">
        <f t="shared" si="8"/>
        <v>0</v>
      </c>
      <c r="J43" s="1">
        <f t="shared" si="9"/>
        <v>0</v>
      </c>
      <c r="K43" s="1">
        <f t="shared" si="10"/>
        <v>0</v>
      </c>
      <c r="L43" s="1">
        <f t="shared" si="11"/>
        <v>0</v>
      </c>
      <c r="M43" s="1">
        <f t="shared" si="12"/>
        <v>1</v>
      </c>
      <c r="N43" s="1">
        <f t="shared" si="13"/>
        <v>1</v>
      </c>
      <c r="O43" s="1">
        <f t="shared" si="14"/>
        <v>0</v>
      </c>
      <c r="P43" s="1">
        <f t="shared" si="15"/>
        <v>1</v>
      </c>
      <c r="Q43" s="1">
        <f t="shared" si="16"/>
        <v>0</v>
      </c>
      <c r="R43" s="1">
        <f t="shared" si="17"/>
        <v>0</v>
      </c>
      <c r="S43" s="1">
        <f t="shared" si="18"/>
        <v>1</v>
      </c>
      <c r="T43" s="1">
        <f t="shared" si="19"/>
        <v>0</v>
      </c>
      <c r="U43" s="1">
        <f t="shared" si="20"/>
        <v>0</v>
      </c>
      <c r="V43" s="1">
        <f t="shared" si="21"/>
        <v>1</v>
      </c>
      <c r="W43" s="1">
        <f t="shared" si="22"/>
        <v>1</v>
      </c>
      <c r="X43" s="1">
        <f t="shared" si="23"/>
        <v>0</v>
      </c>
      <c r="Y43" s="1">
        <f t="shared" si="24"/>
        <v>0</v>
      </c>
      <c r="Z43" s="1">
        <f t="shared" si="25"/>
        <v>0</v>
      </c>
      <c r="AA43" s="1">
        <f t="shared" si="26"/>
        <v>0</v>
      </c>
      <c r="AB43" s="1">
        <f t="shared" si="27"/>
        <v>0</v>
      </c>
      <c r="AC43" s="1">
        <f t="shared" si="28"/>
        <v>0</v>
      </c>
      <c r="AD43" s="1">
        <f t="shared" si="29"/>
        <v>0</v>
      </c>
      <c r="AE43" s="1">
        <f t="shared" si="30"/>
        <v>0</v>
      </c>
    </row>
    <row r="44" spans="1:31" x14ac:dyDescent="0.25">
      <c r="A44" s="3" t="s">
        <v>9</v>
      </c>
      <c r="B44" s="1">
        <f t="shared" si="1"/>
        <v>0</v>
      </c>
      <c r="C44" s="1">
        <f t="shared" si="2"/>
        <v>0</v>
      </c>
      <c r="D44" s="1">
        <f t="shared" si="3"/>
        <v>1</v>
      </c>
      <c r="E44" s="1">
        <f t="shared" si="4"/>
        <v>1</v>
      </c>
      <c r="F44" s="1">
        <f t="shared" si="5"/>
        <v>0</v>
      </c>
      <c r="G44" s="1">
        <f t="shared" si="6"/>
        <v>0</v>
      </c>
      <c r="H44" s="1">
        <f t="shared" si="7"/>
        <v>0</v>
      </c>
      <c r="I44" s="1">
        <f t="shared" si="8"/>
        <v>0</v>
      </c>
      <c r="J44" s="1">
        <f t="shared" si="9"/>
        <v>0</v>
      </c>
      <c r="K44" s="1">
        <f t="shared" si="10"/>
        <v>0</v>
      </c>
      <c r="L44" s="1">
        <f t="shared" si="11"/>
        <v>0</v>
      </c>
      <c r="M44" s="1">
        <f t="shared" si="12"/>
        <v>1</v>
      </c>
      <c r="N44" s="1">
        <f t="shared" si="13"/>
        <v>1</v>
      </c>
      <c r="O44" s="1">
        <f t="shared" si="14"/>
        <v>0</v>
      </c>
      <c r="P44" s="1">
        <f t="shared" si="15"/>
        <v>1</v>
      </c>
      <c r="Q44" s="1">
        <f t="shared" si="16"/>
        <v>0</v>
      </c>
      <c r="R44" s="1">
        <f t="shared" si="17"/>
        <v>1</v>
      </c>
      <c r="S44" s="1">
        <f t="shared" si="18"/>
        <v>1</v>
      </c>
      <c r="T44" s="1">
        <f t="shared" si="19"/>
        <v>0</v>
      </c>
      <c r="U44" s="1">
        <f t="shared" si="20"/>
        <v>0</v>
      </c>
      <c r="V44" s="1">
        <f t="shared" si="21"/>
        <v>1</v>
      </c>
      <c r="W44" s="1">
        <f t="shared" si="22"/>
        <v>1</v>
      </c>
      <c r="X44" s="1">
        <f t="shared" si="23"/>
        <v>0</v>
      </c>
      <c r="Y44" s="1">
        <f t="shared" si="24"/>
        <v>0</v>
      </c>
      <c r="Z44" s="1">
        <f t="shared" si="25"/>
        <v>0</v>
      </c>
      <c r="AA44" s="1">
        <f t="shared" si="26"/>
        <v>0</v>
      </c>
      <c r="AB44" s="1">
        <f t="shared" si="27"/>
        <v>0</v>
      </c>
      <c r="AC44" s="1">
        <f t="shared" si="28"/>
        <v>0</v>
      </c>
      <c r="AD44" s="1">
        <f t="shared" si="29"/>
        <v>1</v>
      </c>
      <c r="AE44" s="1">
        <f t="shared" si="30"/>
        <v>0</v>
      </c>
    </row>
    <row r="45" spans="1:31" x14ac:dyDescent="0.25">
      <c r="A45" s="3" t="s">
        <v>10</v>
      </c>
      <c r="B45" s="1">
        <f t="shared" si="1"/>
        <v>0</v>
      </c>
      <c r="C45" s="1">
        <f t="shared" si="2"/>
        <v>0</v>
      </c>
      <c r="D45" s="1">
        <f t="shared" si="3"/>
        <v>1</v>
      </c>
      <c r="E45" s="1">
        <f t="shared" si="4"/>
        <v>1</v>
      </c>
      <c r="F45" s="1">
        <f t="shared" si="5"/>
        <v>0</v>
      </c>
      <c r="G45" s="1">
        <f t="shared" si="6"/>
        <v>0</v>
      </c>
      <c r="H45" s="1">
        <f t="shared" si="7"/>
        <v>0</v>
      </c>
      <c r="I45" s="1">
        <f t="shared" si="8"/>
        <v>0</v>
      </c>
      <c r="J45" s="1">
        <f t="shared" si="9"/>
        <v>0</v>
      </c>
      <c r="K45" s="1">
        <f t="shared" si="10"/>
        <v>0</v>
      </c>
      <c r="L45" s="1">
        <f t="shared" si="11"/>
        <v>0</v>
      </c>
      <c r="M45" s="1">
        <f t="shared" si="12"/>
        <v>1</v>
      </c>
      <c r="N45" s="1">
        <f t="shared" si="13"/>
        <v>1</v>
      </c>
      <c r="O45" s="1">
        <f t="shared" si="14"/>
        <v>0</v>
      </c>
      <c r="P45" s="1">
        <f t="shared" si="15"/>
        <v>1</v>
      </c>
      <c r="Q45" s="1">
        <f t="shared" si="16"/>
        <v>0</v>
      </c>
      <c r="R45" s="1">
        <f t="shared" si="17"/>
        <v>1</v>
      </c>
      <c r="S45" s="1">
        <f t="shared" si="18"/>
        <v>1</v>
      </c>
      <c r="T45" s="1">
        <f t="shared" si="19"/>
        <v>0</v>
      </c>
      <c r="U45" s="1">
        <f t="shared" si="20"/>
        <v>0</v>
      </c>
      <c r="V45" s="1">
        <f t="shared" si="21"/>
        <v>1</v>
      </c>
      <c r="W45" s="1">
        <f t="shared" si="22"/>
        <v>1</v>
      </c>
      <c r="X45" s="1">
        <f t="shared" si="23"/>
        <v>1</v>
      </c>
      <c r="Y45" s="1">
        <f t="shared" si="24"/>
        <v>0</v>
      </c>
      <c r="Z45" s="1">
        <f t="shared" si="25"/>
        <v>0</v>
      </c>
      <c r="AA45" s="1">
        <f t="shared" si="26"/>
        <v>0</v>
      </c>
      <c r="AB45" s="1">
        <f t="shared" si="27"/>
        <v>1</v>
      </c>
      <c r="AC45" s="1">
        <f t="shared" si="28"/>
        <v>0</v>
      </c>
      <c r="AD45" s="1">
        <f t="shared" si="29"/>
        <v>1</v>
      </c>
      <c r="AE45" s="1">
        <f t="shared" si="30"/>
        <v>1</v>
      </c>
    </row>
    <row r="46" spans="1:31" x14ac:dyDescent="0.25">
      <c r="A46" s="3" t="s">
        <v>11</v>
      </c>
      <c r="B46" s="1">
        <f t="shared" si="1"/>
        <v>0</v>
      </c>
      <c r="C46" s="1">
        <f t="shared" si="2"/>
        <v>0</v>
      </c>
      <c r="D46" s="1">
        <f t="shared" si="3"/>
        <v>1</v>
      </c>
      <c r="E46" s="1">
        <f t="shared" si="4"/>
        <v>0</v>
      </c>
      <c r="F46" s="1">
        <f t="shared" si="5"/>
        <v>0</v>
      </c>
      <c r="G46" s="1">
        <f t="shared" si="6"/>
        <v>0</v>
      </c>
      <c r="H46" s="1">
        <f t="shared" si="7"/>
        <v>0</v>
      </c>
      <c r="I46" s="1">
        <f t="shared" si="8"/>
        <v>0</v>
      </c>
      <c r="J46" s="1">
        <f t="shared" si="9"/>
        <v>0</v>
      </c>
      <c r="K46" s="1">
        <f t="shared" si="10"/>
        <v>0</v>
      </c>
      <c r="L46" s="1">
        <f t="shared" si="11"/>
        <v>0</v>
      </c>
      <c r="M46" s="1">
        <f t="shared" si="12"/>
        <v>1</v>
      </c>
      <c r="N46" s="1">
        <f t="shared" si="13"/>
        <v>1</v>
      </c>
      <c r="O46" s="1">
        <f t="shared" si="14"/>
        <v>0</v>
      </c>
      <c r="P46" s="1">
        <f t="shared" si="15"/>
        <v>1</v>
      </c>
      <c r="Q46" s="1">
        <f t="shared" si="16"/>
        <v>0</v>
      </c>
      <c r="R46" s="1">
        <f t="shared" si="17"/>
        <v>0</v>
      </c>
      <c r="S46" s="1">
        <f t="shared" si="18"/>
        <v>1</v>
      </c>
      <c r="T46" s="1">
        <f t="shared" si="19"/>
        <v>0</v>
      </c>
      <c r="U46" s="1">
        <f t="shared" si="20"/>
        <v>0</v>
      </c>
      <c r="V46" s="1">
        <f t="shared" si="21"/>
        <v>1</v>
      </c>
      <c r="W46" s="1">
        <f t="shared" si="22"/>
        <v>1</v>
      </c>
      <c r="X46" s="1">
        <f t="shared" si="23"/>
        <v>0</v>
      </c>
      <c r="Y46" s="1">
        <f t="shared" si="24"/>
        <v>0</v>
      </c>
      <c r="Z46" s="1">
        <f t="shared" si="25"/>
        <v>0</v>
      </c>
      <c r="AA46" s="1">
        <f t="shared" si="26"/>
        <v>0</v>
      </c>
      <c r="AB46" s="1">
        <f t="shared" si="27"/>
        <v>0</v>
      </c>
      <c r="AC46" s="1">
        <f t="shared" si="28"/>
        <v>0</v>
      </c>
      <c r="AD46" s="1">
        <f t="shared" si="29"/>
        <v>1</v>
      </c>
      <c r="AE46" s="1">
        <f t="shared" si="30"/>
        <v>0</v>
      </c>
    </row>
    <row r="47" spans="1:31" x14ac:dyDescent="0.25">
      <c r="A47" s="3" t="s">
        <v>12</v>
      </c>
      <c r="B47" s="1">
        <f t="shared" si="1"/>
        <v>0</v>
      </c>
      <c r="C47" s="1">
        <f t="shared" si="2"/>
        <v>0</v>
      </c>
      <c r="D47" s="1">
        <f t="shared" si="3"/>
        <v>1</v>
      </c>
      <c r="E47" s="1">
        <f t="shared" si="4"/>
        <v>1</v>
      </c>
      <c r="F47" s="1">
        <f t="shared" si="5"/>
        <v>0</v>
      </c>
      <c r="G47" s="1">
        <f t="shared" si="6"/>
        <v>0</v>
      </c>
      <c r="H47" s="1">
        <f t="shared" si="7"/>
        <v>0</v>
      </c>
      <c r="I47" s="1">
        <f t="shared" si="8"/>
        <v>0</v>
      </c>
      <c r="J47" s="1">
        <f t="shared" si="9"/>
        <v>0</v>
      </c>
      <c r="K47" s="1">
        <f t="shared" si="10"/>
        <v>0</v>
      </c>
      <c r="L47" s="1">
        <f t="shared" si="11"/>
        <v>0</v>
      </c>
      <c r="M47" s="1">
        <f t="shared" si="12"/>
        <v>1</v>
      </c>
      <c r="N47" s="1">
        <f t="shared" si="13"/>
        <v>1</v>
      </c>
      <c r="O47" s="1">
        <f t="shared" si="14"/>
        <v>0</v>
      </c>
      <c r="P47" s="1">
        <f t="shared" si="15"/>
        <v>1</v>
      </c>
      <c r="Q47" s="1">
        <f t="shared" si="16"/>
        <v>0</v>
      </c>
      <c r="R47" s="1">
        <f t="shared" si="17"/>
        <v>1</v>
      </c>
      <c r="S47" s="1">
        <f t="shared" si="18"/>
        <v>1</v>
      </c>
      <c r="T47" s="1">
        <f t="shared" si="19"/>
        <v>0</v>
      </c>
      <c r="U47" s="1">
        <f t="shared" si="20"/>
        <v>0</v>
      </c>
      <c r="V47" s="1">
        <f t="shared" si="21"/>
        <v>1</v>
      </c>
      <c r="W47" s="1">
        <f t="shared" si="22"/>
        <v>1</v>
      </c>
      <c r="X47" s="1">
        <f t="shared" si="23"/>
        <v>0</v>
      </c>
      <c r="Y47" s="1">
        <f t="shared" si="24"/>
        <v>0</v>
      </c>
      <c r="Z47" s="1">
        <f t="shared" si="25"/>
        <v>0</v>
      </c>
      <c r="AA47" s="1">
        <f t="shared" si="26"/>
        <v>0</v>
      </c>
      <c r="AB47" s="1">
        <f t="shared" si="27"/>
        <v>0</v>
      </c>
      <c r="AC47" s="1">
        <f t="shared" si="28"/>
        <v>0</v>
      </c>
      <c r="AD47" s="1">
        <f t="shared" si="29"/>
        <v>1</v>
      </c>
      <c r="AE47" s="1">
        <f t="shared" si="30"/>
        <v>0</v>
      </c>
    </row>
    <row r="48" spans="1:31" x14ac:dyDescent="0.25">
      <c r="A48" s="3" t="s">
        <v>13</v>
      </c>
      <c r="B48" s="1">
        <f t="shared" si="1"/>
        <v>1</v>
      </c>
      <c r="C48" s="1">
        <f t="shared" si="2"/>
        <v>1</v>
      </c>
      <c r="D48" s="1">
        <f t="shared" si="3"/>
        <v>0</v>
      </c>
      <c r="E48" s="1">
        <f t="shared" si="4"/>
        <v>1</v>
      </c>
      <c r="F48" s="1">
        <f t="shared" si="5"/>
        <v>1</v>
      </c>
      <c r="G48" s="1">
        <f t="shared" si="6"/>
        <v>1</v>
      </c>
      <c r="H48" s="1">
        <f t="shared" si="7"/>
        <v>1</v>
      </c>
      <c r="I48" s="1">
        <f t="shared" si="8"/>
        <v>1</v>
      </c>
      <c r="J48" s="1">
        <f t="shared" si="9"/>
        <v>1</v>
      </c>
      <c r="K48" s="1">
        <f t="shared" si="10"/>
        <v>1</v>
      </c>
      <c r="L48" s="1">
        <f t="shared" si="11"/>
        <v>1</v>
      </c>
      <c r="M48" s="1">
        <f t="shared" si="12"/>
        <v>0</v>
      </c>
      <c r="N48" s="1">
        <f t="shared" si="13"/>
        <v>0</v>
      </c>
      <c r="O48" s="1">
        <f t="shared" si="14"/>
        <v>1</v>
      </c>
      <c r="P48" s="1">
        <f t="shared" si="15"/>
        <v>0</v>
      </c>
      <c r="Q48" s="1">
        <f t="shared" si="16"/>
        <v>1</v>
      </c>
      <c r="R48" s="1">
        <f t="shared" si="17"/>
        <v>1</v>
      </c>
      <c r="S48" s="1">
        <f t="shared" si="18"/>
        <v>1</v>
      </c>
      <c r="T48" s="1">
        <f t="shared" si="19"/>
        <v>1</v>
      </c>
      <c r="U48" s="1">
        <f t="shared" si="20"/>
        <v>1</v>
      </c>
      <c r="V48" s="1">
        <f t="shared" si="21"/>
        <v>0</v>
      </c>
      <c r="W48" s="1">
        <f t="shared" si="22"/>
        <v>0</v>
      </c>
      <c r="X48" s="1">
        <f t="shared" si="23"/>
        <v>1</v>
      </c>
      <c r="Y48" s="1">
        <f t="shared" si="24"/>
        <v>1</v>
      </c>
      <c r="Z48" s="1">
        <f t="shared" si="25"/>
        <v>1</v>
      </c>
      <c r="AA48" s="1">
        <f t="shared" si="26"/>
        <v>1</v>
      </c>
      <c r="AB48" s="1">
        <f t="shared" si="27"/>
        <v>1</v>
      </c>
      <c r="AC48" s="1">
        <f t="shared" si="28"/>
        <v>1</v>
      </c>
      <c r="AD48" s="1">
        <f t="shared" si="29"/>
        <v>1</v>
      </c>
      <c r="AE48" s="1">
        <f t="shared" si="30"/>
        <v>1</v>
      </c>
    </row>
    <row r="49" spans="1:31" x14ac:dyDescent="0.25">
      <c r="A49" s="3" t="s">
        <v>14</v>
      </c>
      <c r="B49" s="1">
        <f t="shared" si="1"/>
        <v>1</v>
      </c>
      <c r="C49" s="1">
        <f t="shared" si="2"/>
        <v>1</v>
      </c>
      <c r="D49" s="1">
        <f t="shared" si="3"/>
        <v>0</v>
      </c>
      <c r="E49" s="1">
        <f t="shared" si="4"/>
        <v>0</v>
      </c>
      <c r="F49" s="1">
        <f t="shared" si="5"/>
        <v>1</v>
      </c>
      <c r="G49" s="1">
        <f t="shared" si="6"/>
        <v>1</v>
      </c>
      <c r="H49" s="1">
        <f t="shared" si="7"/>
        <v>1</v>
      </c>
      <c r="I49" s="1">
        <f t="shared" si="8"/>
        <v>1</v>
      </c>
      <c r="J49" s="1">
        <f t="shared" si="9"/>
        <v>1</v>
      </c>
      <c r="K49" s="1">
        <f t="shared" si="10"/>
        <v>1</v>
      </c>
      <c r="L49" s="1">
        <f t="shared" si="11"/>
        <v>1</v>
      </c>
      <c r="M49" s="1">
        <f t="shared" si="12"/>
        <v>0</v>
      </c>
      <c r="N49" s="1">
        <f t="shared" si="13"/>
        <v>0</v>
      </c>
      <c r="O49" s="1">
        <f t="shared" si="14"/>
        <v>1</v>
      </c>
      <c r="P49" s="1">
        <f t="shared" si="15"/>
        <v>0</v>
      </c>
      <c r="Q49" s="1">
        <f t="shared" si="16"/>
        <v>1</v>
      </c>
      <c r="R49" s="1">
        <f t="shared" si="17"/>
        <v>0</v>
      </c>
      <c r="S49" s="1">
        <f t="shared" si="18"/>
        <v>0</v>
      </c>
      <c r="T49" s="1">
        <f t="shared" si="19"/>
        <v>1</v>
      </c>
      <c r="U49" s="1">
        <f t="shared" si="20"/>
        <v>1</v>
      </c>
      <c r="V49" s="1">
        <f t="shared" si="21"/>
        <v>0</v>
      </c>
      <c r="W49" s="1">
        <f t="shared" si="22"/>
        <v>0</v>
      </c>
      <c r="X49" s="1">
        <f t="shared" si="23"/>
        <v>1</v>
      </c>
      <c r="Y49" s="1">
        <f t="shared" si="24"/>
        <v>1</v>
      </c>
      <c r="Z49" s="1">
        <f t="shared" si="25"/>
        <v>1</v>
      </c>
      <c r="AA49" s="1">
        <f t="shared" si="26"/>
        <v>1</v>
      </c>
      <c r="AB49" s="1">
        <f t="shared" si="27"/>
        <v>1</v>
      </c>
      <c r="AC49" s="1">
        <f t="shared" si="28"/>
        <v>1</v>
      </c>
      <c r="AD49" s="1">
        <f t="shared" si="29"/>
        <v>0</v>
      </c>
      <c r="AE49" s="1">
        <f t="shared" si="30"/>
        <v>1</v>
      </c>
    </row>
    <row r="50" spans="1:31" x14ac:dyDescent="0.25">
      <c r="A50" s="3" t="s">
        <v>15</v>
      </c>
      <c r="B50" s="1">
        <f t="shared" si="1"/>
        <v>0</v>
      </c>
      <c r="C50" s="1">
        <f t="shared" si="2"/>
        <v>0</v>
      </c>
      <c r="D50" s="1">
        <f t="shared" si="3"/>
        <v>1</v>
      </c>
      <c r="E50" s="1">
        <f t="shared" si="4"/>
        <v>1</v>
      </c>
      <c r="F50" s="1">
        <f t="shared" si="5"/>
        <v>0</v>
      </c>
      <c r="G50" s="1">
        <f t="shared" si="6"/>
        <v>0</v>
      </c>
      <c r="H50" s="1">
        <f t="shared" si="7"/>
        <v>0</v>
      </c>
      <c r="I50" s="1">
        <f t="shared" si="8"/>
        <v>0</v>
      </c>
      <c r="J50" s="1">
        <f t="shared" si="9"/>
        <v>0</v>
      </c>
      <c r="K50" s="1">
        <f t="shared" si="10"/>
        <v>0</v>
      </c>
      <c r="L50" s="1">
        <f t="shared" si="11"/>
        <v>0</v>
      </c>
      <c r="M50" s="1">
        <f t="shared" si="12"/>
        <v>1</v>
      </c>
      <c r="N50" s="1">
        <f t="shared" si="13"/>
        <v>1</v>
      </c>
      <c r="O50" s="1">
        <f t="shared" si="14"/>
        <v>0</v>
      </c>
      <c r="P50" s="1">
        <f t="shared" si="15"/>
        <v>1</v>
      </c>
      <c r="Q50" s="1">
        <f t="shared" si="16"/>
        <v>0</v>
      </c>
      <c r="R50" s="1">
        <f t="shared" si="17"/>
        <v>1</v>
      </c>
      <c r="S50" s="1">
        <f t="shared" si="18"/>
        <v>1</v>
      </c>
      <c r="T50" s="1">
        <f t="shared" si="19"/>
        <v>0</v>
      </c>
      <c r="U50" s="1">
        <f t="shared" si="20"/>
        <v>0</v>
      </c>
      <c r="V50" s="1">
        <f t="shared" si="21"/>
        <v>1</v>
      </c>
      <c r="W50" s="1">
        <f t="shared" si="22"/>
        <v>1</v>
      </c>
      <c r="X50" s="1">
        <f t="shared" si="23"/>
        <v>0</v>
      </c>
      <c r="Y50" s="1">
        <f t="shared" si="24"/>
        <v>0</v>
      </c>
      <c r="Z50" s="1">
        <f t="shared" si="25"/>
        <v>0</v>
      </c>
      <c r="AA50" s="1">
        <f t="shared" si="26"/>
        <v>0</v>
      </c>
      <c r="AB50" s="1">
        <f t="shared" si="27"/>
        <v>0</v>
      </c>
      <c r="AC50" s="1">
        <f t="shared" si="28"/>
        <v>0</v>
      </c>
      <c r="AD50" s="1">
        <f t="shared" si="29"/>
        <v>1</v>
      </c>
      <c r="AE50" s="1">
        <f t="shared" si="30"/>
        <v>0</v>
      </c>
    </row>
    <row r="51" spans="1:31" x14ac:dyDescent="0.25">
      <c r="A51" s="3" t="s">
        <v>16</v>
      </c>
      <c r="B51" s="1">
        <f t="shared" si="1"/>
        <v>1</v>
      </c>
      <c r="C51" s="1">
        <f t="shared" si="2"/>
        <v>1</v>
      </c>
      <c r="D51" s="1">
        <f t="shared" si="3"/>
        <v>0</v>
      </c>
      <c r="E51" s="1">
        <f t="shared" si="4"/>
        <v>0</v>
      </c>
      <c r="F51" s="1">
        <f t="shared" si="5"/>
        <v>1</v>
      </c>
      <c r="G51" s="1">
        <f t="shared" si="6"/>
        <v>1</v>
      </c>
      <c r="H51" s="1">
        <f t="shared" si="7"/>
        <v>1</v>
      </c>
      <c r="I51" s="1">
        <f t="shared" si="8"/>
        <v>1</v>
      </c>
      <c r="J51" s="1">
        <f t="shared" si="9"/>
        <v>1</v>
      </c>
      <c r="K51" s="1">
        <f t="shared" si="10"/>
        <v>1</v>
      </c>
      <c r="L51" s="1">
        <f t="shared" si="11"/>
        <v>1</v>
      </c>
      <c r="M51" s="1">
        <f t="shared" si="12"/>
        <v>0</v>
      </c>
      <c r="N51" s="1">
        <f t="shared" si="13"/>
        <v>0</v>
      </c>
      <c r="O51" s="1">
        <f t="shared" si="14"/>
        <v>1</v>
      </c>
      <c r="P51" s="1">
        <f t="shared" si="15"/>
        <v>0</v>
      </c>
      <c r="Q51" s="1">
        <f t="shared" si="16"/>
        <v>1</v>
      </c>
      <c r="R51" s="1">
        <f t="shared" si="17"/>
        <v>0</v>
      </c>
      <c r="S51" s="1">
        <f t="shared" si="18"/>
        <v>0</v>
      </c>
      <c r="T51" s="1">
        <f t="shared" si="19"/>
        <v>1</v>
      </c>
      <c r="U51" s="1">
        <f t="shared" si="20"/>
        <v>1</v>
      </c>
      <c r="V51" s="1">
        <f t="shared" si="21"/>
        <v>0</v>
      </c>
      <c r="W51" s="1">
        <f t="shared" si="22"/>
        <v>0</v>
      </c>
      <c r="X51" s="1">
        <f t="shared" si="23"/>
        <v>1</v>
      </c>
      <c r="Y51" s="1">
        <f t="shared" si="24"/>
        <v>1</v>
      </c>
      <c r="Z51" s="1">
        <f t="shared" si="25"/>
        <v>1</v>
      </c>
      <c r="AA51" s="1">
        <f t="shared" si="26"/>
        <v>1</v>
      </c>
      <c r="AB51" s="1">
        <f t="shared" si="27"/>
        <v>1</v>
      </c>
      <c r="AC51" s="1">
        <f t="shared" si="28"/>
        <v>1</v>
      </c>
      <c r="AD51" s="1">
        <f t="shared" si="29"/>
        <v>0</v>
      </c>
      <c r="AE51" s="1">
        <f t="shared" si="30"/>
        <v>1</v>
      </c>
    </row>
    <row r="52" spans="1:31" x14ac:dyDescent="0.25">
      <c r="A52" s="3" t="s">
        <v>17</v>
      </c>
      <c r="B52" s="1">
        <f t="shared" si="1"/>
        <v>0</v>
      </c>
      <c r="C52" s="1">
        <f t="shared" si="2"/>
        <v>0</v>
      </c>
      <c r="D52" s="1">
        <f t="shared" si="3"/>
        <v>1</v>
      </c>
      <c r="E52" s="1">
        <f t="shared" si="4"/>
        <v>0</v>
      </c>
      <c r="F52" s="1">
        <f t="shared" si="5"/>
        <v>0</v>
      </c>
      <c r="G52" s="1">
        <f t="shared" si="6"/>
        <v>0</v>
      </c>
      <c r="H52" s="1">
        <f t="shared" si="7"/>
        <v>0</v>
      </c>
      <c r="I52" s="1">
        <f t="shared" si="8"/>
        <v>0</v>
      </c>
      <c r="J52" s="1">
        <f t="shared" si="9"/>
        <v>0</v>
      </c>
      <c r="K52" s="1">
        <f t="shared" si="10"/>
        <v>0</v>
      </c>
      <c r="L52" s="1">
        <f t="shared" si="11"/>
        <v>0</v>
      </c>
      <c r="M52" s="1">
        <f t="shared" si="12"/>
        <v>1</v>
      </c>
      <c r="N52" s="1">
        <f t="shared" si="13"/>
        <v>1</v>
      </c>
      <c r="O52" s="1">
        <f t="shared" si="14"/>
        <v>0</v>
      </c>
      <c r="P52" s="1">
        <f t="shared" si="15"/>
        <v>1</v>
      </c>
      <c r="Q52" s="1">
        <f t="shared" si="16"/>
        <v>0</v>
      </c>
      <c r="R52" s="1">
        <f t="shared" si="17"/>
        <v>0</v>
      </c>
      <c r="S52" s="1">
        <f t="shared" si="18"/>
        <v>0</v>
      </c>
      <c r="T52" s="1">
        <f t="shared" si="19"/>
        <v>0</v>
      </c>
      <c r="U52" s="1">
        <f t="shared" si="20"/>
        <v>0</v>
      </c>
      <c r="V52" s="1">
        <f t="shared" si="21"/>
        <v>1</v>
      </c>
      <c r="W52" s="1">
        <f t="shared" si="22"/>
        <v>1</v>
      </c>
      <c r="X52" s="1">
        <f t="shared" si="23"/>
        <v>0</v>
      </c>
      <c r="Y52" s="1">
        <f t="shared" si="24"/>
        <v>0</v>
      </c>
      <c r="Z52" s="1">
        <f t="shared" si="25"/>
        <v>0</v>
      </c>
      <c r="AA52" s="1">
        <f t="shared" si="26"/>
        <v>0</v>
      </c>
      <c r="AB52" s="1">
        <f t="shared" si="27"/>
        <v>0</v>
      </c>
      <c r="AC52" s="1">
        <f t="shared" si="28"/>
        <v>0</v>
      </c>
      <c r="AD52" s="1">
        <f t="shared" si="29"/>
        <v>0</v>
      </c>
      <c r="AE52" s="1">
        <f t="shared" si="30"/>
        <v>0</v>
      </c>
    </row>
    <row r="53" spans="1:31" x14ac:dyDescent="0.25">
      <c r="A53" s="3" t="s">
        <v>18</v>
      </c>
      <c r="B53" s="1">
        <f t="shared" si="1"/>
        <v>0</v>
      </c>
      <c r="C53" s="1">
        <f t="shared" si="2"/>
        <v>1</v>
      </c>
      <c r="D53" s="1">
        <f t="shared" si="3"/>
        <v>1</v>
      </c>
      <c r="E53" s="1">
        <f t="shared" si="4"/>
        <v>0</v>
      </c>
      <c r="F53" s="1">
        <f t="shared" si="5"/>
        <v>0</v>
      </c>
      <c r="G53" s="1">
        <f t="shared" si="6"/>
        <v>0</v>
      </c>
      <c r="H53" s="1">
        <f t="shared" si="7"/>
        <v>0</v>
      </c>
      <c r="I53" s="1">
        <f t="shared" si="8"/>
        <v>1</v>
      </c>
      <c r="J53" s="1">
        <f t="shared" si="9"/>
        <v>1</v>
      </c>
      <c r="K53" s="1">
        <f t="shared" si="10"/>
        <v>0</v>
      </c>
      <c r="L53" s="1">
        <f t="shared" si="11"/>
        <v>1</v>
      </c>
      <c r="M53" s="1">
        <f t="shared" si="12"/>
        <v>1</v>
      </c>
      <c r="N53" s="1">
        <f t="shared" si="13"/>
        <v>0</v>
      </c>
      <c r="O53" s="1">
        <f t="shared" si="14"/>
        <v>1</v>
      </c>
      <c r="P53" s="1">
        <f t="shared" si="15"/>
        <v>0</v>
      </c>
      <c r="Q53" s="1">
        <f t="shared" si="16"/>
        <v>0</v>
      </c>
      <c r="R53" s="1">
        <f t="shared" si="17"/>
        <v>0</v>
      </c>
      <c r="S53" s="1">
        <f t="shared" si="18"/>
        <v>0</v>
      </c>
      <c r="T53" s="1">
        <f t="shared" si="19"/>
        <v>1</v>
      </c>
      <c r="U53" s="1">
        <f t="shared" si="20"/>
        <v>0</v>
      </c>
      <c r="V53" s="1">
        <f t="shared" si="21"/>
        <v>1</v>
      </c>
      <c r="W53" s="1">
        <f t="shared" si="22"/>
        <v>1</v>
      </c>
      <c r="X53" s="1">
        <f t="shared" si="23"/>
        <v>0</v>
      </c>
      <c r="Y53" s="1">
        <f t="shared" si="24"/>
        <v>1</v>
      </c>
      <c r="Z53" s="1">
        <f t="shared" si="25"/>
        <v>1</v>
      </c>
      <c r="AA53" s="1">
        <f t="shared" si="26"/>
        <v>0</v>
      </c>
      <c r="AB53" s="1">
        <f t="shared" si="27"/>
        <v>0</v>
      </c>
      <c r="AC53" s="1">
        <f t="shared" si="28"/>
        <v>0</v>
      </c>
      <c r="AD53" s="1">
        <f t="shared" si="29"/>
        <v>0</v>
      </c>
      <c r="AE53" s="1">
        <f t="shared" si="30"/>
        <v>0</v>
      </c>
    </row>
    <row r="54" spans="1:31" x14ac:dyDescent="0.25">
      <c r="A54" s="3" t="s">
        <v>19</v>
      </c>
      <c r="B54" s="1">
        <f t="shared" si="1"/>
        <v>0</v>
      </c>
      <c r="C54" s="1">
        <f t="shared" si="2"/>
        <v>1</v>
      </c>
      <c r="D54" s="1">
        <f t="shared" si="3"/>
        <v>1</v>
      </c>
      <c r="E54" s="1">
        <f t="shared" si="4"/>
        <v>0</v>
      </c>
      <c r="F54" s="1">
        <f t="shared" si="5"/>
        <v>0</v>
      </c>
      <c r="G54" s="1">
        <f t="shared" si="6"/>
        <v>1</v>
      </c>
      <c r="H54" s="1">
        <f t="shared" si="7"/>
        <v>1</v>
      </c>
      <c r="I54" s="1">
        <f t="shared" si="8"/>
        <v>1</v>
      </c>
      <c r="J54" s="1">
        <f t="shared" si="9"/>
        <v>1</v>
      </c>
      <c r="K54" s="1">
        <f t="shared" si="10"/>
        <v>1</v>
      </c>
      <c r="L54" s="1">
        <f t="shared" si="11"/>
        <v>1</v>
      </c>
      <c r="M54" s="1">
        <f t="shared" si="12"/>
        <v>1</v>
      </c>
      <c r="N54" s="1">
        <f t="shared" si="13"/>
        <v>0</v>
      </c>
      <c r="O54" s="1">
        <f t="shared" si="14"/>
        <v>1</v>
      </c>
      <c r="P54" s="1">
        <f t="shared" si="15"/>
        <v>0</v>
      </c>
      <c r="Q54" s="1">
        <f t="shared" si="16"/>
        <v>0</v>
      </c>
      <c r="R54" s="1">
        <f t="shared" si="17"/>
        <v>0</v>
      </c>
      <c r="S54" s="1">
        <f t="shared" si="18"/>
        <v>0</v>
      </c>
      <c r="T54" s="1">
        <f t="shared" si="19"/>
        <v>1</v>
      </c>
      <c r="U54" s="1">
        <f t="shared" si="20"/>
        <v>0</v>
      </c>
      <c r="V54" s="1">
        <f t="shared" si="21"/>
        <v>0</v>
      </c>
      <c r="W54" s="1">
        <f t="shared" si="22"/>
        <v>1</v>
      </c>
      <c r="X54" s="1">
        <f t="shared" si="23"/>
        <v>0</v>
      </c>
      <c r="Y54" s="1">
        <f t="shared" si="24"/>
        <v>1</v>
      </c>
      <c r="Z54" s="1">
        <f t="shared" si="25"/>
        <v>1</v>
      </c>
      <c r="AA54" s="1">
        <f t="shared" si="26"/>
        <v>0</v>
      </c>
      <c r="AB54" s="1">
        <f t="shared" si="27"/>
        <v>0</v>
      </c>
      <c r="AC54" s="1">
        <f t="shared" si="28"/>
        <v>0</v>
      </c>
      <c r="AD54" s="1">
        <f t="shared" si="29"/>
        <v>0</v>
      </c>
      <c r="AE54" s="1">
        <f t="shared" si="30"/>
        <v>0</v>
      </c>
    </row>
    <row r="55" spans="1:31" x14ac:dyDescent="0.25">
      <c r="A55" s="3" t="s">
        <v>20</v>
      </c>
      <c r="B55" s="1">
        <f t="shared" si="1"/>
        <v>0</v>
      </c>
      <c r="C55" s="1">
        <f t="shared" si="2"/>
        <v>0</v>
      </c>
      <c r="D55" s="1">
        <f t="shared" si="3"/>
        <v>1</v>
      </c>
      <c r="E55" s="1">
        <f t="shared" si="4"/>
        <v>1</v>
      </c>
      <c r="F55" s="1">
        <f t="shared" si="5"/>
        <v>0</v>
      </c>
      <c r="G55" s="1">
        <f t="shared" si="6"/>
        <v>0</v>
      </c>
      <c r="H55" s="1">
        <f t="shared" si="7"/>
        <v>0</v>
      </c>
      <c r="I55" s="1">
        <f t="shared" si="8"/>
        <v>0</v>
      </c>
      <c r="J55" s="1">
        <f t="shared" si="9"/>
        <v>0</v>
      </c>
      <c r="K55" s="1">
        <f t="shared" si="10"/>
        <v>0</v>
      </c>
      <c r="L55" s="1">
        <f t="shared" si="11"/>
        <v>0</v>
      </c>
      <c r="M55" s="1">
        <f t="shared" si="12"/>
        <v>1</v>
      </c>
      <c r="N55" s="1">
        <f t="shared" si="13"/>
        <v>1</v>
      </c>
      <c r="O55" s="1">
        <f t="shared" si="14"/>
        <v>0</v>
      </c>
      <c r="P55" s="1">
        <f t="shared" si="15"/>
        <v>1</v>
      </c>
      <c r="Q55" s="1">
        <f t="shared" si="16"/>
        <v>0</v>
      </c>
      <c r="R55" s="1">
        <f t="shared" si="17"/>
        <v>1</v>
      </c>
      <c r="S55" s="1">
        <f t="shared" si="18"/>
        <v>1</v>
      </c>
      <c r="T55" s="1">
        <f t="shared" si="19"/>
        <v>0</v>
      </c>
      <c r="U55" s="1">
        <f t="shared" si="20"/>
        <v>0</v>
      </c>
      <c r="V55" s="1">
        <f t="shared" si="21"/>
        <v>1</v>
      </c>
      <c r="W55" s="1">
        <f t="shared" si="22"/>
        <v>1</v>
      </c>
      <c r="X55" s="1">
        <f t="shared" si="23"/>
        <v>0</v>
      </c>
      <c r="Y55" s="1">
        <f t="shared" si="24"/>
        <v>0</v>
      </c>
      <c r="Z55" s="1">
        <f t="shared" si="25"/>
        <v>0</v>
      </c>
      <c r="AA55" s="1">
        <f t="shared" si="26"/>
        <v>0</v>
      </c>
      <c r="AB55" s="1">
        <f t="shared" si="27"/>
        <v>0</v>
      </c>
      <c r="AC55" s="1">
        <f t="shared" si="28"/>
        <v>0</v>
      </c>
      <c r="AD55" s="1">
        <f t="shared" si="29"/>
        <v>1</v>
      </c>
      <c r="AE55" s="1">
        <f t="shared" si="30"/>
        <v>0</v>
      </c>
    </row>
    <row r="56" spans="1:31" x14ac:dyDescent="0.25">
      <c r="A56" s="3" t="s">
        <v>21</v>
      </c>
      <c r="B56" s="1">
        <f t="shared" si="1"/>
        <v>0</v>
      </c>
      <c r="C56" s="1">
        <f t="shared" si="2"/>
        <v>0</v>
      </c>
      <c r="D56" s="1">
        <f t="shared" si="3"/>
        <v>1</v>
      </c>
      <c r="E56" s="1">
        <f t="shared" si="4"/>
        <v>0</v>
      </c>
      <c r="F56" s="1">
        <f t="shared" si="5"/>
        <v>0</v>
      </c>
      <c r="G56" s="1">
        <f t="shared" si="6"/>
        <v>0</v>
      </c>
      <c r="H56" s="1">
        <f t="shared" si="7"/>
        <v>0</v>
      </c>
      <c r="I56" s="1">
        <f t="shared" si="8"/>
        <v>0</v>
      </c>
      <c r="J56" s="1">
        <f t="shared" si="9"/>
        <v>0</v>
      </c>
      <c r="K56" s="1">
        <f t="shared" si="10"/>
        <v>0</v>
      </c>
      <c r="L56" s="1">
        <f t="shared" si="11"/>
        <v>0</v>
      </c>
      <c r="M56" s="1">
        <f t="shared" si="12"/>
        <v>1</v>
      </c>
      <c r="N56" s="1">
        <f t="shared" si="13"/>
        <v>1</v>
      </c>
      <c r="O56" s="1">
        <f t="shared" si="14"/>
        <v>0</v>
      </c>
      <c r="P56" s="1">
        <f t="shared" si="15"/>
        <v>1</v>
      </c>
      <c r="Q56" s="1">
        <f t="shared" si="16"/>
        <v>0</v>
      </c>
      <c r="R56" s="1">
        <f t="shared" si="17"/>
        <v>0</v>
      </c>
      <c r="S56" s="1">
        <f t="shared" si="18"/>
        <v>0</v>
      </c>
      <c r="T56" s="1">
        <f t="shared" si="19"/>
        <v>0</v>
      </c>
      <c r="U56" s="1">
        <f t="shared" si="20"/>
        <v>0</v>
      </c>
      <c r="V56" s="1">
        <f t="shared" si="21"/>
        <v>1</v>
      </c>
      <c r="W56" s="1">
        <f t="shared" si="22"/>
        <v>1</v>
      </c>
      <c r="X56" s="1">
        <f t="shared" si="23"/>
        <v>0</v>
      </c>
      <c r="Y56" s="1">
        <f t="shared" si="24"/>
        <v>0</v>
      </c>
      <c r="Z56" s="1">
        <f t="shared" si="25"/>
        <v>0</v>
      </c>
      <c r="AA56" s="1">
        <f t="shared" si="26"/>
        <v>0</v>
      </c>
      <c r="AB56" s="1">
        <f t="shared" si="27"/>
        <v>0</v>
      </c>
      <c r="AC56" s="1">
        <f t="shared" si="28"/>
        <v>0</v>
      </c>
      <c r="AD56" s="1">
        <f t="shared" si="29"/>
        <v>0</v>
      </c>
      <c r="AE56" s="1">
        <f t="shared" si="30"/>
        <v>0</v>
      </c>
    </row>
    <row r="57" spans="1:31" x14ac:dyDescent="0.25">
      <c r="A57" s="3" t="s">
        <v>22</v>
      </c>
      <c r="B57" s="1">
        <f t="shared" si="1"/>
        <v>1</v>
      </c>
      <c r="C57" s="1">
        <f t="shared" si="2"/>
        <v>1</v>
      </c>
      <c r="D57" s="1">
        <f t="shared" si="3"/>
        <v>0</v>
      </c>
      <c r="E57" s="1">
        <f t="shared" si="4"/>
        <v>1</v>
      </c>
      <c r="F57" s="1">
        <f t="shared" si="5"/>
        <v>1</v>
      </c>
      <c r="G57" s="1">
        <f t="shared" si="6"/>
        <v>1</v>
      </c>
      <c r="H57" s="1">
        <f t="shared" si="7"/>
        <v>1</v>
      </c>
      <c r="I57" s="1">
        <f t="shared" si="8"/>
        <v>1</v>
      </c>
      <c r="J57" s="1">
        <f t="shared" si="9"/>
        <v>1</v>
      </c>
      <c r="K57" s="1">
        <f t="shared" si="10"/>
        <v>1</v>
      </c>
      <c r="L57" s="1">
        <f t="shared" si="11"/>
        <v>1</v>
      </c>
      <c r="M57" s="1">
        <f t="shared" si="12"/>
        <v>0</v>
      </c>
      <c r="N57" s="1">
        <f t="shared" si="13"/>
        <v>0</v>
      </c>
      <c r="O57" s="1">
        <f t="shared" si="14"/>
        <v>1</v>
      </c>
      <c r="P57" s="1">
        <f t="shared" si="15"/>
        <v>0</v>
      </c>
      <c r="Q57" s="1">
        <f t="shared" si="16"/>
        <v>1</v>
      </c>
      <c r="R57" s="1">
        <f t="shared" si="17"/>
        <v>1</v>
      </c>
      <c r="S57" s="1">
        <f t="shared" si="18"/>
        <v>0</v>
      </c>
      <c r="T57" s="1">
        <f t="shared" si="19"/>
        <v>1</v>
      </c>
      <c r="U57" s="1">
        <f t="shared" si="20"/>
        <v>1</v>
      </c>
      <c r="V57" s="1">
        <f t="shared" si="21"/>
        <v>0</v>
      </c>
      <c r="W57" s="1">
        <f t="shared" si="22"/>
        <v>0</v>
      </c>
      <c r="X57" s="1">
        <f t="shared" si="23"/>
        <v>1</v>
      </c>
      <c r="Y57" s="1">
        <f t="shared" si="24"/>
        <v>1</v>
      </c>
      <c r="Z57" s="1">
        <f t="shared" si="25"/>
        <v>1</v>
      </c>
      <c r="AA57" s="1">
        <f t="shared" si="26"/>
        <v>1</v>
      </c>
      <c r="AB57" s="1">
        <f t="shared" si="27"/>
        <v>1</v>
      </c>
      <c r="AC57" s="1">
        <f t="shared" si="28"/>
        <v>1</v>
      </c>
      <c r="AD57" s="1">
        <f t="shared" si="29"/>
        <v>1</v>
      </c>
      <c r="AE57" s="1">
        <f t="shared" si="30"/>
        <v>1</v>
      </c>
    </row>
    <row r="58" spans="1:31" x14ac:dyDescent="0.25">
      <c r="A58" s="3" t="s">
        <v>23</v>
      </c>
      <c r="B58" s="1">
        <f t="shared" si="1"/>
        <v>1</v>
      </c>
      <c r="C58" s="1">
        <f t="shared" si="2"/>
        <v>1</v>
      </c>
      <c r="D58" s="1">
        <f t="shared" si="3"/>
        <v>0</v>
      </c>
      <c r="E58" s="1">
        <f t="shared" si="4"/>
        <v>1</v>
      </c>
      <c r="F58" s="1">
        <f t="shared" si="5"/>
        <v>1</v>
      </c>
      <c r="G58" s="1">
        <f t="shared" si="6"/>
        <v>1</v>
      </c>
      <c r="H58" s="1">
        <f t="shared" si="7"/>
        <v>1</v>
      </c>
      <c r="I58" s="1">
        <f t="shared" si="8"/>
        <v>1</v>
      </c>
      <c r="J58" s="1">
        <f t="shared" si="9"/>
        <v>1</v>
      </c>
      <c r="K58" s="1">
        <f t="shared" si="10"/>
        <v>1</v>
      </c>
      <c r="L58" s="1">
        <f t="shared" si="11"/>
        <v>1</v>
      </c>
      <c r="M58" s="1">
        <f t="shared" si="12"/>
        <v>0</v>
      </c>
      <c r="N58" s="1">
        <f t="shared" si="13"/>
        <v>0</v>
      </c>
      <c r="O58" s="1">
        <f t="shared" si="14"/>
        <v>1</v>
      </c>
      <c r="P58" s="1">
        <f t="shared" si="15"/>
        <v>0</v>
      </c>
      <c r="Q58" s="1">
        <f t="shared" si="16"/>
        <v>1</v>
      </c>
      <c r="R58" s="1">
        <f t="shared" si="17"/>
        <v>1</v>
      </c>
      <c r="S58" s="1">
        <f t="shared" si="18"/>
        <v>1</v>
      </c>
      <c r="T58" s="1">
        <f t="shared" si="19"/>
        <v>1</v>
      </c>
      <c r="U58" s="1">
        <f t="shared" si="20"/>
        <v>1</v>
      </c>
      <c r="V58" s="1">
        <f t="shared" si="21"/>
        <v>0</v>
      </c>
      <c r="W58" s="1">
        <f t="shared" si="22"/>
        <v>0</v>
      </c>
      <c r="X58" s="1">
        <f t="shared" si="23"/>
        <v>1</v>
      </c>
      <c r="Y58" s="1">
        <f t="shared" si="24"/>
        <v>1</v>
      </c>
      <c r="Z58" s="1">
        <f t="shared" si="25"/>
        <v>1</v>
      </c>
      <c r="AA58" s="1">
        <f t="shared" si="26"/>
        <v>1</v>
      </c>
      <c r="AB58" s="1">
        <f t="shared" si="27"/>
        <v>1</v>
      </c>
      <c r="AC58" s="1">
        <f t="shared" si="28"/>
        <v>1</v>
      </c>
      <c r="AD58" s="1">
        <f t="shared" si="29"/>
        <v>1</v>
      </c>
      <c r="AE58" s="1">
        <f t="shared" si="30"/>
        <v>1</v>
      </c>
    </row>
    <row r="59" spans="1:31" x14ac:dyDescent="0.25">
      <c r="A59" s="3" t="s">
        <v>24</v>
      </c>
      <c r="B59" s="1">
        <f t="shared" si="1"/>
        <v>0</v>
      </c>
      <c r="C59" s="1">
        <f t="shared" si="2"/>
        <v>1</v>
      </c>
      <c r="D59" s="1">
        <f t="shared" si="3"/>
        <v>1</v>
      </c>
      <c r="E59" s="1">
        <f t="shared" si="4"/>
        <v>0</v>
      </c>
      <c r="F59" s="1">
        <f t="shared" si="5"/>
        <v>0</v>
      </c>
      <c r="G59" s="1">
        <f t="shared" si="6"/>
        <v>0</v>
      </c>
      <c r="H59" s="1">
        <f t="shared" si="7"/>
        <v>0</v>
      </c>
      <c r="I59" s="1">
        <f t="shared" si="8"/>
        <v>0</v>
      </c>
      <c r="J59" s="1">
        <f t="shared" si="9"/>
        <v>1</v>
      </c>
      <c r="K59" s="1">
        <f t="shared" si="10"/>
        <v>0</v>
      </c>
      <c r="L59" s="1">
        <f t="shared" si="11"/>
        <v>0</v>
      </c>
      <c r="M59" s="1">
        <f t="shared" si="12"/>
        <v>1</v>
      </c>
      <c r="N59" s="1">
        <f t="shared" si="13"/>
        <v>1</v>
      </c>
      <c r="O59" s="1">
        <f t="shared" si="14"/>
        <v>0</v>
      </c>
      <c r="P59" s="1">
        <f t="shared" si="15"/>
        <v>1</v>
      </c>
      <c r="Q59" s="1">
        <f t="shared" si="16"/>
        <v>0</v>
      </c>
      <c r="R59" s="1">
        <f t="shared" si="17"/>
        <v>0</v>
      </c>
      <c r="S59" s="1">
        <f t="shared" si="18"/>
        <v>0</v>
      </c>
      <c r="T59" s="1">
        <f t="shared" si="19"/>
        <v>0</v>
      </c>
      <c r="U59" s="1">
        <f t="shared" si="20"/>
        <v>0</v>
      </c>
      <c r="V59" s="1">
        <f t="shared" si="21"/>
        <v>1</v>
      </c>
      <c r="W59" s="1">
        <f t="shared" si="22"/>
        <v>1</v>
      </c>
      <c r="X59" s="1">
        <f t="shared" si="23"/>
        <v>0</v>
      </c>
      <c r="Y59" s="1">
        <f t="shared" si="24"/>
        <v>1</v>
      </c>
      <c r="Z59" s="1">
        <f t="shared" si="25"/>
        <v>1</v>
      </c>
      <c r="AA59" s="1">
        <f t="shared" si="26"/>
        <v>0</v>
      </c>
      <c r="AB59" s="1">
        <f t="shared" si="27"/>
        <v>0</v>
      </c>
      <c r="AC59" s="1">
        <f t="shared" si="28"/>
        <v>0</v>
      </c>
      <c r="AD59" s="1">
        <f t="shared" si="29"/>
        <v>0</v>
      </c>
      <c r="AE59" s="1">
        <f t="shared" si="30"/>
        <v>0</v>
      </c>
    </row>
    <row r="60" spans="1:31" x14ac:dyDescent="0.25">
      <c r="A60" s="3" t="s">
        <v>25</v>
      </c>
      <c r="B60" s="1">
        <f t="shared" si="1"/>
        <v>0</v>
      </c>
      <c r="C60" s="1">
        <f t="shared" si="2"/>
        <v>0</v>
      </c>
      <c r="D60" s="1">
        <f t="shared" si="3"/>
        <v>1</v>
      </c>
      <c r="E60" s="1">
        <f t="shared" si="4"/>
        <v>1</v>
      </c>
      <c r="F60" s="1">
        <f t="shared" si="5"/>
        <v>0</v>
      </c>
      <c r="G60" s="1">
        <f t="shared" si="6"/>
        <v>0</v>
      </c>
      <c r="H60" s="1">
        <f t="shared" si="7"/>
        <v>0</v>
      </c>
      <c r="I60" s="1">
        <f t="shared" si="8"/>
        <v>0</v>
      </c>
      <c r="J60" s="1">
        <f t="shared" si="9"/>
        <v>0</v>
      </c>
      <c r="K60" s="1">
        <f t="shared" si="10"/>
        <v>0</v>
      </c>
      <c r="L60" s="1">
        <f t="shared" si="11"/>
        <v>0</v>
      </c>
      <c r="M60" s="1">
        <f t="shared" si="12"/>
        <v>1</v>
      </c>
      <c r="N60" s="1">
        <f t="shared" si="13"/>
        <v>1</v>
      </c>
      <c r="O60" s="1">
        <f t="shared" si="14"/>
        <v>0</v>
      </c>
      <c r="P60" s="1">
        <f t="shared" si="15"/>
        <v>1</v>
      </c>
      <c r="Q60" s="1">
        <f t="shared" si="16"/>
        <v>0</v>
      </c>
      <c r="R60" s="1">
        <f t="shared" si="17"/>
        <v>1</v>
      </c>
      <c r="S60" s="1">
        <f t="shared" si="18"/>
        <v>1</v>
      </c>
      <c r="T60" s="1">
        <f t="shared" si="19"/>
        <v>0</v>
      </c>
      <c r="U60" s="1">
        <f t="shared" si="20"/>
        <v>0</v>
      </c>
      <c r="V60" s="1">
        <f t="shared" si="21"/>
        <v>1</v>
      </c>
      <c r="W60" s="1">
        <f t="shared" si="22"/>
        <v>1</v>
      </c>
      <c r="X60" s="1">
        <f t="shared" si="23"/>
        <v>1</v>
      </c>
      <c r="Y60" s="1">
        <f t="shared" si="24"/>
        <v>0</v>
      </c>
      <c r="Z60" s="1">
        <f t="shared" si="25"/>
        <v>0</v>
      </c>
      <c r="AA60" s="1">
        <f t="shared" si="26"/>
        <v>0</v>
      </c>
      <c r="AB60" s="1">
        <f t="shared" si="27"/>
        <v>0</v>
      </c>
      <c r="AC60" s="1">
        <f t="shared" si="28"/>
        <v>0</v>
      </c>
      <c r="AD60" s="1">
        <f t="shared" si="29"/>
        <v>1</v>
      </c>
      <c r="AE60" s="1">
        <f t="shared" si="30"/>
        <v>1</v>
      </c>
    </row>
    <row r="61" spans="1:31" x14ac:dyDescent="0.25">
      <c r="A61" s="3" t="s">
        <v>26</v>
      </c>
      <c r="B61" s="1">
        <f t="shared" si="1"/>
        <v>0</v>
      </c>
      <c r="C61" s="1">
        <f t="shared" si="2"/>
        <v>0</v>
      </c>
      <c r="D61" s="1">
        <f t="shared" si="3"/>
        <v>1</v>
      </c>
      <c r="E61" s="1">
        <f t="shared" si="4"/>
        <v>1</v>
      </c>
      <c r="F61" s="1">
        <f t="shared" si="5"/>
        <v>0</v>
      </c>
      <c r="G61" s="1">
        <f t="shared" si="6"/>
        <v>0</v>
      </c>
      <c r="H61" s="1">
        <f t="shared" si="7"/>
        <v>0</v>
      </c>
      <c r="I61" s="1">
        <f t="shared" si="8"/>
        <v>0</v>
      </c>
      <c r="J61" s="1">
        <f t="shared" si="9"/>
        <v>0</v>
      </c>
      <c r="K61" s="1">
        <f t="shared" si="10"/>
        <v>0</v>
      </c>
      <c r="L61" s="1">
        <f t="shared" si="11"/>
        <v>0</v>
      </c>
      <c r="M61" s="1">
        <f t="shared" si="12"/>
        <v>1</v>
      </c>
      <c r="N61" s="1">
        <f t="shared" si="13"/>
        <v>1</v>
      </c>
      <c r="O61" s="1">
        <f t="shared" si="14"/>
        <v>0</v>
      </c>
      <c r="P61" s="1">
        <f t="shared" si="15"/>
        <v>1</v>
      </c>
      <c r="Q61" s="1">
        <f t="shared" si="16"/>
        <v>0</v>
      </c>
      <c r="R61" s="1">
        <f t="shared" si="17"/>
        <v>1</v>
      </c>
      <c r="S61" s="1">
        <f t="shared" si="18"/>
        <v>1</v>
      </c>
      <c r="T61" s="1">
        <f t="shared" si="19"/>
        <v>0</v>
      </c>
      <c r="U61" s="1">
        <f t="shared" si="20"/>
        <v>0</v>
      </c>
      <c r="V61" s="1">
        <f t="shared" si="21"/>
        <v>1</v>
      </c>
      <c r="W61" s="1">
        <f t="shared" si="22"/>
        <v>1</v>
      </c>
      <c r="X61" s="1">
        <f t="shared" si="23"/>
        <v>1</v>
      </c>
      <c r="Y61" s="1">
        <f t="shared" si="24"/>
        <v>0</v>
      </c>
      <c r="Z61" s="1">
        <f t="shared" si="25"/>
        <v>0</v>
      </c>
      <c r="AA61" s="1">
        <f t="shared" si="26"/>
        <v>0</v>
      </c>
      <c r="AB61" s="1">
        <f t="shared" si="27"/>
        <v>1</v>
      </c>
      <c r="AC61" s="1">
        <f t="shared" si="28"/>
        <v>0</v>
      </c>
      <c r="AD61" s="1">
        <f t="shared" si="29"/>
        <v>1</v>
      </c>
      <c r="AE61" s="1">
        <f t="shared" si="30"/>
        <v>1</v>
      </c>
    </row>
    <row r="62" spans="1:31" x14ac:dyDescent="0.25">
      <c r="A62" s="3" t="s">
        <v>27</v>
      </c>
      <c r="B62" s="1">
        <f t="shared" si="1"/>
        <v>0</v>
      </c>
      <c r="C62" s="1">
        <f t="shared" si="2"/>
        <v>1</v>
      </c>
      <c r="D62" s="1">
        <f t="shared" si="3"/>
        <v>1</v>
      </c>
      <c r="E62" s="1">
        <f t="shared" si="4"/>
        <v>0</v>
      </c>
      <c r="F62" s="1">
        <f t="shared" si="5"/>
        <v>0</v>
      </c>
      <c r="G62" s="1">
        <f t="shared" si="6"/>
        <v>0</v>
      </c>
      <c r="H62" s="1">
        <f t="shared" si="7"/>
        <v>0</v>
      </c>
      <c r="I62" s="1">
        <f t="shared" si="8"/>
        <v>0</v>
      </c>
      <c r="J62" s="1">
        <f t="shared" si="9"/>
        <v>0</v>
      </c>
      <c r="K62" s="1">
        <f t="shared" si="10"/>
        <v>0</v>
      </c>
      <c r="L62" s="1">
        <f t="shared" si="11"/>
        <v>0</v>
      </c>
      <c r="M62" s="1">
        <f t="shared" si="12"/>
        <v>1</v>
      </c>
      <c r="N62" s="1">
        <f t="shared" si="13"/>
        <v>1</v>
      </c>
      <c r="O62" s="1">
        <f t="shared" si="14"/>
        <v>0</v>
      </c>
      <c r="P62" s="1">
        <f t="shared" si="15"/>
        <v>1</v>
      </c>
      <c r="Q62" s="1">
        <f t="shared" si="16"/>
        <v>0</v>
      </c>
      <c r="R62" s="1">
        <f t="shared" si="17"/>
        <v>0</v>
      </c>
      <c r="S62" s="1">
        <f t="shared" si="18"/>
        <v>0</v>
      </c>
      <c r="T62" s="1">
        <f t="shared" si="19"/>
        <v>0</v>
      </c>
      <c r="U62" s="1">
        <f t="shared" si="20"/>
        <v>0</v>
      </c>
      <c r="V62" s="1">
        <f t="shared" si="21"/>
        <v>1</v>
      </c>
      <c r="W62" s="1">
        <f t="shared" si="22"/>
        <v>1</v>
      </c>
      <c r="X62" s="1">
        <f t="shared" si="23"/>
        <v>0</v>
      </c>
      <c r="Y62" s="1">
        <f t="shared" si="24"/>
        <v>0</v>
      </c>
      <c r="Z62" s="1">
        <f t="shared" si="25"/>
        <v>0</v>
      </c>
      <c r="AA62" s="1">
        <f t="shared" si="26"/>
        <v>0</v>
      </c>
      <c r="AB62" s="1">
        <f t="shared" si="27"/>
        <v>0</v>
      </c>
      <c r="AC62" s="1">
        <f t="shared" si="28"/>
        <v>0</v>
      </c>
      <c r="AD62" s="1">
        <f t="shared" si="29"/>
        <v>0</v>
      </c>
      <c r="AE62" s="1">
        <f t="shared" si="30"/>
        <v>0</v>
      </c>
    </row>
    <row r="63" spans="1:31" x14ac:dyDescent="0.25">
      <c r="A63" s="3" t="s">
        <v>28</v>
      </c>
      <c r="B63" s="1">
        <f t="shared" si="1"/>
        <v>0</v>
      </c>
      <c r="C63" s="1">
        <f t="shared" si="2"/>
        <v>1</v>
      </c>
      <c r="D63" s="1">
        <f t="shared" si="3"/>
        <v>1</v>
      </c>
      <c r="E63" s="1">
        <f t="shared" si="4"/>
        <v>0</v>
      </c>
      <c r="F63" s="1">
        <f t="shared" si="5"/>
        <v>0</v>
      </c>
      <c r="G63" s="1">
        <f t="shared" si="6"/>
        <v>0</v>
      </c>
      <c r="H63" s="1">
        <f t="shared" si="7"/>
        <v>0</v>
      </c>
      <c r="I63" s="1">
        <f t="shared" si="8"/>
        <v>0</v>
      </c>
      <c r="J63" s="1">
        <f t="shared" si="9"/>
        <v>1</v>
      </c>
      <c r="K63" s="1">
        <f t="shared" si="10"/>
        <v>0</v>
      </c>
      <c r="L63" s="1">
        <f t="shared" si="11"/>
        <v>0</v>
      </c>
      <c r="M63" s="1">
        <f t="shared" si="12"/>
        <v>1</v>
      </c>
      <c r="N63" s="1">
        <f t="shared" si="13"/>
        <v>1</v>
      </c>
      <c r="O63" s="1">
        <f t="shared" si="14"/>
        <v>0</v>
      </c>
      <c r="P63" s="1">
        <f t="shared" si="15"/>
        <v>1</v>
      </c>
      <c r="Q63" s="1">
        <f t="shared" si="16"/>
        <v>0</v>
      </c>
      <c r="R63" s="1">
        <f t="shared" si="17"/>
        <v>0</v>
      </c>
      <c r="S63" s="1">
        <f t="shared" si="18"/>
        <v>0</v>
      </c>
      <c r="T63" s="1">
        <f t="shared" si="19"/>
        <v>0</v>
      </c>
      <c r="U63" s="1">
        <f t="shared" si="20"/>
        <v>0</v>
      </c>
      <c r="V63" s="1">
        <f t="shared" si="21"/>
        <v>1</v>
      </c>
      <c r="W63" s="1">
        <f t="shared" si="22"/>
        <v>1</v>
      </c>
      <c r="X63" s="1">
        <f t="shared" si="23"/>
        <v>0</v>
      </c>
      <c r="Y63" s="1">
        <f t="shared" si="24"/>
        <v>0</v>
      </c>
      <c r="Z63" s="1">
        <f t="shared" si="25"/>
        <v>1</v>
      </c>
      <c r="AA63" s="1">
        <f t="shared" si="26"/>
        <v>0</v>
      </c>
      <c r="AB63" s="1">
        <f t="shared" si="27"/>
        <v>0</v>
      </c>
      <c r="AC63" s="1">
        <f t="shared" si="28"/>
        <v>0</v>
      </c>
      <c r="AD63" s="1">
        <f t="shared" si="29"/>
        <v>0</v>
      </c>
      <c r="AE63" s="1">
        <f t="shared" si="30"/>
        <v>0</v>
      </c>
    </row>
    <row r="64" spans="1:31" x14ac:dyDescent="0.25">
      <c r="A64" s="3" t="s">
        <v>29</v>
      </c>
      <c r="B64" s="1">
        <f t="shared" si="1"/>
        <v>0</v>
      </c>
      <c r="C64" s="1">
        <f t="shared" si="2"/>
        <v>1</v>
      </c>
      <c r="D64" s="1">
        <f t="shared" si="3"/>
        <v>1</v>
      </c>
      <c r="E64" s="1">
        <f t="shared" si="4"/>
        <v>0</v>
      </c>
      <c r="F64" s="1">
        <f t="shared" si="5"/>
        <v>0</v>
      </c>
      <c r="G64" s="1">
        <f t="shared" si="6"/>
        <v>0</v>
      </c>
      <c r="H64" s="1">
        <f t="shared" si="7"/>
        <v>0</v>
      </c>
      <c r="I64" s="1">
        <f t="shared" si="8"/>
        <v>0</v>
      </c>
      <c r="J64" s="1">
        <f t="shared" si="9"/>
        <v>0</v>
      </c>
      <c r="K64" s="1">
        <f t="shared" si="10"/>
        <v>0</v>
      </c>
      <c r="L64" s="1">
        <f t="shared" si="11"/>
        <v>0</v>
      </c>
      <c r="M64" s="1">
        <f t="shared" si="12"/>
        <v>1</v>
      </c>
      <c r="N64" s="1">
        <f t="shared" si="13"/>
        <v>1</v>
      </c>
      <c r="O64" s="1">
        <f t="shared" si="14"/>
        <v>0</v>
      </c>
      <c r="P64" s="1">
        <f t="shared" si="15"/>
        <v>1</v>
      </c>
      <c r="Q64" s="1">
        <f t="shared" si="16"/>
        <v>0</v>
      </c>
      <c r="R64" s="1">
        <f t="shared" si="17"/>
        <v>0</v>
      </c>
      <c r="S64" s="1">
        <f t="shared" si="18"/>
        <v>0</v>
      </c>
      <c r="T64" s="1">
        <f t="shared" si="19"/>
        <v>0</v>
      </c>
      <c r="U64" s="1">
        <f t="shared" si="20"/>
        <v>0</v>
      </c>
      <c r="V64" s="1">
        <f t="shared" si="21"/>
        <v>1</v>
      </c>
      <c r="W64" s="1">
        <f t="shared" si="22"/>
        <v>1</v>
      </c>
      <c r="X64" s="1">
        <f t="shared" si="23"/>
        <v>0</v>
      </c>
      <c r="Y64" s="1">
        <f t="shared" si="24"/>
        <v>0</v>
      </c>
      <c r="Z64" s="1">
        <f t="shared" si="25"/>
        <v>0</v>
      </c>
      <c r="AA64" s="1">
        <f t="shared" si="26"/>
        <v>0</v>
      </c>
      <c r="AB64" s="1">
        <f t="shared" si="27"/>
        <v>0</v>
      </c>
      <c r="AC64" s="1">
        <f t="shared" si="28"/>
        <v>0</v>
      </c>
      <c r="AD64" s="1">
        <f t="shared" si="29"/>
        <v>0</v>
      </c>
      <c r="AE64" s="1">
        <f t="shared" si="30"/>
        <v>0</v>
      </c>
    </row>
    <row r="65" spans="1:32" x14ac:dyDescent="0.25">
      <c r="A65" s="3" t="s">
        <v>30</v>
      </c>
      <c r="B65" s="1">
        <f t="shared" si="1"/>
        <v>0</v>
      </c>
      <c r="C65" s="1">
        <f t="shared" si="2"/>
        <v>1</v>
      </c>
      <c r="D65" s="1">
        <f t="shared" si="3"/>
        <v>1</v>
      </c>
      <c r="E65" s="1">
        <f t="shared" si="4"/>
        <v>0</v>
      </c>
      <c r="F65" s="1">
        <f t="shared" si="5"/>
        <v>0</v>
      </c>
      <c r="G65" s="1">
        <f t="shared" si="6"/>
        <v>1</v>
      </c>
      <c r="H65" s="1">
        <f t="shared" si="7"/>
        <v>0</v>
      </c>
      <c r="I65" s="1">
        <f t="shared" si="8"/>
        <v>1</v>
      </c>
      <c r="J65" s="1">
        <f t="shared" si="9"/>
        <v>1</v>
      </c>
      <c r="K65" s="1">
        <f t="shared" si="10"/>
        <v>1</v>
      </c>
      <c r="L65" s="1">
        <f t="shared" si="11"/>
        <v>1</v>
      </c>
      <c r="M65" s="1">
        <f t="shared" si="12"/>
        <v>1</v>
      </c>
      <c r="N65" s="1">
        <f t="shared" si="13"/>
        <v>0</v>
      </c>
      <c r="O65" s="1">
        <f t="shared" si="14"/>
        <v>1</v>
      </c>
      <c r="P65" s="1">
        <f t="shared" si="15"/>
        <v>0</v>
      </c>
      <c r="Q65" s="1">
        <f t="shared" si="16"/>
        <v>0</v>
      </c>
      <c r="R65" s="1">
        <f t="shared" si="17"/>
        <v>0</v>
      </c>
      <c r="S65" s="1">
        <f t="shared" si="18"/>
        <v>0</v>
      </c>
      <c r="T65" s="1">
        <f t="shared" si="19"/>
        <v>1</v>
      </c>
      <c r="U65" s="1">
        <f t="shared" si="20"/>
        <v>0</v>
      </c>
      <c r="V65" s="1">
        <f t="shared" si="21"/>
        <v>1</v>
      </c>
      <c r="W65" s="1">
        <f t="shared" si="22"/>
        <v>1</v>
      </c>
      <c r="X65" s="1">
        <f t="shared" si="23"/>
        <v>0</v>
      </c>
      <c r="Y65" s="1">
        <f t="shared" si="24"/>
        <v>1</v>
      </c>
      <c r="Z65" s="1">
        <f t="shared" si="25"/>
        <v>1</v>
      </c>
      <c r="AA65" s="1">
        <f t="shared" si="26"/>
        <v>0</v>
      </c>
      <c r="AB65" s="1">
        <f t="shared" si="27"/>
        <v>0</v>
      </c>
      <c r="AC65" s="1">
        <f t="shared" si="28"/>
        <v>0</v>
      </c>
      <c r="AD65" s="1">
        <f t="shared" si="29"/>
        <v>0</v>
      </c>
      <c r="AE65" s="1">
        <f t="shared" si="30"/>
        <v>0</v>
      </c>
    </row>
    <row r="66" spans="1:32" x14ac:dyDescent="0.25">
      <c r="A66" s="3" t="s">
        <v>31</v>
      </c>
      <c r="B66" s="1">
        <f t="shared" si="1"/>
        <v>0</v>
      </c>
      <c r="C66" s="1">
        <f t="shared" si="2"/>
        <v>1</v>
      </c>
      <c r="D66" s="1">
        <f t="shared" si="3"/>
        <v>1</v>
      </c>
      <c r="E66" s="1">
        <f t="shared" si="4"/>
        <v>0</v>
      </c>
      <c r="F66" s="1">
        <f t="shared" si="5"/>
        <v>0</v>
      </c>
      <c r="G66" s="1">
        <f t="shared" si="6"/>
        <v>0</v>
      </c>
      <c r="H66" s="1">
        <f t="shared" si="7"/>
        <v>0</v>
      </c>
      <c r="I66" s="1">
        <f t="shared" si="8"/>
        <v>0</v>
      </c>
      <c r="J66" s="1">
        <f t="shared" si="9"/>
        <v>1</v>
      </c>
      <c r="K66" s="1">
        <f t="shared" si="10"/>
        <v>0</v>
      </c>
      <c r="L66" s="1">
        <f t="shared" si="11"/>
        <v>0</v>
      </c>
      <c r="M66" s="1">
        <f t="shared" si="12"/>
        <v>1</v>
      </c>
      <c r="N66" s="1">
        <f t="shared" si="13"/>
        <v>1</v>
      </c>
      <c r="O66" s="1">
        <f t="shared" si="14"/>
        <v>0</v>
      </c>
      <c r="P66" s="1">
        <f t="shared" si="15"/>
        <v>1</v>
      </c>
      <c r="Q66" s="1">
        <f t="shared" si="16"/>
        <v>0</v>
      </c>
      <c r="R66" s="1">
        <f t="shared" si="17"/>
        <v>0</v>
      </c>
      <c r="S66" s="1">
        <f t="shared" si="18"/>
        <v>0</v>
      </c>
      <c r="T66" s="1">
        <f t="shared" si="19"/>
        <v>0</v>
      </c>
      <c r="U66" s="1">
        <f t="shared" si="20"/>
        <v>0</v>
      </c>
      <c r="V66" s="1">
        <f t="shared" si="21"/>
        <v>1</v>
      </c>
      <c r="W66" s="1">
        <f t="shared" si="22"/>
        <v>1</v>
      </c>
      <c r="X66" s="1">
        <f t="shared" si="23"/>
        <v>0</v>
      </c>
      <c r="Y66" s="1">
        <f t="shared" si="24"/>
        <v>1</v>
      </c>
      <c r="Z66" s="1">
        <f t="shared" si="25"/>
        <v>1</v>
      </c>
      <c r="AA66" s="1">
        <f t="shared" si="26"/>
        <v>0</v>
      </c>
      <c r="AB66" s="1">
        <f t="shared" si="27"/>
        <v>0</v>
      </c>
      <c r="AC66" s="1">
        <f t="shared" si="28"/>
        <v>0</v>
      </c>
      <c r="AD66" s="1">
        <f t="shared" si="29"/>
        <v>0</v>
      </c>
      <c r="AE66" s="1">
        <f t="shared" si="30"/>
        <v>0</v>
      </c>
    </row>
    <row r="73" spans="1:32" x14ac:dyDescent="0.25">
      <c r="C73" s="3" t="s">
        <v>2</v>
      </c>
      <c r="D73" s="3" t="s">
        <v>3</v>
      </c>
      <c r="E73" s="3" t="s">
        <v>4</v>
      </c>
      <c r="F73" s="3" t="s">
        <v>5</v>
      </c>
      <c r="G73" s="3" t="s">
        <v>6</v>
      </c>
      <c r="H73" s="3" t="s">
        <v>7</v>
      </c>
      <c r="I73" s="3" t="s">
        <v>8</v>
      </c>
      <c r="J73" s="3" t="s">
        <v>9</v>
      </c>
      <c r="K73" s="3" t="s">
        <v>10</v>
      </c>
      <c r="L73" s="3" t="s">
        <v>11</v>
      </c>
      <c r="M73" s="3" t="s">
        <v>12</v>
      </c>
      <c r="N73" s="3" t="s">
        <v>13</v>
      </c>
      <c r="O73" s="3" t="s">
        <v>14</v>
      </c>
      <c r="P73" s="3" t="s">
        <v>15</v>
      </c>
      <c r="Q73" s="3" t="s">
        <v>16</v>
      </c>
      <c r="R73" s="3" t="s">
        <v>17</v>
      </c>
      <c r="S73" s="3" t="s">
        <v>18</v>
      </c>
      <c r="T73" s="3" t="s">
        <v>19</v>
      </c>
      <c r="U73" s="3" t="s">
        <v>20</v>
      </c>
      <c r="V73" s="3" t="s">
        <v>21</v>
      </c>
      <c r="W73" s="3" t="s">
        <v>22</v>
      </c>
      <c r="X73" s="3" t="s">
        <v>23</v>
      </c>
      <c r="Y73" s="3" t="s">
        <v>24</v>
      </c>
      <c r="Z73" s="3" t="s">
        <v>25</v>
      </c>
      <c r="AA73" s="3" t="s">
        <v>26</v>
      </c>
      <c r="AB73" s="3" t="s">
        <v>27</v>
      </c>
      <c r="AC73" s="3" t="s">
        <v>28</v>
      </c>
      <c r="AD73" s="3" t="s">
        <v>29</v>
      </c>
      <c r="AE73" s="3" t="s">
        <v>30</v>
      </c>
      <c r="AF73" s="3" t="s">
        <v>31</v>
      </c>
    </row>
    <row r="74" spans="1:32" x14ac:dyDescent="0.25">
      <c r="A74" s="3" t="s">
        <v>2</v>
      </c>
      <c r="B74" s="1">
        <v>47.856525219856898</v>
      </c>
    </row>
    <row r="75" spans="1:32" x14ac:dyDescent="0.25">
      <c r="A75" s="3" t="s">
        <v>3</v>
      </c>
      <c r="B75" s="1">
        <v>55.871772740032</v>
      </c>
      <c r="C75" s="1">
        <f>ABS($B$74-B75)</f>
        <v>8.0152475201750999</v>
      </c>
    </row>
    <row r="76" spans="1:32" x14ac:dyDescent="0.25">
      <c r="A76" s="3" t="s">
        <v>4</v>
      </c>
      <c r="B76" s="1">
        <v>33.494624861293701</v>
      </c>
      <c r="C76" s="1">
        <f t="shared" ref="C76:C103" si="31">ABS($B$74-B76)</f>
        <v>14.361900358563201</v>
      </c>
      <c r="D76" s="1">
        <f>ABS($B$75-B76)</f>
        <v>22.377147878738299</v>
      </c>
    </row>
    <row r="77" spans="1:32" x14ac:dyDescent="0.25">
      <c r="A77" s="3" t="s">
        <v>5</v>
      </c>
      <c r="B77" s="1">
        <v>43.981529662561996</v>
      </c>
      <c r="C77" s="1">
        <f t="shared" si="31"/>
        <v>3.8749955572949002</v>
      </c>
      <c r="D77" s="1">
        <f t="shared" ref="D77:D103" si="32">ABS($B$75-B77)</f>
        <v>11.89024307747</v>
      </c>
      <c r="E77" s="1">
        <f>ABS($B$76-B77)</f>
        <v>10.486904801268301</v>
      </c>
    </row>
    <row r="78" spans="1:32" x14ac:dyDescent="0.25">
      <c r="A78" s="3" t="s">
        <v>6</v>
      </c>
      <c r="B78" s="1">
        <v>50.152799013336796</v>
      </c>
      <c r="C78" s="1">
        <f t="shared" si="31"/>
        <v>2.2962737934798998</v>
      </c>
      <c r="D78" s="1">
        <f t="shared" si="32"/>
        <v>5.7189737266952001</v>
      </c>
      <c r="E78" s="1">
        <f t="shared" ref="E78:E103" si="33">ABS($B$76-B78)</f>
        <v>16.658174152043099</v>
      </c>
      <c r="F78" s="1">
        <f>ABS($B$77-B78)</f>
        <v>6.1712693507748</v>
      </c>
    </row>
    <row r="79" spans="1:32" x14ac:dyDescent="0.25">
      <c r="A79" s="3" t="s">
        <v>7</v>
      </c>
      <c r="B79" s="1">
        <v>51.5012622688796</v>
      </c>
      <c r="C79" s="1">
        <f t="shared" si="31"/>
        <v>3.6447370490226998</v>
      </c>
      <c r="D79" s="1">
        <f t="shared" si="32"/>
        <v>4.3705104711524001</v>
      </c>
      <c r="E79" s="1">
        <f t="shared" si="33"/>
        <v>18.006637407585899</v>
      </c>
      <c r="F79" s="1">
        <f t="shared" ref="F79:F103" si="34">ABS($B$77-B79)</f>
        <v>7.5197326063176</v>
      </c>
      <c r="G79" s="1">
        <f>ABS($B$78-B79)</f>
        <v>1.3484632555428</v>
      </c>
    </row>
    <row r="80" spans="1:32" x14ac:dyDescent="0.25">
      <c r="A80" s="3" t="s">
        <v>8</v>
      </c>
      <c r="B80" s="1">
        <v>50.576477042166502</v>
      </c>
      <c r="C80" s="1">
        <f t="shared" si="31"/>
        <v>2.7199518223096</v>
      </c>
      <c r="D80" s="1">
        <f t="shared" si="32"/>
        <v>5.2952956978654999</v>
      </c>
      <c r="E80" s="1">
        <f t="shared" si="33"/>
        <v>17.081852180872801</v>
      </c>
      <c r="F80" s="1">
        <f t="shared" si="34"/>
        <v>6.5949473796045099</v>
      </c>
      <c r="G80" s="1">
        <f t="shared" ref="G80:G103" si="35">ABS($B$78-B80)</f>
        <v>0.42367802882970601</v>
      </c>
      <c r="H80" s="1">
        <f>ABS($B$79-B80)</f>
        <v>0.92478522671309804</v>
      </c>
    </row>
    <row r="81" spans="1:24" x14ac:dyDescent="0.25">
      <c r="A81" s="3" t="s">
        <v>9</v>
      </c>
      <c r="B81" s="1">
        <v>52.9829986916412</v>
      </c>
      <c r="C81" s="1">
        <f t="shared" si="31"/>
        <v>5.1264734717843004</v>
      </c>
      <c r="D81" s="1">
        <f t="shared" si="32"/>
        <v>2.8887740483908</v>
      </c>
      <c r="E81" s="1">
        <f t="shared" si="33"/>
        <v>19.488373830347498</v>
      </c>
      <c r="F81" s="1">
        <f t="shared" si="34"/>
        <v>9.0014690290791997</v>
      </c>
      <c r="G81" s="1">
        <f t="shared" si="35"/>
        <v>2.8301996783044001</v>
      </c>
      <c r="H81" s="1">
        <f t="shared" ref="H81:H103" si="36">ABS($B$79-B81)</f>
        <v>1.4817364227615999</v>
      </c>
      <c r="I81" s="1">
        <f>ABS($B$80-B81)</f>
        <v>2.4065216494746999</v>
      </c>
    </row>
    <row r="82" spans="1:24" x14ac:dyDescent="0.25">
      <c r="A82" s="3" t="s">
        <v>10</v>
      </c>
      <c r="B82" s="1">
        <v>54.130640949321801</v>
      </c>
      <c r="C82" s="1">
        <f t="shared" si="31"/>
        <v>6.2741157294649001</v>
      </c>
      <c r="D82" s="1">
        <f t="shared" si="32"/>
        <v>1.7411317907102</v>
      </c>
      <c r="E82" s="1">
        <f t="shared" si="33"/>
        <v>20.6360160880281</v>
      </c>
      <c r="F82" s="1">
        <f t="shared" si="34"/>
        <v>10.149111286759799</v>
      </c>
      <c r="G82" s="1">
        <f t="shared" si="35"/>
        <v>3.9778419359849999</v>
      </c>
      <c r="H82" s="1">
        <f t="shared" si="36"/>
        <v>2.6293786804421999</v>
      </c>
      <c r="I82" s="1">
        <f t="shared" ref="I82:I103" si="37">ABS($B$80-B82)</f>
        <v>3.5541639071553002</v>
      </c>
      <c r="J82" s="1">
        <f>ABS($B$81-B82)</f>
        <v>1.1476422576806</v>
      </c>
    </row>
    <row r="83" spans="1:24" x14ac:dyDescent="0.25">
      <c r="A83" s="3" t="s">
        <v>11</v>
      </c>
      <c r="B83" s="1">
        <v>50.850020519468103</v>
      </c>
      <c r="C83" s="1">
        <f t="shared" si="31"/>
        <v>2.9934952996112001</v>
      </c>
      <c r="D83" s="1">
        <f t="shared" si="32"/>
        <v>5.0217522205638998</v>
      </c>
      <c r="E83" s="1">
        <f t="shared" si="33"/>
        <v>17.355395658174402</v>
      </c>
      <c r="F83" s="1">
        <f t="shared" si="34"/>
        <v>6.8684908569061101</v>
      </c>
      <c r="G83" s="1">
        <f t="shared" si="35"/>
        <v>0.69722150613130696</v>
      </c>
      <c r="H83" s="1">
        <f t="shared" si="36"/>
        <v>0.65124174941149704</v>
      </c>
      <c r="I83" s="1">
        <f t="shared" si="37"/>
        <v>0.273543477301601</v>
      </c>
      <c r="J83" s="1">
        <f t="shared" ref="J83:J103" si="38">ABS($B$81-B83)</f>
        <v>2.1329781721730998</v>
      </c>
      <c r="K83" s="1">
        <f>ABS($B$82-B83)</f>
        <v>3.2806204298537001</v>
      </c>
    </row>
    <row r="84" spans="1:24" x14ac:dyDescent="0.25">
      <c r="A84" s="3" t="s">
        <v>12</v>
      </c>
      <c r="B84" s="1">
        <v>52.5577964113725</v>
      </c>
      <c r="C84" s="1">
        <f t="shared" si="31"/>
        <v>4.7012711915156</v>
      </c>
      <c r="D84" s="1">
        <f t="shared" si="32"/>
        <v>3.3139763286594999</v>
      </c>
      <c r="E84" s="1">
        <f t="shared" si="33"/>
        <v>19.063171550078799</v>
      </c>
      <c r="F84" s="1">
        <f t="shared" si="34"/>
        <v>8.5762667488105002</v>
      </c>
      <c r="G84" s="1">
        <f t="shared" si="35"/>
        <v>2.4049973980356998</v>
      </c>
      <c r="H84" s="1">
        <f t="shared" si="36"/>
        <v>1.0565341424929</v>
      </c>
      <c r="I84" s="1">
        <f t="shared" si="37"/>
        <v>1.981319369206</v>
      </c>
      <c r="J84" s="1">
        <f t="shared" si="38"/>
        <v>0.425202280268699</v>
      </c>
      <c r="K84" s="1">
        <f t="shared" ref="K84:K103" si="39">ABS($B$82-B84)</f>
        <v>1.5728445379492999</v>
      </c>
      <c r="L84" s="1">
        <f>ABS($B$83-B84)</f>
        <v>1.7077758919043999</v>
      </c>
    </row>
    <row r="85" spans="1:24" x14ac:dyDescent="0.25">
      <c r="A85" s="3" t="s">
        <v>13</v>
      </c>
      <c r="B85" s="1">
        <v>31.547199092233299</v>
      </c>
      <c r="C85" s="1">
        <f t="shared" si="31"/>
        <v>16.309326127623599</v>
      </c>
      <c r="D85" s="1">
        <f t="shared" si="32"/>
        <v>24.324573647798701</v>
      </c>
      <c r="E85" s="1">
        <f t="shared" si="33"/>
        <v>1.9474257690604</v>
      </c>
      <c r="F85" s="1">
        <f t="shared" si="34"/>
        <v>12.434330570328701</v>
      </c>
      <c r="G85" s="1">
        <f t="shared" si="35"/>
        <v>18.605599921103501</v>
      </c>
      <c r="H85" s="1">
        <f t="shared" si="36"/>
        <v>19.954063176646301</v>
      </c>
      <c r="I85" s="1">
        <f t="shared" si="37"/>
        <v>19.029277949933199</v>
      </c>
      <c r="J85" s="1">
        <f t="shared" si="38"/>
        <v>21.4357995994079</v>
      </c>
      <c r="K85" s="1">
        <f t="shared" si="39"/>
        <v>22.583441857088498</v>
      </c>
      <c r="L85" s="1">
        <f t="shared" ref="L85:L103" si="40">ABS($B$83-B85)</f>
        <v>19.3028214272348</v>
      </c>
      <c r="M85" s="1">
        <f>ABS($B$84-B85)</f>
        <v>21.010597319139201</v>
      </c>
    </row>
    <row r="86" spans="1:24" x14ac:dyDescent="0.25">
      <c r="A86" s="3" t="s">
        <v>14</v>
      </c>
      <c r="B86" s="1">
        <v>36.917093605552502</v>
      </c>
      <c r="C86" s="1">
        <f t="shared" si="31"/>
        <v>10.9394316143044</v>
      </c>
      <c r="D86" s="1">
        <f t="shared" si="32"/>
        <v>18.954679134479498</v>
      </c>
      <c r="E86" s="1">
        <f t="shared" si="33"/>
        <v>3.4224687442588002</v>
      </c>
      <c r="F86" s="1">
        <f t="shared" si="34"/>
        <v>7.0644360570094902</v>
      </c>
      <c r="G86" s="1">
        <f t="shared" si="35"/>
        <v>13.2357054077843</v>
      </c>
      <c r="H86" s="1">
        <f t="shared" si="36"/>
        <v>14.5841686633271</v>
      </c>
      <c r="I86" s="1">
        <f t="shared" si="37"/>
        <v>13.659383436614</v>
      </c>
      <c r="J86" s="1">
        <f t="shared" si="38"/>
        <v>16.065905086088701</v>
      </c>
      <c r="K86" s="1">
        <f t="shared" si="39"/>
        <v>17.213547343769299</v>
      </c>
      <c r="L86" s="1">
        <f t="shared" si="40"/>
        <v>13.932926913915599</v>
      </c>
      <c r="M86" s="1">
        <f t="shared" ref="M86:M103" si="41">ABS($B$84-B86)</f>
        <v>15.64070280582</v>
      </c>
      <c r="N86" s="1">
        <f>ABS($B$85-B86)</f>
        <v>5.3698945133192</v>
      </c>
    </row>
    <row r="87" spans="1:24" x14ac:dyDescent="0.25">
      <c r="A87" s="3" t="s">
        <v>15</v>
      </c>
      <c r="B87" s="1">
        <v>52.036597919719</v>
      </c>
      <c r="C87" s="1">
        <f t="shared" si="31"/>
        <v>4.1800726998620998</v>
      </c>
      <c r="D87" s="1">
        <f t="shared" si="32"/>
        <v>3.8351748203130001</v>
      </c>
      <c r="E87" s="1">
        <f t="shared" si="33"/>
        <v>18.541973058425299</v>
      </c>
      <c r="F87" s="1">
        <f t="shared" si="34"/>
        <v>8.055068257157</v>
      </c>
      <c r="G87" s="1">
        <f t="shared" si="35"/>
        <v>1.8837989063822</v>
      </c>
      <c r="H87" s="1">
        <f t="shared" si="36"/>
        <v>0.53533565083940005</v>
      </c>
      <c r="I87" s="1">
        <f t="shared" si="37"/>
        <v>1.4601208775525001</v>
      </c>
      <c r="J87" s="1">
        <f t="shared" si="38"/>
        <v>0.94640077192219996</v>
      </c>
      <c r="K87" s="1">
        <f t="shared" si="39"/>
        <v>2.0940430296027999</v>
      </c>
      <c r="L87" s="1">
        <f t="shared" si="40"/>
        <v>1.1865774002509</v>
      </c>
      <c r="M87" s="1">
        <f t="shared" si="41"/>
        <v>0.52119849165349996</v>
      </c>
      <c r="N87" s="1">
        <f t="shared" ref="N87:N103" si="42">ABS($B$85-B87)</f>
        <v>20.489398827485701</v>
      </c>
      <c r="O87" s="1">
        <f>ABS($B$86-B87)</f>
        <v>15.1195043141665</v>
      </c>
    </row>
    <row r="88" spans="1:24" x14ac:dyDescent="0.25">
      <c r="A88" s="3" t="s">
        <v>16</v>
      </c>
      <c r="B88" s="1">
        <v>36.997028219627303</v>
      </c>
      <c r="C88" s="1">
        <f t="shared" si="31"/>
        <v>10.859497000229601</v>
      </c>
      <c r="D88" s="1">
        <f t="shared" si="32"/>
        <v>18.8747445204047</v>
      </c>
      <c r="E88" s="1">
        <f t="shared" si="33"/>
        <v>3.5024033583335998</v>
      </c>
      <c r="F88" s="1">
        <f t="shared" si="34"/>
        <v>6.9845014429346897</v>
      </c>
      <c r="G88" s="1">
        <f t="shared" si="35"/>
        <v>13.1557707937095</v>
      </c>
      <c r="H88" s="1">
        <f t="shared" si="36"/>
        <v>14.5042340492523</v>
      </c>
      <c r="I88" s="1">
        <f t="shared" si="37"/>
        <v>13.5794488225392</v>
      </c>
      <c r="J88" s="1">
        <f t="shared" si="38"/>
        <v>15.9859704720139</v>
      </c>
      <c r="K88" s="1">
        <f t="shared" si="39"/>
        <v>17.133612729694502</v>
      </c>
      <c r="L88" s="1">
        <f t="shared" si="40"/>
        <v>13.8529922998408</v>
      </c>
      <c r="M88" s="1">
        <f t="shared" si="41"/>
        <v>15.560768191745201</v>
      </c>
      <c r="N88" s="1">
        <f t="shared" si="42"/>
        <v>5.4498291273939996</v>
      </c>
      <c r="O88" s="1">
        <f t="shared" ref="O88:O103" si="43">ABS($B$86-B88)</f>
        <v>7.9934614074801402E-2</v>
      </c>
      <c r="P88" s="1">
        <f>ABS($B$87-B88)</f>
        <v>15.0395697000917</v>
      </c>
    </row>
    <row r="89" spans="1:24" x14ac:dyDescent="0.25">
      <c r="A89" s="3" t="s">
        <v>17</v>
      </c>
      <c r="B89" s="1">
        <v>49.732906375656398</v>
      </c>
      <c r="C89" s="1">
        <f t="shared" si="31"/>
        <v>1.8763811557995</v>
      </c>
      <c r="D89" s="1">
        <f t="shared" si="32"/>
        <v>6.1388663643756001</v>
      </c>
      <c r="E89" s="1">
        <f t="shared" si="33"/>
        <v>16.238281514362701</v>
      </c>
      <c r="F89" s="1">
        <f t="shared" si="34"/>
        <v>5.7513767130944</v>
      </c>
      <c r="G89" s="1">
        <f t="shared" si="35"/>
        <v>0.41989263768039797</v>
      </c>
      <c r="H89" s="1">
        <f t="shared" si="36"/>
        <v>1.7683558932232</v>
      </c>
      <c r="I89" s="1">
        <f t="shared" si="37"/>
        <v>0.84357066651010404</v>
      </c>
      <c r="J89" s="1">
        <f t="shared" si="38"/>
        <v>3.2500923159848001</v>
      </c>
      <c r="K89" s="1">
        <f t="shared" si="39"/>
        <v>4.3977345736654003</v>
      </c>
      <c r="L89" s="1">
        <f t="shared" si="40"/>
        <v>1.1171141438117</v>
      </c>
      <c r="M89" s="1">
        <f t="shared" si="41"/>
        <v>2.8248900357161002</v>
      </c>
      <c r="N89" s="1">
        <f t="shared" si="42"/>
        <v>18.185707283423099</v>
      </c>
      <c r="O89" s="1">
        <f t="shared" si="43"/>
        <v>12.8158127701039</v>
      </c>
      <c r="P89" s="1">
        <f t="shared" ref="P89:P103" si="44">ABS($B$87-B89)</f>
        <v>2.3036915440626</v>
      </c>
      <c r="Q89" s="1">
        <f>ABS($B$88-B89)</f>
        <v>12.7358781560291</v>
      </c>
    </row>
    <row r="90" spans="1:24" x14ac:dyDescent="0.25">
      <c r="A90" s="3" t="s">
        <v>18</v>
      </c>
      <c r="B90" s="1">
        <v>43.845925828267603</v>
      </c>
      <c r="C90" s="1">
        <f t="shared" si="31"/>
        <v>4.0105993915892997</v>
      </c>
      <c r="D90" s="1">
        <f t="shared" si="32"/>
        <v>12.0258469117644</v>
      </c>
      <c r="E90" s="1">
        <f t="shared" si="33"/>
        <v>10.3513009669739</v>
      </c>
      <c r="F90" s="1">
        <f t="shared" si="34"/>
        <v>0.13560383429439299</v>
      </c>
      <c r="G90" s="1">
        <f t="shared" si="35"/>
        <v>6.3068731850691897</v>
      </c>
      <c r="H90" s="1">
        <f t="shared" si="36"/>
        <v>7.6553364406120004</v>
      </c>
      <c r="I90" s="1">
        <f t="shared" si="37"/>
        <v>6.7305512138988997</v>
      </c>
      <c r="J90" s="1">
        <f t="shared" si="38"/>
        <v>9.1370728633736</v>
      </c>
      <c r="K90" s="1">
        <f t="shared" si="39"/>
        <v>10.2847151210542</v>
      </c>
      <c r="L90" s="1">
        <f t="shared" si="40"/>
        <v>7.0040946912004998</v>
      </c>
      <c r="M90" s="1">
        <f t="shared" si="41"/>
        <v>8.7118705831049006</v>
      </c>
      <c r="N90" s="1">
        <f t="shared" si="42"/>
        <v>12.2987267360343</v>
      </c>
      <c r="O90" s="1">
        <f t="shared" si="43"/>
        <v>6.9288322227150996</v>
      </c>
      <c r="P90" s="1">
        <f t="shared" si="44"/>
        <v>8.1906720914514004</v>
      </c>
      <c r="Q90" s="1">
        <f t="shared" ref="Q90:Q103" si="45">ABS($B$88-B90)</f>
        <v>6.8488976086402999</v>
      </c>
      <c r="R90" s="1">
        <f>ABS($B$89-B90)</f>
        <v>5.8869805473888004</v>
      </c>
    </row>
    <row r="91" spans="1:24" x14ac:dyDescent="0.25">
      <c r="A91" s="3" t="s">
        <v>19</v>
      </c>
      <c r="B91" s="1">
        <v>42.1625799614229</v>
      </c>
      <c r="C91" s="1">
        <f t="shared" si="31"/>
        <v>5.6939452584339998</v>
      </c>
      <c r="D91" s="1">
        <f t="shared" si="32"/>
        <v>13.709192778609101</v>
      </c>
      <c r="E91" s="1">
        <f t="shared" si="33"/>
        <v>8.6679551001292001</v>
      </c>
      <c r="F91" s="1">
        <f t="shared" si="34"/>
        <v>1.8189497011391</v>
      </c>
      <c r="G91" s="1">
        <f t="shared" si="35"/>
        <v>7.9902190519138996</v>
      </c>
      <c r="H91" s="1">
        <f t="shared" si="36"/>
        <v>9.3386823074567005</v>
      </c>
      <c r="I91" s="1">
        <f t="shared" si="37"/>
        <v>8.4138970807436007</v>
      </c>
      <c r="J91" s="1">
        <f t="shared" si="38"/>
        <v>10.8204187302183</v>
      </c>
      <c r="K91" s="1">
        <f t="shared" si="39"/>
        <v>11.9680609878989</v>
      </c>
      <c r="L91" s="1">
        <f t="shared" si="40"/>
        <v>8.6874405580451999</v>
      </c>
      <c r="M91" s="1">
        <f t="shared" si="41"/>
        <v>10.395216449949601</v>
      </c>
      <c r="N91" s="1">
        <f t="shared" si="42"/>
        <v>10.6153808691896</v>
      </c>
      <c r="O91" s="1">
        <f t="shared" si="43"/>
        <v>5.2454863558704004</v>
      </c>
      <c r="P91" s="1">
        <f t="shared" si="44"/>
        <v>9.8740179582961005</v>
      </c>
      <c r="Q91" s="1">
        <f t="shared" si="45"/>
        <v>5.1655517417955998</v>
      </c>
      <c r="R91" s="1">
        <f t="shared" ref="R91:R103" si="46">ABS($B$89-B91)</f>
        <v>7.5703264142334996</v>
      </c>
      <c r="S91" s="1">
        <f>ABS($B$90-B91)</f>
        <v>1.6833458668446999</v>
      </c>
    </row>
    <row r="92" spans="1:24" x14ac:dyDescent="0.25">
      <c r="A92" s="3" t="s">
        <v>20</v>
      </c>
      <c r="B92" s="1">
        <v>52.971642507122802</v>
      </c>
      <c r="C92" s="1">
        <f t="shared" si="31"/>
        <v>5.1151172872658996</v>
      </c>
      <c r="D92" s="1">
        <f t="shared" si="32"/>
        <v>2.9001302329091998</v>
      </c>
      <c r="E92" s="1">
        <f t="shared" si="33"/>
        <v>19.4770176458291</v>
      </c>
      <c r="F92" s="1">
        <f t="shared" si="34"/>
        <v>8.9901128445608105</v>
      </c>
      <c r="G92" s="1">
        <f t="shared" si="35"/>
        <v>2.8188434937860101</v>
      </c>
      <c r="H92" s="1">
        <f t="shared" si="36"/>
        <v>1.4703802382432001</v>
      </c>
      <c r="I92" s="1">
        <f t="shared" si="37"/>
        <v>2.3951654649563001</v>
      </c>
      <c r="J92" s="1">
        <f t="shared" si="38"/>
        <v>1.1356184518398E-2</v>
      </c>
      <c r="K92" s="1">
        <f t="shared" si="39"/>
        <v>1.1589984421990001</v>
      </c>
      <c r="L92" s="1">
        <f t="shared" si="40"/>
        <v>2.1216219876547</v>
      </c>
      <c r="M92" s="1">
        <f t="shared" si="41"/>
        <v>0.41384609575030101</v>
      </c>
      <c r="N92" s="1">
        <f t="shared" si="42"/>
        <v>21.424443414889499</v>
      </c>
      <c r="O92" s="1">
        <f t="shared" si="43"/>
        <v>16.0545489015703</v>
      </c>
      <c r="P92" s="1">
        <f t="shared" si="44"/>
        <v>0.93504458740380203</v>
      </c>
      <c r="Q92" s="1">
        <f t="shared" si="45"/>
        <v>15.9746142874955</v>
      </c>
      <c r="R92" s="1">
        <f t="shared" si="46"/>
        <v>3.2387361314663998</v>
      </c>
      <c r="S92" s="1">
        <f t="shared" ref="S92:S103" si="47">ABS($B$90-B92)</f>
        <v>9.1257166788552002</v>
      </c>
      <c r="T92" s="1">
        <f>ABS($B$91-B92)</f>
        <v>10.8090625456999</v>
      </c>
    </row>
    <row r="93" spans="1:24" x14ac:dyDescent="0.25">
      <c r="A93" s="3" t="s">
        <v>21</v>
      </c>
      <c r="B93" s="1">
        <v>49.4130932722111</v>
      </c>
      <c r="C93" s="1">
        <f t="shared" si="31"/>
        <v>1.5565680523542</v>
      </c>
      <c r="D93" s="1">
        <f t="shared" si="32"/>
        <v>6.4586794678209003</v>
      </c>
      <c r="E93" s="1">
        <f t="shared" si="33"/>
        <v>15.9184684109174</v>
      </c>
      <c r="F93" s="1">
        <f t="shared" si="34"/>
        <v>5.4315636096490998</v>
      </c>
      <c r="G93" s="1">
        <f t="shared" si="35"/>
        <v>0.73970574112569698</v>
      </c>
      <c r="H93" s="1">
        <f t="shared" si="36"/>
        <v>2.0881689966685002</v>
      </c>
      <c r="I93" s="1">
        <f t="shared" si="37"/>
        <v>1.1633837699553999</v>
      </c>
      <c r="J93" s="1">
        <f t="shared" si="38"/>
        <v>3.5699054194300999</v>
      </c>
      <c r="K93" s="1">
        <f t="shared" si="39"/>
        <v>4.7175476771106997</v>
      </c>
      <c r="L93" s="1">
        <f t="shared" si="40"/>
        <v>1.4369272472570001</v>
      </c>
      <c r="M93" s="1">
        <f t="shared" si="41"/>
        <v>3.1447031391614</v>
      </c>
      <c r="N93" s="1">
        <f t="shared" si="42"/>
        <v>17.865894179977801</v>
      </c>
      <c r="O93" s="1">
        <f t="shared" si="43"/>
        <v>12.4959996666586</v>
      </c>
      <c r="P93" s="1">
        <f t="shared" si="44"/>
        <v>2.6235046475078998</v>
      </c>
      <c r="Q93" s="1">
        <f t="shared" si="45"/>
        <v>12.4160650525838</v>
      </c>
      <c r="R93" s="1">
        <f t="shared" si="46"/>
        <v>0.31981310344529801</v>
      </c>
      <c r="S93" s="1">
        <f t="shared" si="47"/>
        <v>5.5671674439435002</v>
      </c>
      <c r="T93" s="1">
        <f t="shared" ref="T93:T103" si="48">ABS($B$91-B93)</f>
        <v>7.2505133107882003</v>
      </c>
      <c r="U93" s="1">
        <f>ABS($B$92-B93)</f>
        <v>3.5585492349117001</v>
      </c>
    </row>
    <row r="94" spans="1:24" x14ac:dyDescent="0.25">
      <c r="A94" s="3" t="s">
        <v>22</v>
      </c>
      <c r="B94" s="1">
        <v>34.270661533282102</v>
      </c>
      <c r="C94" s="1">
        <f t="shared" si="31"/>
        <v>13.5858636865748</v>
      </c>
      <c r="D94" s="1">
        <f t="shared" si="32"/>
        <v>21.601111206749898</v>
      </c>
      <c r="E94" s="1">
        <f t="shared" si="33"/>
        <v>0.77603667198839998</v>
      </c>
      <c r="F94" s="1">
        <f t="shared" si="34"/>
        <v>9.7108681292798895</v>
      </c>
      <c r="G94" s="1">
        <f t="shared" si="35"/>
        <v>15.8821374800547</v>
      </c>
      <c r="H94" s="1">
        <f t="shared" si="36"/>
        <v>17.230600735597498</v>
      </c>
      <c r="I94" s="1">
        <f t="shared" si="37"/>
        <v>16.3058155088844</v>
      </c>
      <c r="J94" s="1">
        <f t="shared" si="38"/>
        <v>18.712337158359102</v>
      </c>
      <c r="K94" s="1">
        <f t="shared" si="39"/>
        <v>19.8599794160397</v>
      </c>
      <c r="L94" s="1">
        <f t="shared" si="40"/>
        <v>16.579358986186001</v>
      </c>
      <c r="M94" s="1">
        <f t="shared" si="41"/>
        <v>18.287134878090399</v>
      </c>
      <c r="N94" s="1">
        <f t="shared" si="42"/>
        <v>2.7234624410488002</v>
      </c>
      <c r="O94" s="1">
        <f t="shared" si="43"/>
        <v>2.6464320722703998</v>
      </c>
      <c r="P94" s="1">
        <f t="shared" si="44"/>
        <v>17.765936386436898</v>
      </c>
      <c r="Q94" s="1">
        <f t="shared" si="45"/>
        <v>2.7263666863451999</v>
      </c>
      <c r="R94" s="1">
        <f t="shared" si="46"/>
        <v>15.4622448423743</v>
      </c>
      <c r="S94" s="1">
        <f t="shared" si="47"/>
        <v>9.5752642949854998</v>
      </c>
      <c r="T94" s="1">
        <f t="shared" si="48"/>
        <v>7.8919184281407997</v>
      </c>
      <c r="U94" s="1">
        <f t="shared" ref="U94:U103" si="49">ABS($B$92-B94)</f>
        <v>18.7009809738407</v>
      </c>
      <c r="V94" s="1">
        <f>ABS($B$93-B94)</f>
        <v>15.142431738929</v>
      </c>
    </row>
    <row r="95" spans="1:24" x14ac:dyDescent="0.25">
      <c r="A95" s="3" t="s">
        <v>23</v>
      </c>
      <c r="B95" s="1">
        <v>32.683198284442</v>
      </c>
      <c r="C95" s="1">
        <f t="shared" si="31"/>
        <v>15.173326935414901</v>
      </c>
      <c r="D95" s="1">
        <f t="shared" si="32"/>
        <v>23.18857445559</v>
      </c>
      <c r="E95" s="1">
        <f t="shared" si="33"/>
        <v>0.81142657685170105</v>
      </c>
      <c r="F95" s="1">
        <f t="shared" si="34"/>
        <v>11.29833137812</v>
      </c>
      <c r="G95" s="1">
        <f t="shared" si="35"/>
        <v>17.4696007288948</v>
      </c>
      <c r="H95" s="1">
        <f t="shared" si="36"/>
        <v>18.8180639844376</v>
      </c>
      <c r="I95" s="1">
        <f t="shared" si="37"/>
        <v>17.893278757724499</v>
      </c>
      <c r="J95" s="1">
        <f t="shared" si="38"/>
        <v>20.2998004071992</v>
      </c>
      <c r="K95" s="1">
        <f t="shared" si="39"/>
        <v>21.447442664879802</v>
      </c>
      <c r="L95" s="1">
        <f t="shared" si="40"/>
        <v>18.1668222350261</v>
      </c>
      <c r="M95" s="1">
        <f t="shared" si="41"/>
        <v>19.874598126930501</v>
      </c>
      <c r="N95" s="1">
        <f t="shared" si="42"/>
        <v>1.1359991922087</v>
      </c>
      <c r="O95" s="1">
        <f t="shared" si="43"/>
        <v>4.2338953211105004</v>
      </c>
      <c r="P95" s="1">
        <f t="shared" si="44"/>
        <v>19.353399635277</v>
      </c>
      <c r="Q95" s="1">
        <f t="shared" si="45"/>
        <v>4.3138299351853</v>
      </c>
      <c r="R95" s="1">
        <f t="shared" si="46"/>
        <v>17.049708091214399</v>
      </c>
      <c r="S95" s="1">
        <f t="shared" si="47"/>
        <v>11.1627275438256</v>
      </c>
      <c r="T95" s="1">
        <f t="shared" si="48"/>
        <v>9.4793816769808998</v>
      </c>
      <c r="U95" s="1">
        <f t="shared" si="49"/>
        <v>20.288444222680798</v>
      </c>
      <c r="V95" s="1">
        <f t="shared" ref="V95:V103" si="50">ABS($B$93-B95)</f>
        <v>16.7298949877691</v>
      </c>
      <c r="W95" s="1">
        <f>ABS($B$94-B95)</f>
        <v>1.5874632488400999</v>
      </c>
    </row>
    <row r="96" spans="1:24" x14ac:dyDescent="0.25">
      <c r="A96" s="3" t="s">
        <v>24</v>
      </c>
      <c r="B96" s="1">
        <v>45.224692824922897</v>
      </c>
      <c r="C96" s="1">
        <f t="shared" si="31"/>
        <v>2.6318323949339999</v>
      </c>
      <c r="D96" s="1">
        <f t="shared" si="32"/>
        <v>10.647079915109099</v>
      </c>
      <c r="E96" s="1">
        <f t="shared" si="33"/>
        <v>11.7300679636292</v>
      </c>
      <c r="F96" s="1">
        <f t="shared" si="34"/>
        <v>1.2431631623609001</v>
      </c>
      <c r="G96" s="1">
        <f t="shared" si="35"/>
        <v>4.9281061884139001</v>
      </c>
      <c r="H96" s="1">
        <f t="shared" si="36"/>
        <v>6.2765694439567001</v>
      </c>
      <c r="I96" s="1">
        <f t="shared" si="37"/>
        <v>5.3517842172436003</v>
      </c>
      <c r="J96" s="1">
        <f t="shared" si="38"/>
        <v>7.7583058667182998</v>
      </c>
      <c r="K96" s="1">
        <f t="shared" si="39"/>
        <v>8.9059481243989005</v>
      </c>
      <c r="L96" s="1">
        <f t="shared" si="40"/>
        <v>5.6253276945452102</v>
      </c>
      <c r="M96" s="1">
        <f t="shared" si="41"/>
        <v>7.3331035864496004</v>
      </c>
      <c r="N96" s="1">
        <f t="shared" si="42"/>
        <v>13.6774937326896</v>
      </c>
      <c r="O96" s="1">
        <f t="shared" si="43"/>
        <v>8.3075992193704007</v>
      </c>
      <c r="P96" s="1">
        <f t="shared" si="44"/>
        <v>6.8119050947961002</v>
      </c>
      <c r="Q96" s="1">
        <f t="shared" si="45"/>
        <v>8.2276646052955904</v>
      </c>
      <c r="R96" s="1">
        <f t="shared" si="46"/>
        <v>4.5082135507335002</v>
      </c>
      <c r="S96" s="1">
        <f t="shared" si="47"/>
        <v>1.37876699665529</v>
      </c>
      <c r="T96" s="1">
        <f t="shared" si="48"/>
        <v>3.0621128634999999</v>
      </c>
      <c r="U96" s="1">
        <f t="shared" si="49"/>
        <v>7.7469496821999</v>
      </c>
      <c r="V96" s="1">
        <f t="shared" si="50"/>
        <v>4.1884004472881999</v>
      </c>
      <c r="W96" s="1">
        <f t="shared" ref="W96:W103" si="51">ABS($B$94-B96)</f>
        <v>10.954031291640799</v>
      </c>
      <c r="X96" s="1">
        <f>ABS($B$95-B96)</f>
        <v>12.541494540480899</v>
      </c>
    </row>
    <row r="97" spans="1:31" x14ac:dyDescent="0.25">
      <c r="A97" s="3" t="s">
        <v>25</v>
      </c>
      <c r="B97" s="1">
        <v>53.769319503062597</v>
      </c>
      <c r="C97" s="1">
        <f t="shared" si="31"/>
        <v>5.9127942832056997</v>
      </c>
      <c r="D97" s="1">
        <f t="shared" si="32"/>
        <v>2.1024532369693998</v>
      </c>
      <c r="E97" s="1">
        <f t="shared" si="33"/>
        <v>20.2746946417689</v>
      </c>
      <c r="F97" s="1">
        <f t="shared" si="34"/>
        <v>9.7877898405006007</v>
      </c>
      <c r="G97" s="1">
        <f t="shared" si="35"/>
        <v>3.6165204897257999</v>
      </c>
      <c r="H97" s="1">
        <f t="shared" si="36"/>
        <v>2.2680572341829999</v>
      </c>
      <c r="I97" s="1">
        <f t="shared" si="37"/>
        <v>3.1928424608961001</v>
      </c>
      <c r="J97" s="1">
        <f t="shared" si="38"/>
        <v>0.78632081142139798</v>
      </c>
      <c r="K97" s="1">
        <f t="shared" si="39"/>
        <v>0.36132144625920398</v>
      </c>
      <c r="L97" s="1">
        <f t="shared" si="40"/>
        <v>2.9192989835944898</v>
      </c>
      <c r="M97" s="1">
        <f t="shared" si="41"/>
        <v>1.2115230916901001</v>
      </c>
      <c r="N97" s="1">
        <f t="shared" si="42"/>
        <v>22.222120410829302</v>
      </c>
      <c r="O97" s="1">
        <f t="shared" si="43"/>
        <v>16.852225897510099</v>
      </c>
      <c r="P97" s="1">
        <f t="shared" si="44"/>
        <v>1.7327215833436</v>
      </c>
      <c r="Q97" s="1">
        <f t="shared" si="45"/>
        <v>16.772291283435301</v>
      </c>
      <c r="R97" s="1">
        <f t="shared" si="46"/>
        <v>4.0364131274061998</v>
      </c>
      <c r="S97" s="1">
        <f t="shared" si="47"/>
        <v>9.9233936747949905</v>
      </c>
      <c r="T97" s="1">
        <f t="shared" si="48"/>
        <v>11.606739541639699</v>
      </c>
      <c r="U97" s="1">
        <f t="shared" si="49"/>
        <v>0.79767699593979602</v>
      </c>
      <c r="V97" s="1">
        <f t="shared" si="50"/>
        <v>4.3562262308515001</v>
      </c>
      <c r="W97" s="1">
        <f t="shared" si="51"/>
        <v>19.498657969780499</v>
      </c>
      <c r="X97" s="1">
        <f t="shared" ref="X97:X103" si="52">ABS($B$95-B97)</f>
        <v>21.086121218620601</v>
      </c>
      <c r="Y97" s="1">
        <f>ABS($B$96-B97)</f>
        <v>8.5446266781397</v>
      </c>
    </row>
    <row r="98" spans="1:31" x14ac:dyDescent="0.25">
      <c r="A98" s="3" t="s">
        <v>26</v>
      </c>
      <c r="B98" s="1">
        <v>54.022727632264797</v>
      </c>
      <c r="C98" s="1">
        <f t="shared" si="31"/>
        <v>6.1662024124079</v>
      </c>
      <c r="D98" s="1">
        <f t="shared" si="32"/>
        <v>1.8490451077672001</v>
      </c>
      <c r="E98" s="1">
        <f t="shared" si="33"/>
        <v>20.528102770971099</v>
      </c>
      <c r="F98" s="1">
        <f t="shared" si="34"/>
        <v>10.0411979697028</v>
      </c>
      <c r="G98" s="1">
        <f t="shared" si="35"/>
        <v>3.8699286189280002</v>
      </c>
      <c r="H98" s="1">
        <f t="shared" si="36"/>
        <v>2.5214653633852002</v>
      </c>
      <c r="I98" s="1">
        <f t="shared" si="37"/>
        <v>3.4462505900982898</v>
      </c>
      <c r="J98" s="1">
        <f t="shared" si="38"/>
        <v>1.0397289406236001</v>
      </c>
      <c r="K98" s="1">
        <f t="shared" si="39"/>
        <v>0.10791331705700501</v>
      </c>
      <c r="L98" s="1">
        <f t="shared" si="40"/>
        <v>3.1727071127966902</v>
      </c>
      <c r="M98" s="1">
        <f t="shared" si="41"/>
        <v>1.4649312208923</v>
      </c>
      <c r="N98" s="1">
        <f t="shared" si="42"/>
        <v>22.475528540031501</v>
      </c>
      <c r="O98" s="1">
        <f t="shared" si="43"/>
        <v>17.105634026712298</v>
      </c>
      <c r="P98" s="1">
        <f t="shared" si="44"/>
        <v>1.9861297125458</v>
      </c>
      <c r="Q98" s="1">
        <f t="shared" si="45"/>
        <v>17.025699412637501</v>
      </c>
      <c r="R98" s="1">
        <f t="shared" si="46"/>
        <v>4.2898212566084002</v>
      </c>
      <c r="S98" s="1">
        <f t="shared" si="47"/>
        <v>10.176801803997201</v>
      </c>
      <c r="T98" s="1">
        <f t="shared" si="48"/>
        <v>11.860147670841901</v>
      </c>
      <c r="U98" s="1">
        <f t="shared" si="49"/>
        <v>1.0510851251419999</v>
      </c>
      <c r="V98" s="1">
        <f t="shared" si="50"/>
        <v>4.6096343600537004</v>
      </c>
      <c r="W98" s="1">
        <f t="shared" si="51"/>
        <v>19.752066098982699</v>
      </c>
      <c r="X98" s="1">
        <f t="shared" si="52"/>
        <v>21.339529347822801</v>
      </c>
      <c r="Y98" s="1">
        <f t="shared" ref="Y98:Y103" si="53">ABS($B$96-B98)</f>
        <v>8.7980348073418995</v>
      </c>
      <c r="Z98" s="1">
        <f t="shared" ref="Z98:Z103" si="54">ABS($B$97-B98)</f>
        <v>0.25340812920219902</v>
      </c>
    </row>
    <row r="99" spans="1:31" x14ac:dyDescent="0.25">
      <c r="A99" s="3" t="s">
        <v>27</v>
      </c>
      <c r="B99" s="1">
        <v>47.104115234614802</v>
      </c>
      <c r="C99" s="1">
        <f t="shared" si="31"/>
        <v>0.75240998524209601</v>
      </c>
      <c r="D99" s="1">
        <f t="shared" si="32"/>
        <v>8.7676575054171995</v>
      </c>
      <c r="E99" s="1">
        <f t="shared" si="33"/>
        <v>13.609490373321099</v>
      </c>
      <c r="F99" s="1">
        <f t="shared" si="34"/>
        <v>3.12258557205281</v>
      </c>
      <c r="G99" s="1">
        <f t="shared" si="35"/>
        <v>3.04868377872199</v>
      </c>
      <c r="H99" s="1">
        <f t="shared" si="36"/>
        <v>4.3971470342648002</v>
      </c>
      <c r="I99" s="1">
        <f t="shared" si="37"/>
        <v>3.4723618075517</v>
      </c>
      <c r="J99" s="1">
        <f t="shared" si="38"/>
        <v>5.8788834570263999</v>
      </c>
      <c r="K99" s="1">
        <f t="shared" si="39"/>
        <v>7.0265257147069997</v>
      </c>
      <c r="L99" s="1">
        <f t="shared" si="40"/>
        <v>3.7459052848533001</v>
      </c>
      <c r="M99" s="1">
        <f t="shared" si="41"/>
        <v>5.4536811767576996</v>
      </c>
      <c r="N99" s="1">
        <f t="shared" si="42"/>
        <v>15.5569161423815</v>
      </c>
      <c r="O99" s="1">
        <f t="shared" si="43"/>
        <v>10.187021629062301</v>
      </c>
      <c r="P99" s="1">
        <f t="shared" si="44"/>
        <v>4.9324826851042003</v>
      </c>
      <c r="Q99" s="1">
        <f t="shared" si="45"/>
        <v>10.107087014987499</v>
      </c>
      <c r="R99" s="1">
        <f t="shared" si="46"/>
        <v>2.6287911410415998</v>
      </c>
      <c r="S99" s="1">
        <f t="shared" si="47"/>
        <v>3.2581894063472001</v>
      </c>
      <c r="T99" s="1">
        <f t="shared" si="48"/>
        <v>4.9415352731919002</v>
      </c>
      <c r="U99" s="1">
        <f t="shared" si="49"/>
        <v>5.8675272725080001</v>
      </c>
      <c r="V99" s="1">
        <f t="shared" si="50"/>
        <v>2.3089780375963</v>
      </c>
      <c r="W99" s="1">
        <f t="shared" si="51"/>
        <v>12.833453701332701</v>
      </c>
      <c r="X99" s="1">
        <f t="shared" si="52"/>
        <v>14.420916950172799</v>
      </c>
      <c r="Y99" s="1">
        <f t="shared" si="53"/>
        <v>1.8794224096919101</v>
      </c>
      <c r="Z99" s="1">
        <f t="shared" si="54"/>
        <v>6.6652042684477903</v>
      </c>
      <c r="AA99" s="1">
        <f>ABS($B$98-B99)</f>
        <v>6.9186123976499898</v>
      </c>
    </row>
    <row r="100" spans="1:31" x14ac:dyDescent="0.25">
      <c r="A100" s="3" t="s">
        <v>28</v>
      </c>
      <c r="B100" s="1">
        <v>45.854696378059501</v>
      </c>
      <c r="C100" s="1">
        <f t="shared" si="31"/>
        <v>2.0018288417973999</v>
      </c>
      <c r="D100" s="1">
        <f t="shared" si="32"/>
        <v>10.017076361972499</v>
      </c>
      <c r="E100" s="1">
        <f t="shared" si="33"/>
        <v>12.3600715167658</v>
      </c>
      <c r="F100" s="1">
        <f t="shared" si="34"/>
        <v>1.8731667154975</v>
      </c>
      <c r="G100" s="1">
        <f t="shared" si="35"/>
        <v>4.2981026352773002</v>
      </c>
      <c r="H100" s="1">
        <f t="shared" si="36"/>
        <v>5.6465658908201002</v>
      </c>
      <c r="I100" s="1">
        <f t="shared" si="37"/>
        <v>4.7217806641070004</v>
      </c>
      <c r="J100" s="1">
        <f t="shared" si="38"/>
        <v>7.1283023135816999</v>
      </c>
      <c r="K100" s="1">
        <f t="shared" si="39"/>
        <v>8.2759445712623005</v>
      </c>
      <c r="L100" s="1">
        <f t="shared" si="40"/>
        <v>4.9953241414085996</v>
      </c>
      <c r="M100" s="1">
        <f t="shared" si="41"/>
        <v>6.7031000333130004</v>
      </c>
      <c r="N100" s="1">
        <f t="shared" si="42"/>
        <v>14.3074972858262</v>
      </c>
      <c r="O100" s="1">
        <f t="shared" si="43"/>
        <v>8.9376027725070006</v>
      </c>
      <c r="P100" s="1">
        <f t="shared" si="44"/>
        <v>6.1819015416595002</v>
      </c>
      <c r="Q100" s="1">
        <f t="shared" si="45"/>
        <v>8.8576681584321992</v>
      </c>
      <c r="R100" s="1">
        <f t="shared" si="46"/>
        <v>3.8782099975969002</v>
      </c>
      <c r="S100" s="1">
        <f t="shared" si="47"/>
        <v>2.0087705497919002</v>
      </c>
      <c r="T100" s="1">
        <f t="shared" si="48"/>
        <v>3.6921164166365998</v>
      </c>
      <c r="U100" s="1">
        <f t="shared" si="49"/>
        <v>7.1169461290633</v>
      </c>
      <c r="V100" s="1">
        <f t="shared" si="50"/>
        <v>3.5583968941516</v>
      </c>
      <c r="W100" s="1">
        <f t="shared" si="51"/>
        <v>11.584034844777401</v>
      </c>
      <c r="X100" s="1">
        <f t="shared" si="52"/>
        <v>13.171498093617499</v>
      </c>
      <c r="Y100" s="1">
        <f t="shared" si="53"/>
        <v>0.63000355313660295</v>
      </c>
      <c r="Z100" s="1">
        <f t="shared" si="54"/>
        <v>7.9146231250031001</v>
      </c>
      <c r="AA100" s="1">
        <f>ABS($B$98-B100)</f>
        <v>8.1680312542052995</v>
      </c>
      <c r="AB100" s="1">
        <f>ABS($B$99-B100)</f>
        <v>1.2494188565552999</v>
      </c>
    </row>
    <row r="101" spans="1:31" x14ac:dyDescent="0.25">
      <c r="A101" s="3" t="s">
        <v>29</v>
      </c>
      <c r="B101" s="1">
        <v>46.467954133914297</v>
      </c>
      <c r="C101" s="1">
        <f t="shared" si="31"/>
        <v>1.3885710859425999</v>
      </c>
      <c r="D101" s="1">
        <f t="shared" si="32"/>
        <v>9.4038186061176994</v>
      </c>
      <c r="E101" s="1">
        <f t="shared" si="33"/>
        <v>12.9733292726206</v>
      </c>
      <c r="F101" s="1">
        <f t="shared" si="34"/>
        <v>2.4864244713522998</v>
      </c>
      <c r="G101" s="1">
        <f t="shared" si="35"/>
        <v>3.6848448794225002</v>
      </c>
      <c r="H101" s="1">
        <f t="shared" si="36"/>
        <v>5.0333081349653002</v>
      </c>
      <c r="I101" s="1">
        <f t="shared" si="37"/>
        <v>4.1085229082522003</v>
      </c>
      <c r="J101" s="1">
        <f t="shared" si="38"/>
        <v>6.5150445577268998</v>
      </c>
      <c r="K101" s="1">
        <f t="shared" si="39"/>
        <v>7.6626868154074996</v>
      </c>
      <c r="L101" s="1">
        <f t="shared" si="40"/>
        <v>4.3820663855538102</v>
      </c>
      <c r="M101" s="1">
        <f t="shared" si="41"/>
        <v>6.0898422774582004</v>
      </c>
      <c r="N101" s="1">
        <f t="shared" si="42"/>
        <v>14.920755041681</v>
      </c>
      <c r="O101" s="1">
        <f t="shared" si="43"/>
        <v>9.5508605283618007</v>
      </c>
      <c r="P101" s="1">
        <f t="shared" si="44"/>
        <v>5.5686437858047002</v>
      </c>
      <c r="Q101" s="1">
        <f t="shared" si="45"/>
        <v>9.4709259142869904</v>
      </c>
      <c r="R101" s="1">
        <f t="shared" si="46"/>
        <v>3.2649522417421002</v>
      </c>
      <c r="S101" s="1">
        <f t="shared" si="47"/>
        <v>2.62202830564669</v>
      </c>
      <c r="T101" s="1">
        <f t="shared" si="48"/>
        <v>4.3053741724914003</v>
      </c>
      <c r="U101" s="1">
        <f t="shared" si="49"/>
        <v>6.5036883732085</v>
      </c>
      <c r="V101" s="1">
        <f t="shared" si="50"/>
        <v>2.9451391382968</v>
      </c>
      <c r="W101" s="1">
        <f t="shared" si="51"/>
        <v>12.197292600632201</v>
      </c>
      <c r="X101" s="1">
        <f t="shared" si="52"/>
        <v>13.784755849472299</v>
      </c>
      <c r="Y101" s="1">
        <f t="shared" si="53"/>
        <v>1.2432613089914</v>
      </c>
      <c r="Z101" s="1">
        <f t="shared" si="54"/>
        <v>7.3013653691483</v>
      </c>
      <c r="AA101" s="1">
        <f>ABS($B$98-B101)</f>
        <v>7.5547734983505004</v>
      </c>
      <c r="AB101" s="1">
        <f>ABS($B$99-B101)</f>
        <v>0.63616110070050502</v>
      </c>
      <c r="AC101" s="1">
        <f>ABS($B$100-B101)</f>
        <v>0.61325775585479603</v>
      </c>
    </row>
    <row r="102" spans="1:31" x14ac:dyDescent="0.25">
      <c r="A102" s="3" t="s">
        <v>30</v>
      </c>
      <c r="B102" s="1">
        <v>42.676105107574003</v>
      </c>
      <c r="C102" s="1">
        <f t="shared" si="31"/>
        <v>5.1804201122829001</v>
      </c>
      <c r="D102" s="1">
        <f t="shared" si="32"/>
        <v>13.195667632457999</v>
      </c>
      <c r="E102" s="1">
        <f t="shared" si="33"/>
        <v>9.1814802462802998</v>
      </c>
      <c r="F102" s="1">
        <f t="shared" si="34"/>
        <v>1.3054245549879899</v>
      </c>
      <c r="G102" s="1">
        <f t="shared" si="35"/>
        <v>7.4766939057627901</v>
      </c>
      <c r="H102" s="1">
        <f t="shared" si="36"/>
        <v>8.8251571613056008</v>
      </c>
      <c r="I102" s="1">
        <f t="shared" si="37"/>
        <v>7.9003719345925001</v>
      </c>
      <c r="J102" s="1">
        <f t="shared" si="38"/>
        <v>10.3068935840672</v>
      </c>
      <c r="K102" s="1">
        <f t="shared" si="39"/>
        <v>11.4545358417478</v>
      </c>
      <c r="L102" s="1">
        <f t="shared" si="40"/>
        <v>8.1739154118941002</v>
      </c>
      <c r="M102" s="1">
        <f t="shared" si="41"/>
        <v>9.8816913037984992</v>
      </c>
      <c r="N102" s="1">
        <f t="shared" si="42"/>
        <v>11.1289060153407</v>
      </c>
      <c r="O102" s="1">
        <f t="shared" si="43"/>
        <v>5.7590115020215</v>
      </c>
      <c r="P102" s="1">
        <f t="shared" si="44"/>
        <v>9.3604928121450008</v>
      </c>
      <c r="Q102" s="1">
        <f t="shared" si="45"/>
        <v>5.6790768879467004</v>
      </c>
      <c r="R102" s="1">
        <f t="shared" si="46"/>
        <v>7.0568012680823999</v>
      </c>
      <c r="S102" s="1">
        <f t="shared" si="47"/>
        <v>1.1698207206936</v>
      </c>
      <c r="T102" s="1">
        <f t="shared" si="48"/>
        <v>0.51352514615110301</v>
      </c>
      <c r="U102" s="1">
        <f t="shared" si="49"/>
        <v>10.295537399548801</v>
      </c>
      <c r="V102" s="1">
        <f t="shared" si="50"/>
        <v>6.7369881646370997</v>
      </c>
      <c r="W102" s="1">
        <f t="shared" si="51"/>
        <v>8.4054435742918994</v>
      </c>
      <c r="X102" s="1">
        <f t="shared" si="52"/>
        <v>9.9929068231319995</v>
      </c>
      <c r="Y102" s="1">
        <f t="shared" si="53"/>
        <v>2.54858771734889</v>
      </c>
      <c r="Z102" s="1">
        <f t="shared" si="54"/>
        <v>11.0932143954886</v>
      </c>
      <c r="AA102" s="1">
        <f>ABS($B$98-B102)</f>
        <v>11.346622524690799</v>
      </c>
      <c r="AB102" s="1">
        <f>ABS($B$99-B102)</f>
        <v>4.4280101270407997</v>
      </c>
      <c r="AC102" s="1">
        <f>ABS($B$100-B102)</f>
        <v>3.1785912704855002</v>
      </c>
      <c r="AD102" s="1">
        <f>ABS($B$101-B102)</f>
        <v>3.79184902634029</v>
      </c>
    </row>
    <row r="103" spans="1:31" x14ac:dyDescent="0.25">
      <c r="A103" s="3" t="s">
        <v>31</v>
      </c>
      <c r="B103" s="1">
        <v>45.147008786849199</v>
      </c>
      <c r="C103" s="1">
        <f t="shared" si="31"/>
        <v>2.7095164330077002</v>
      </c>
      <c r="D103" s="1">
        <f t="shared" si="32"/>
        <v>10.7247639531828</v>
      </c>
      <c r="E103" s="1">
        <f t="shared" si="33"/>
        <v>11.652383925555499</v>
      </c>
      <c r="F103" s="1">
        <f t="shared" si="34"/>
        <v>1.1654791242872</v>
      </c>
      <c r="G103" s="1">
        <f t="shared" si="35"/>
        <v>5.0057902264876004</v>
      </c>
      <c r="H103" s="1">
        <f t="shared" si="36"/>
        <v>6.3542534820304004</v>
      </c>
      <c r="I103" s="1">
        <f t="shared" si="37"/>
        <v>5.4294682553172997</v>
      </c>
      <c r="J103" s="1">
        <f t="shared" si="38"/>
        <v>7.8359899047920001</v>
      </c>
      <c r="K103" s="1">
        <f t="shared" si="39"/>
        <v>8.9836321624726008</v>
      </c>
      <c r="L103" s="1">
        <f t="shared" si="40"/>
        <v>5.7030117326188998</v>
      </c>
      <c r="M103" s="1">
        <f t="shared" si="41"/>
        <v>7.4107876245232998</v>
      </c>
      <c r="N103" s="1">
        <f t="shared" si="42"/>
        <v>13.5998096946159</v>
      </c>
      <c r="O103" s="1">
        <f t="shared" si="43"/>
        <v>8.2299151812967004</v>
      </c>
      <c r="P103" s="1">
        <f t="shared" si="44"/>
        <v>6.8895891328697996</v>
      </c>
      <c r="Q103" s="1">
        <f t="shared" si="45"/>
        <v>8.1499805672219008</v>
      </c>
      <c r="R103" s="1">
        <f t="shared" si="46"/>
        <v>4.5858975888072004</v>
      </c>
      <c r="S103" s="1">
        <f t="shared" si="47"/>
        <v>1.3010829585815999</v>
      </c>
      <c r="T103" s="1">
        <f t="shared" si="48"/>
        <v>2.9844288254263001</v>
      </c>
      <c r="U103" s="1">
        <f t="shared" si="49"/>
        <v>7.8246337202736003</v>
      </c>
      <c r="V103" s="1">
        <f t="shared" si="50"/>
        <v>4.2660844853619002</v>
      </c>
      <c r="W103" s="1">
        <f t="shared" si="51"/>
        <v>10.876347253567101</v>
      </c>
      <c r="X103" s="1">
        <f t="shared" si="52"/>
        <v>12.463810502407201</v>
      </c>
      <c r="Y103" s="1">
        <f t="shared" si="53"/>
        <v>7.7684038073698503E-2</v>
      </c>
      <c r="Z103" s="1">
        <f t="shared" si="54"/>
        <v>8.6223107162134003</v>
      </c>
      <c r="AA103" s="1">
        <f>ABS($B$98-B103)</f>
        <v>8.8757188454155997</v>
      </c>
      <c r="AB103" s="1">
        <f>ABS($B$99-B103)</f>
        <v>1.9571064477655999</v>
      </c>
      <c r="AC103" s="1">
        <f>ABS($B$100-B103)</f>
        <v>0.707687591210302</v>
      </c>
      <c r="AD103" s="1">
        <f>ABS($B$101-B103)</f>
        <v>1.3209453470651</v>
      </c>
      <c r="AE103" s="1">
        <f>ABS(B102-B103)</f>
        <v>2.4709036792751999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03"/>
  <sheetViews>
    <sheetView zoomScale="70" zoomScaleNormal="70" workbookViewId="0">
      <selection activeCell="B2" sqref="B2:AE2"/>
    </sheetView>
  </sheetViews>
  <sheetFormatPr defaultColWidth="9" defaultRowHeight="14.4" x14ac:dyDescent="0.25"/>
  <cols>
    <col min="1" max="1" width="9" style="1"/>
    <col min="2" max="31" width="6.88671875" style="1" customWidth="1"/>
  </cols>
  <sheetData>
    <row r="1" spans="1:31" ht="72" x14ac:dyDescent="0.25">
      <c r="A1" s="5" t="s">
        <v>81</v>
      </c>
      <c r="B1" s="6" t="s">
        <v>82</v>
      </c>
    </row>
    <row r="2" spans="1:31" x14ac:dyDescent="0.2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spans="1:31" x14ac:dyDescent="0.25">
      <c r="A3" s="3" t="s">
        <v>2</v>
      </c>
      <c r="B3" s="7"/>
      <c r="C3" s="1">
        <v>0.34288263574999001</v>
      </c>
      <c r="D3" s="1">
        <v>0.74007018253790002</v>
      </c>
      <c r="E3" s="1">
        <v>0.50828902296818002</v>
      </c>
      <c r="F3" s="1">
        <v>0.34903636481155997</v>
      </c>
      <c r="G3" s="1">
        <v>2.2702968279960201E-2</v>
      </c>
      <c r="H3" s="1">
        <v>0.22108913788567</v>
      </c>
      <c r="I3" s="1">
        <v>5.5501953423709997E-2</v>
      </c>
      <c r="J3" s="1">
        <v>0.53036928065116995</v>
      </c>
      <c r="K3" s="1">
        <v>4.1658054341059798E-2</v>
      </c>
      <c r="L3" s="1">
        <v>0.15993579022552001</v>
      </c>
      <c r="M3" s="1">
        <v>0.2282337555533</v>
      </c>
      <c r="N3" s="1">
        <v>0.37690960929807998</v>
      </c>
      <c r="O3" s="1">
        <v>0.68422976658954004</v>
      </c>
      <c r="P3" s="1">
        <v>0.32978780920350997</v>
      </c>
      <c r="Q3" s="1">
        <v>0.49835486801480999</v>
      </c>
      <c r="R3" s="1">
        <v>0.49318563604917998</v>
      </c>
      <c r="S3" s="1">
        <v>1.50731747823001E-2</v>
      </c>
      <c r="T3" s="1">
        <v>0.1396665523551</v>
      </c>
      <c r="U3" s="1">
        <v>0.13653971299937001</v>
      </c>
      <c r="V3" s="1">
        <v>0.47503732630369</v>
      </c>
      <c r="W3" s="1">
        <v>0.53254370817926999</v>
      </c>
      <c r="X3" s="1">
        <v>0.79732990551548</v>
      </c>
      <c r="Y3" s="1">
        <v>0.18041837962424001</v>
      </c>
      <c r="Z3" s="1">
        <v>0.21328912284606</v>
      </c>
      <c r="AA3" s="1">
        <v>0.66317390645346996</v>
      </c>
      <c r="AB3" s="1">
        <v>0.50311546563466003</v>
      </c>
      <c r="AC3" s="1">
        <v>0.66172853911084994</v>
      </c>
      <c r="AD3" s="1">
        <v>0.44069253502437999</v>
      </c>
      <c r="AE3" s="1">
        <v>0.69391967411259003</v>
      </c>
    </row>
    <row r="4" spans="1:31" x14ac:dyDescent="0.25">
      <c r="A4" s="3" t="s">
        <v>3</v>
      </c>
      <c r="B4" s="1">
        <v>0.34288263574999001</v>
      </c>
      <c r="C4" s="7"/>
      <c r="D4" s="1">
        <v>0.39718754678791002</v>
      </c>
      <c r="E4" s="1">
        <v>0.16540638721819001</v>
      </c>
      <c r="F4" s="1">
        <v>6.1537290615700799E-3</v>
      </c>
      <c r="G4" s="1">
        <v>0.36558560402995</v>
      </c>
      <c r="H4" s="1">
        <v>0.12179349786432001</v>
      </c>
      <c r="I4" s="1">
        <v>0.39838458917370001</v>
      </c>
      <c r="J4" s="1">
        <v>0.18748664490118</v>
      </c>
      <c r="K4" s="1">
        <v>0.30122458140892999</v>
      </c>
      <c r="L4" s="1">
        <v>0.18294684552446999</v>
      </c>
      <c r="M4" s="1">
        <v>0.11464888019669001</v>
      </c>
      <c r="N4" s="1">
        <v>3.4026973548089999E-2</v>
      </c>
      <c r="O4" s="1">
        <v>0.34134713083954998</v>
      </c>
      <c r="P4" s="1">
        <v>1.30948265464799E-2</v>
      </c>
      <c r="Q4" s="1">
        <v>0.15547223226481999</v>
      </c>
      <c r="R4" s="1">
        <v>0.15030300029919</v>
      </c>
      <c r="S4" s="1">
        <v>0.35795581053228998</v>
      </c>
      <c r="T4" s="1">
        <v>0.48254918810509001</v>
      </c>
      <c r="U4" s="1">
        <v>0.47942234874936002</v>
      </c>
      <c r="V4" s="1">
        <v>0.13215469055369999</v>
      </c>
      <c r="W4" s="1">
        <v>0.18966107242927999</v>
      </c>
      <c r="X4" s="1">
        <v>0.45444726976548999</v>
      </c>
      <c r="Y4" s="1">
        <v>0.16246425612575</v>
      </c>
      <c r="Z4" s="1">
        <v>0.12959351290393001</v>
      </c>
      <c r="AA4" s="1">
        <v>0.32029127070348001</v>
      </c>
      <c r="AB4" s="1">
        <v>0.16023282988467</v>
      </c>
      <c r="AC4" s="1">
        <v>0.31884590336085999</v>
      </c>
      <c r="AD4" s="1">
        <v>9.7809899274389905E-2</v>
      </c>
      <c r="AE4" s="1">
        <v>0.35103703836259997</v>
      </c>
    </row>
    <row r="5" spans="1:31" x14ac:dyDescent="0.25">
      <c r="A5" s="3" t="s">
        <v>4</v>
      </c>
      <c r="B5" s="1">
        <v>0.74007018253790002</v>
      </c>
      <c r="C5" s="1">
        <v>0.39718754678791002</v>
      </c>
      <c r="D5" s="7"/>
      <c r="E5" s="1">
        <v>0.23178115956972001</v>
      </c>
      <c r="F5" s="1">
        <v>0.39103381772633999</v>
      </c>
      <c r="G5" s="1">
        <v>0.76277315081786001</v>
      </c>
      <c r="H5" s="1">
        <v>0.51898104465223005</v>
      </c>
      <c r="I5" s="1">
        <v>0.79557213596161003</v>
      </c>
      <c r="J5" s="1">
        <v>0.20970090188672999</v>
      </c>
      <c r="K5" s="1">
        <v>0.69841212819683995</v>
      </c>
      <c r="L5" s="1">
        <v>0.58013439231237995</v>
      </c>
      <c r="M5" s="1">
        <v>0.51183642698459997</v>
      </c>
      <c r="N5" s="1">
        <v>0.36316057323981998</v>
      </c>
      <c r="O5" s="1">
        <v>5.5840415948359597E-2</v>
      </c>
      <c r="P5" s="1">
        <v>0.41028237333438999</v>
      </c>
      <c r="Q5" s="1">
        <v>0.24171531452309</v>
      </c>
      <c r="R5" s="1">
        <v>0.24688454648871999</v>
      </c>
      <c r="S5" s="1">
        <v>0.75514335732019999</v>
      </c>
      <c r="T5" s="1">
        <v>0.87973673489299997</v>
      </c>
      <c r="U5" s="1">
        <v>0.87660989553726998</v>
      </c>
      <c r="V5" s="1">
        <v>0.26503285623421002</v>
      </c>
      <c r="W5" s="1">
        <v>0.20752647435863</v>
      </c>
      <c r="X5" s="1">
        <v>5.7259722977580203E-2</v>
      </c>
      <c r="Y5" s="1">
        <v>0.55965180291366001</v>
      </c>
      <c r="Z5" s="1">
        <v>0.52678105969183997</v>
      </c>
      <c r="AA5" s="1">
        <v>7.6896276084429602E-2</v>
      </c>
      <c r="AB5" s="1">
        <v>0.23695471690323999</v>
      </c>
      <c r="AC5" s="1">
        <v>7.8341643427049898E-2</v>
      </c>
      <c r="AD5" s="1">
        <v>0.29937764751351997</v>
      </c>
      <c r="AE5" s="1">
        <v>4.6150508425309801E-2</v>
      </c>
    </row>
    <row r="6" spans="1:31" x14ac:dyDescent="0.25">
      <c r="A6" s="3" t="s">
        <v>5</v>
      </c>
      <c r="B6" s="1">
        <v>0.50828902296818002</v>
      </c>
      <c r="C6" s="1">
        <v>0.16540638721819001</v>
      </c>
      <c r="D6" s="1">
        <v>0.23178115956972001</v>
      </c>
      <c r="E6" s="7"/>
      <c r="F6" s="1">
        <v>0.15925265815661999</v>
      </c>
      <c r="G6" s="1">
        <v>0.53099199124814001</v>
      </c>
      <c r="H6" s="1">
        <v>0.28719988508250999</v>
      </c>
      <c r="I6" s="1">
        <v>0.56379097639189002</v>
      </c>
      <c r="J6" s="1">
        <v>2.20802576829899E-2</v>
      </c>
      <c r="K6" s="1">
        <v>0.46663096862712</v>
      </c>
      <c r="L6" s="1">
        <v>0.34835323274266</v>
      </c>
      <c r="M6" s="1">
        <v>0.28005526741488002</v>
      </c>
      <c r="N6" s="1">
        <v>0.1313794136701</v>
      </c>
      <c r="O6" s="1">
        <v>0.17594074362136</v>
      </c>
      <c r="P6" s="1">
        <v>0.17850121376467001</v>
      </c>
      <c r="Q6" s="1">
        <v>9.9341549533700207E-3</v>
      </c>
      <c r="R6" s="1">
        <v>1.51033869189998E-2</v>
      </c>
      <c r="S6" s="1">
        <v>0.52336219775047998</v>
      </c>
      <c r="T6" s="1">
        <v>0.64795557532327996</v>
      </c>
      <c r="U6" s="1">
        <v>0.64482873596754997</v>
      </c>
      <c r="V6" s="1">
        <v>3.3251696664490002E-2</v>
      </c>
      <c r="W6" s="1">
        <v>2.4254685211090098E-2</v>
      </c>
      <c r="X6" s="1">
        <v>0.28904088254729998</v>
      </c>
      <c r="Y6" s="1">
        <v>0.32787064334394</v>
      </c>
      <c r="Z6" s="1">
        <v>0.29499990012212002</v>
      </c>
      <c r="AA6" s="1">
        <v>0.15488488348529</v>
      </c>
      <c r="AB6" s="1">
        <v>5.1735573335198702E-3</v>
      </c>
      <c r="AC6" s="1">
        <v>0.15343951614267001</v>
      </c>
      <c r="AD6" s="1">
        <v>6.7596487943799993E-2</v>
      </c>
      <c r="AE6" s="1">
        <v>0.18563065114440999</v>
      </c>
    </row>
    <row r="7" spans="1:31" x14ac:dyDescent="0.25">
      <c r="A7" s="3" t="s">
        <v>6</v>
      </c>
      <c r="B7" s="1">
        <v>0.34903636481155997</v>
      </c>
      <c r="C7" s="1">
        <v>6.1537290615700799E-3</v>
      </c>
      <c r="D7" s="1">
        <v>0.39103381772633999</v>
      </c>
      <c r="E7" s="1">
        <v>0.15925265815661999</v>
      </c>
      <c r="F7" s="7"/>
      <c r="G7" s="1">
        <v>0.37173933309152002</v>
      </c>
      <c r="H7" s="1">
        <v>0.12794722692589</v>
      </c>
      <c r="I7" s="1">
        <v>0.40453831823526998</v>
      </c>
      <c r="J7" s="1">
        <v>0.18133291583961</v>
      </c>
      <c r="K7" s="1">
        <v>0.30737831047050002</v>
      </c>
      <c r="L7" s="1">
        <v>0.18910057458603999</v>
      </c>
      <c r="M7" s="1">
        <v>0.12080260925826</v>
      </c>
      <c r="N7" s="1">
        <v>2.787324448652E-2</v>
      </c>
      <c r="O7" s="1">
        <v>0.33519340177798002</v>
      </c>
      <c r="P7" s="1">
        <v>1.9248555608049899E-2</v>
      </c>
      <c r="Q7" s="1">
        <v>0.14931850320324999</v>
      </c>
      <c r="R7" s="1">
        <v>0.14414927123762</v>
      </c>
      <c r="S7" s="1">
        <v>0.36410953959386</v>
      </c>
      <c r="T7" s="1">
        <v>0.48870291716665998</v>
      </c>
      <c r="U7" s="1">
        <v>0.48557607781092998</v>
      </c>
      <c r="V7" s="1">
        <v>0.12600096149213</v>
      </c>
      <c r="W7" s="1">
        <v>0.18350734336770999</v>
      </c>
      <c r="X7" s="1">
        <v>0.44829354070392002</v>
      </c>
      <c r="Y7" s="1">
        <v>0.16861798518731999</v>
      </c>
      <c r="Z7" s="1">
        <v>0.1357472419655</v>
      </c>
      <c r="AA7" s="1">
        <v>0.31413754164190999</v>
      </c>
      <c r="AB7" s="1">
        <v>0.1540791008231</v>
      </c>
      <c r="AC7" s="1">
        <v>0.31269217429929003</v>
      </c>
      <c r="AD7" s="1">
        <v>9.1656170212819799E-2</v>
      </c>
      <c r="AE7" s="1">
        <v>0.34488330930103001</v>
      </c>
    </row>
    <row r="8" spans="1:31" x14ac:dyDescent="0.25">
      <c r="A8" s="3" t="s">
        <v>7</v>
      </c>
      <c r="B8" s="1">
        <v>2.2702968279960201E-2</v>
      </c>
      <c r="C8" s="1">
        <v>0.36558560402995</v>
      </c>
      <c r="D8" s="1">
        <v>0.76277315081786001</v>
      </c>
      <c r="E8" s="1">
        <v>0.53099199124814001</v>
      </c>
      <c r="F8" s="1">
        <v>0.37173933309152002</v>
      </c>
      <c r="G8" s="7"/>
      <c r="H8" s="1">
        <v>0.24379210616562999</v>
      </c>
      <c r="I8" s="1">
        <v>3.27989851437498E-2</v>
      </c>
      <c r="J8" s="1">
        <v>0.55307224893113005</v>
      </c>
      <c r="K8" s="1">
        <v>6.43610226210201E-2</v>
      </c>
      <c r="L8" s="1">
        <v>0.18263875850548</v>
      </c>
      <c r="M8" s="1">
        <v>0.25093672383325999</v>
      </c>
      <c r="N8" s="1">
        <v>0.39961257757803997</v>
      </c>
      <c r="O8" s="1">
        <v>0.70693273486950003</v>
      </c>
      <c r="P8" s="1">
        <v>0.35249077748347002</v>
      </c>
      <c r="Q8" s="1">
        <v>0.52105783629476998</v>
      </c>
      <c r="R8" s="1">
        <v>0.51588860432913997</v>
      </c>
      <c r="S8" s="1">
        <v>7.6297934976601303E-3</v>
      </c>
      <c r="T8" s="1">
        <v>0.11696358407514</v>
      </c>
      <c r="U8" s="1">
        <v>0.11383674471940999</v>
      </c>
      <c r="V8" s="1">
        <v>0.49774029458364999</v>
      </c>
      <c r="W8" s="1">
        <v>0.55524667645922998</v>
      </c>
      <c r="X8" s="1">
        <v>0.82003287379543999</v>
      </c>
      <c r="Y8" s="1">
        <v>0.2031213479042</v>
      </c>
      <c r="Z8" s="1">
        <v>0.23599209112601999</v>
      </c>
      <c r="AA8" s="1">
        <v>0.68587687473342995</v>
      </c>
      <c r="AB8" s="1">
        <v>0.52581843391462002</v>
      </c>
      <c r="AC8" s="1">
        <v>0.68443150739081005</v>
      </c>
      <c r="AD8" s="1">
        <v>0.46339550330433998</v>
      </c>
      <c r="AE8" s="1">
        <v>0.71662264239255002</v>
      </c>
    </row>
    <row r="9" spans="1:31" x14ac:dyDescent="0.25">
      <c r="A9" s="3" t="s">
        <v>8</v>
      </c>
      <c r="B9" s="1">
        <v>0.22108913788567</v>
      </c>
      <c r="C9" s="1">
        <v>0.12179349786432001</v>
      </c>
      <c r="D9" s="1">
        <v>0.51898104465223005</v>
      </c>
      <c r="E9" s="1">
        <v>0.28719988508250999</v>
      </c>
      <c r="F9" s="1">
        <v>0.12794722692589</v>
      </c>
      <c r="G9" s="1">
        <v>0.24379210616562999</v>
      </c>
      <c r="H9" s="7"/>
      <c r="I9" s="1">
        <v>0.27659109130937998</v>
      </c>
      <c r="J9" s="1">
        <v>0.30928014276549998</v>
      </c>
      <c r="K9" s="1">
        <v>0.17943108354460999</v>
      </c>
      <c r="L9" s="1">
        <v>6.1153347660150001E-2</v>
      </c>
      <c r="M9" s="1">
        <v>7.1446176676299702E-3</v>
      </c>
      <c r="N9" s="1">
        <v>0.15582047141241001</v>
      </c>
      <c r="O9" s="1">
        <v>0.46314062870387002</v>
      </c>
      <c r="P9" s="1">
        <v>0.10869867131784</v>
      </c>
      <c r="Q9" s="1">
        <v>0.27726573012914002</v>
      </c>
      <c r="R9" s="1">
        <v>0.27209649816351</v>
      </c>
      <c r="S9" s="1">
        <v>0.23616231266797</v>
      </c>
      <c r="T9" s="1">
        <v>0.36075569024076998</v>
      </c>
      <c r="U9" s="1">
        <v>0.35762885088503998</v>
      </c>
      <c r="V9" s="1">
        <v>0.25394818841802003</v>
      </c>
      <c r="W9" s="1">
        <v>0.31145457029360002</v>
      </c>
      <c r="X9" s="1">
        <v>0.57624076762981002</v>
      </c>
      <c r="Y9" s="1">
        <v>4.0670758261430101E-2</v>
      </c>
      <c r="Z9" s="1">
        <v>7.8000150396100301E-3</v>
      </c>
      <c r="AA9" s="1">
        <v>0.44208476856779999</v>
      </c>
      <c r="AB9" s="1">
        <v>0.28202632774899</v>
      </c>
      <c r="AC9" s="1">
        <v>0.44063940122518003</v>
      </c>
      <c r="AD9" s="1">
        <v>0.21960339713870999</v>
      </c>
      <c r="AE9" s="1">
        <v>0.47283053622692001</v>
      </c>
    </row>
    <row r="10" spans="1:31" x14ac:dyDescent="0.25">
      <c r="A10" s="3" t="s">
        <v>9</v>
      </c>
      <c r="B10" s="1">
        <v>5.5501953423709997E-2</v>
      </c>
      <c r="C10" s="1">
        <v>0.39838458917370001</v>
      </c>
      <c r="D10" s="1">
        <v>0.79557213596161003</v>
      </c>
      <c r="E10" s="1">
        <v>0.56379097639189002</v>
      </c>
      <c r="F10" s="1">
        <v>0.40453831823526998</v>
      </c>
      <c r="G10" s="1">
        <v>3.27989851437498E-2</v>
      </c>
      <c r="H10" s="1">
        <v>0.27659109130937998</v>
      </c>
      <c r="I10" s="7"/>
      <c r="J10" s="1">
        <v>0.58587123407487995</v>
      </c>
      <c r="K10" s="1">
        <v>9.7160007764769907E-2</v>
      </c>
      <c r="L10" s="1">
        <v>0.21543774364922999</v>
      </c>
      <c r="M10" s="1">
        <v>0.28373570897701</v>
      </c>
      <c r="N10" s="1">
        <v>0.43241156272178999</v>
      </c>
      <c r="O10" s="1">
        <v>0.73973172001325005</v>
      </c>
      <c r="P10" s="1">
        <v>0.38528976262721998</v>
      </c>
      <c r="Q10" s="1">
        <v>0.55385682143852</v>
      </c>
      <c r="R10" s="1">
        <v>0.54868758947288998</v>
      </c>
      <c r="S10" s="1">
        <v>4.0428778641409903E-2</v>
      </c>
      <c r="T10" s="1">
        <v>8.4164598931390194E-2</v>
      </c>
      <c r="U10" s="1">
        <v>8.1037759575660201E-2</v>
      </c>
      <c r="V10" s="1">
        <v>0.5305392797274</v>
      </c>
      <c r="W10" s="1">
        <v>0.58804566160298</v>
      </c>
      <c r="X10" s="1">
        <v>0.85283185893919</v>
      </c>
      <c r="Y10" s="1">
        <v>0.23592033304794999</v>
      </c>
      <c r="Z10" s="1">
        <v>0.26879107626977</v>
      </c>
      <c r="AA10" s="1">
        <v>0.71867585987717997</v>
      </c>
      <c r="AB10" s="1">
        <v>0.55861741905837003</v>
      </c>
      <c r="AC10" s="1">
        <v>0.71723049253455995</v>
      </c>
      <c r="AD10" s="1">
        <v>0.49619448844809</v>
      </c>
      <c r="AE10" s="1">
        <v>0.74942162753630004</v>
      </c>
    </row>
    <row r="11" spans="1:31" x14ac:dyDescent="0.25">
      <c r="A11" s="3" t="s">
        <v>10</v>
      </c>
      <c r="B11" s="1">
        <v>0.53036928065116995</v>
      </c>
      <c r="C11" s="1">
        <v>0.18748664490118</v>
      </c>
      <c r="D11" s="1">
        <v>0.20970090188672999</v>
      </c>
      <c r="E11" s="1">
        <v>2.20802576829899E-2</v>
      </c>
      <c r="F11" s="1">
        <v>0.18133291583961</v>
      </c>
      <c r="G11" s="1">
        <v>0.55307224893113005</v>
      </c>
      <c r="H11" s="1">
        <v>0.30928014276549998</v>
      </c>
      <c r="I11" s="1">
        <v>0.58587123407487995</v>
      </c>
      <c r="J11" s="7"/>
      <c r="K11" s="1">
        <v>0.48871122631010999</v>
      </c>
      <c r="L11" s="1">
        <v>0.37043349042564999</v>
      </c>
      <c r="M11" s="1">
        <v>0.30213552509787001</v>
      </c>
      <c r="N11" s="1">
        <v>0.15345967135308999</v>
      </c>
      <c r="O11" s="1">
        <v>0.15386048593837001</v>
      </c>
      <c r="P11" s="1">
        <v>0.20058147144766</v>
      </c>
      <c r="Q11" s="1">
        <v>3.2014412636359998E-2</v>
      </c>
      <c r="R11" s="1">
        <v>3.71836446019898E-2</v>
      </c>
      <c r="S11" s="1">
        <v>0.54544245543347003</v>
      </c>
      <c r="T11" s="1">
        <v>0.67003583300627001</v>
      </c>
      <c r="U11" s="1">
        <v>0.66690899365054002</v>
      </c>
      <c r="V11" s="1">
        <v>5.5331954347479999E-2</v>
      </c>
      <c r="W11" s="1">
        <v>2.17442752810015E-3</v>
      </c>
      <c r="X11" s="1">
        <v>0.26696062486430999</v>
      </c>
      <c r="Y11" s="1">
        <v>0.34995090102692999</v>
      </c>
      <c r="Z11" s="1">
        <v>0.31708015780511001</v>
      </c>
      <c r="AA11" s="1">
        <v>0.13280462580230001</v>
      </c>
      <c r="AB11" s="1">
        <v>2.7253815016509801E-2</v>
      </c>
      <c r="AC11" s="1">
        <v>0.13135925845968</v>
      </c>
      <c r="AD11" s="1">
        <v>8.9676745626789997E-2</v>
      </c>
      <c r="AE11" s="1">
        <v>0.16355039346142</v>
      </c>
    </row>
    <row r="12" spans="1:31" x14ac:dyDescent="0.25">
      <c r="A12" s="3" t="s">
        <v>11</v>
      </c>
      <c r="B12" s="1">
        <v>4.1658054341059798E-2</v>
      </c>
      <c r="C12" s="1">
        <v>0.30122458140892999</v>
      </c>
      <c r="D12" s="1">
        <v>0.69841212819683995</v>
      </c>
      <c r="E12" s="1">
        <v>0.46663096862712</v>
      </c>
      <c r="F12" s="1">
        <v>0.30737831047050002</v>
      </c>
      <c r="G12" s="1">
        <v>6.43610226210201E-2</v>
      </c>
      <c r="H12" s="1">
        <v>0.17943108354460999</v>
      </c>
      <c r="I12" s="1">
        <v>9.7160007764769907E-2</v>
      </c>
      <c r="J12" s="1">
        <v>0.48871122631010999</v>
      </c>
      <c r="K12" s="7"/>
      <c r="L12" s="1">
        <v>0.11827773588446</v>
      </c>
      <c r="M12" s="1">
        <v>0.18657570121224001</v>
      </c>
      <c r="N12" s="1">
        <v>0.33525155495702003</v>
      </c>
      <c r="O12" s="1">
        <v>0.64257171224847998</v>
      </c>
      <c r="P12" s="1">
        <v>0.28812975486245002</v>
      </c>
      <c r="Q12" s="1">
        <v>0.45669681367374998</v>
      </c>
      <c r="R12" s="1">
        <v>0.45152758170812002</v>
      </c>
      <c r="S12" s="1">
        <v>5.67312291233599E-2</v>
      </c>
      <c r="T12" s="1">
        <v>0.18132460669615999</v>
      </c>
      <c r="U12" s="1">
        <v>0.17819776734043</v>
      </c>
      <c r="V12" s="1">
        <v>0.43337927196262999</v>
      </c>
      <c r="W12" s="1">
        <v>0.49088565383820998</v>
      </c>
      <c r="X12" s="1">
        <v>0.75567185117442004</v>
      </c>
      <c r="Y12" s="1">
        <v>0.13876032528318</v>
      </c>
      <c r="Z12" s="1">
        <v>0.17163106850500001</v>
      </c>
      <c r="AA12" s="1">
        <v>0.62151585211241001</v>
      </c>
      <c r="AB12" s="1">
        <v>0.46145741129360002</v>
      </c>
      <c r="AC12" s="1">
        <v>0.62007048476978999</v>
      </c>
      <c r="AD12" s="1">
        <v>0.39903448068331998</v>
      </c>
      <c r="AE12" s="1">
        <v>0.65226161977152997</v>
      </c>
    </row>
    <row r="13" spans="1:31" x14ac:dyDescent="0.25">
      <c r="A13" s="3" t="s">
        <v>12</v>
      </c>
      <c r="B13" s="1">
        <v>0.15993579022552001</v>
      </c>
      <c r="C13" s="1">
        <v>0.18294684552446999</v>
      </c>
      <c r="D13" s="1">
        <v>0.58013439231237995</v>
      </c>
      <c r="E13" s="1">
        <v>0.34835323274266</v>
      </c>
      <c r="F13" s="1">
        <v>0.18910057458603999</v>
      </c>
      <c r="G13" s="1">
        <v>0.18263875850548</v>
      </c>
      <c r="H13" s="1">
        <v>6.1153347660150001E-2</v>
      </c>
      <c r="I13" s="1">
        <v>0.21543774364922999</v>
      </c>
      <c r="J13" s="1">
        <v>0.37043349042564999</v>
      </c>
      <c r="K13" s="1">
        <v>0.11827773588446</v>
      </c>
      <c r="L13" s="7"/>
      <c r="M13" s="1">
        <v>6.829796532778E-2</v>
      </c>
      <c r="N13" s="1">
        <v>0.21697381907256</v>
      </c>
      <c r="O13" s="1">
        <v>0.52429397636401998</v>
      </c>
      <c r="P13" s="1">
        <v>0.16985201897798999</v>
      </c>
      <c r="Q13" s="1">
        <v>0.33841907778928998</v>
      </c>
      <c r="R13" s="1">
        <v>0.33324984582366002</v>
      </c>
      <c r="S13" s="1">
        <v>0.17500896500782001</v>
      </c>
      <c r="T13" s="1">
        <v>0.29960234258062002</v>
      </c>
      <c r="U13" s="1">
        <v>0.29647550322489002</v>
      </c>
      <c r="V13" s="1">
        <v>0.31510153607816999</v>
      </c>
      <c r="W13" s="1">
        <v>0.37260791795374998</v>
      </c>
      <c r="X13" s="1">
        <v>0.63739411528996004</v>
      </c>
      <c r="Y13" s="1">
        <v>2.04825893987199E-2</v>
      </c>
      <c r="Z13" s="1">
        <v>5.3353332620539998E-2</v>
      </c>
      <c r="AA13" s="1">
        <v>0.50323811622795001</v>
      </c>
      <c r="AB13" s="1">
        <v>0.34317967540914002</v>
      </c>
      <c r="AC13" s="1">
        <v>0.50179274888532999</v>
      </c>
      <c r="AD13" s="1">
        <v>0.28075674479885998</v>
      </c>
      <c r="AE13" s="1">
        <v>0.53398388388706997</v>
      </c>
    </row>
    <row r="14" spans="1:31" x14ac:dyDescent="0.25">
      <c r="A14" s="3" t="s">
        <v>13</v>
      </c>
      <c r="B14" s="1">
        <v>0.2282337555533</v>
      </c>
      <c r="C14" s="1">
        <v>0.11464888019669001</v>
      </c>
      <c r="D14" s="1">
        <v>0.51183642698459997</v>
      </c>
      <c r="E14" s="1">
        <v>0.28005526741488002</v>
      </c>
      <c r="F14" s="1">
        <v>0.12080260925826</v>
      </c>
      <c r="G14" s="1">
        <v>0.25093672383325999</v>
      </c>
      <c r="H14" s="1">
        <v>7.1446176676299702E-3</v>
      </c>
      <c r="I14" s="1">
        <v>0.28373570897701</v>
      </c>
      <c r="J14" s="1">
        <v>0.30213552509787001</v>
      </c>
      <c r="K14" s="1">
        <v>0.18657570121224001</v>
      </c>
      <c r="L14" s="1">
        <v>6.829796532778E-2</v>
      </c>
      <c r="M14" s="7"/>
      <c r="N14" s="1">
        <v>0.14867585374478001</v>
      </c>
      <c r="O14" s="1">
        <v>0.45599601103623999</v>
      </c>
      <c r="P14" s="1">
        <v>0.10155405365021</v>
      </c>
      <c r="Q14" s="1">
        <v>0.27012111246150999</v>
      </c>
      <c r="R14" s="1">
        <v>0.26495188049587998</v>
      </c>
      <c r="S14" s="1">
        <v>0.2433069303356</v>
      </c>
      <c r="T14" s="1">
        <v>0.3679003079084</v>
      </c>
      <c r="U14" s="1">
        <v>0.36477346855267001</v>
      </c>
      <c r="V14" s="1">
        <v>0.24680357075039</v>
      </c>
      <c r="W14" s="1">
        <v>0.30430995262596999</v>
      </c>
      <c r="X14" s="1">
        <v>0.56909614996218005</v>
      </c>
      <c r="Y14" s="1">
        <v>4.7815375929060003E-2</v>
      </c>
      <c r="Z14" s="1">
        <v>1.494463270724E-2</v>
      </c>
      <c r="AA14" s="1">
        <v>0.43494015090017002</v>
      </c>
      <c r="AB14" s="1">
        <v>0.27488171008135998</v>
      </c>
      <c r="AC14" s="1">
        <v>0.43349478355755</v>
      </c>
      <c r="AD14" s="1">
        <v>0.21245877947107999</v>
      </c>
      <c r="AE14" s="1">
        <v>0.46568591855928998</v>
      </c>
    </row>
    <row r="15" spans="1:31" x14ac:dyDescent="0.25">
      <c r="A15" s="3" t="s">
        <v>14</v>
      </c>
      <c r="B15" s="1">
        <v>0.37690960929807998</v>
      </c>
      <c r="C15" s="1">
        <v>3.4026973548089999E-2</v>
      </c>
      <c r="D15" s="1">
        <v>0.36316057323981998</v>
      </c>
      <c r="E15" s="1">
        <v>0.1313794136701</v>
      </c>
      <c r="F15" s="1">
        <v>2.787324448652E-2</v>
      </c>
      <c r="G15" s="1">
        <v>0.39961257757803997</v>
      </c>
      <c r="H15" s="1">
        <v>0.15582047141241001</v>
      </c>
      <c r="I15" s="1">
        <v>0.43241156272178999</v>
      </c>
      <c r="J15" s="1">
        <v>0.15345967135308999</v>
      </c>
      <c r="K15" s="1">
        <v>0.33525155495702003</v>
      </c>
      <c r="L15" s="1">
        <v>0.21697381907256</v>
      </c>
      <c r="M15" s="1">
        <v>0.14867585374478001</v>
      </c>
      <c r="N15" s="7"/>
      <c r="O15" s="1">
        <v>0.30732015729146001</v>
      </c>
      <c r="P15" s="1">
        <v>4.7121800094569899E-2</v>
      </c>
      <c r="Q15" s="1">
        <v>0.12144525871673</v>
      </c>
      <c r="R15" s="1">
        <v>0.11627602675110001</v>
      </c>
      <c r="S15" s="1">
        <v>0.39198278408038001</v>
      </c>
      <c r="T15" s="1">
        <v>0.51657616165317999</v>
      </c>
      <c r="U15" s="1">
        <v>0.51344932229744999</v>
      </c>
      <c r="V15" s="1">
        <v>9.8127717005609794E-2</v>
      </c>
      <c r="W15" s="1">
        <v>0.15563409888119001</v>
      </c>
      <c r="X15" s="1">
        <v>0.42042029621740001</v>
      </c>
      <c r="Y15" s="1">
        <v>0.19649122967384</v>
      </c>
      <c r="Z15" s="1">
        <v>0.16362048645201999</v>
      </c>
      <c r="AA15" s="1">
        <v>0.28626429715538998</v>
      </c>
      <c r="AB15" s="1">
        <v>0.12620585633657999</v>
      </c>
      <c r="AC15" s="1">
        <v>0.28481892981277002</v>
      </c>
      <c r="AD15" s="1">
        <v>6.3782925726299802E-2</v>
      </c>
      <c r="AE15" s="1">
        <v>0.31701006481451</v>
      </c>
    </row>
    <row r="16" spans="1:31" x14ac:dyDescent="0.25">
      <c r="A16" s="3" t="s">
        <v>15</v>
      </c>
      <c r="B16" s="1">
        <v>0.68422976658954004</v>
      </c>
      <c r="C16" s="1">
        <v>0.34134713083954998</v>
      </c>
      <c r="D16" s="1">
        <v>5.5840415948359597E-2</v>
      </c>
      <c r="E16" s="1">
        <v>0.17594074362136</v>
      </c>
      <c r="F16" s="1">
        <v>0.33519340177798002</v>
      </c>
      <c r="G16" s="1">
        <v>0.70693273486950003</v>
      </c>
      <c r="H16" s="1">
        <v>0.46314062870387002</v>
      </c>
      <c r="I16" s="1">
        <v>0.73973172001325005</v>
      </c>
      <c r="J16" s="1">
        <v>0.15386048593837001</v>
      </c>
      <c r="K16" s="1">
        <v>0.64257171224847998</v>
      </c>
      <c r="L16" s="1">
        <v>0.52429397636401998</v>
      </c>
      <c r="M16" s="1">
        <v>0.45599601103623999</v>
      </c>
      <c r="N16" s="1">
        <v>0.30732015729146001</v>
      </c>
      <c r="O16" s="7"/>
      <c r="P16" s="1">
        <v>0.35444195738603002</v>
      </c>
      <c r="Q16" s="1">
        <v>0.18587489857473</v>
      </c>
      <c r="R16" s="1">
        <v>0.19104413054036001</v>
      </c>
      <c r="S16" s="1">
        <v>0.69930294137184001</v>
      </c>
      <c r="T16" s="1">
        <v>0.82389631894463999</v>
      </c>
      <c r="U16" s="1">
        <v>0.82076947958891</v>
      </c>
      <c r="V16" s="1">
        <v>0.20919244028584999</v>
      </c>
      <c r="W16" s="1">
        <v>0.15168605841027</v>
      </c>
      <c r="X16" s="1">
        <v>0.11310013892593999</v>
      </c>
      <c r="Y16" s="1">
        <v>0.50381138696530003</v>
      </c>
      <c r="Z16" s="1">
        <v>0.47094064374347999</v>
      </c>
      <c r="AA16" s="1">
        <v>2.1055860136070002E-2</v>
      </c>
      <c r="AB16" s="1">
        <v>0.18111430095487999</v>
      </c>
      <c r="AC16" s="1">
        <v>2.2501227478690201E-2</v>
      </c>
      <c r="AD16" s="1">
        <v>0.24353723156516</v>
      </c>
      <c r="AE16" s="1">
        <v>9.6899075230498805E-3</v>
      </c>
    </row>
    <row r="17" spans="1:31" x14ac:dyDescent="0.25">
      <c r="A17" s="3" t="s">
        <v>16</v>
      </c>
      <c r="B17" s="1">
        <v>0.32978780920350997</v>
      </c>
      <c r="C17" s="1">
        <v>1.30948265464799E-2</v>
      </c>
      <c r="D17" s="1">
        <v>0.41028237333438999</v>
      </c>
      <c r="E17" s="1">
        <v>0.17850121376467001</v>
      </c>
      <c r="F17" s="1">
        <v>1.9248555608049899E-2</v>
      </c>
      <c r="G17" s="1">
        <v>0.35249077748347002</v>
      </c>
      <c r="H17" s="1">
        <v>0.10869867131784</v>
      </c>
      <c r="I17" s="1">
        <v>0.38528976262721998</v>
      </c>
      <c r="J17" s="1">
        <v>0.20058147144766</v>
      </c>
      <c r="K17" s="1">
        <v>0.28812975486245002</v>
      </c>
      <c r="L17" s="1">
        <v>0.16985201897798999</v>
      </c>
      <c r="M17" s="1">
        <v>0.10155405365021</v>
      </c>
      <c r="N17" s="1">
        <v>4.7121800094569899E-2</v>
      </c>
      <c r="O17" s="1">
        <v>0.35444195738603002</v>
      </c>
      <c r="P17" s="7"/>
      <c r="Q17" s="1">
        <v>0.16856705881129999</v>
      </c>
      <c r="R17" s="1">
        <v>0.16339782684567</v>
      </c>
      <c r="S17" s="1">
        <v>0.34486098398581</v>
      </c>
      <c r="T17" s="1">
        <v>0.46945436155860998</v>
      </c>
      <c r="U17" s="1">
        <v>0.46632752220287998</v>
      </c>
      <c r="V17" s="1">
        <v>0.14524951710018</v>
      </c>
      <c r="W17" s="1">
        <v>0.20275589897575999</v>
      </c>
      <c r="X17" s="1">
        <v>0.46754209631197002</v>
      </c>
      <c r="Y17" s="1">
        <v>0.14936942957926999</v>
      </c>
      <c r="Z17" s="1">
        <v>0.11649868635745</v>
      </c>
      <c r="AA17" s="1">
        <v>0.33338609724995999</v>
      </c>
      <c r="AB17" s="1">
        <v>0.17332765643115</v>
      </c>
      <c r="AC17" s="1">
        <v>0.33194072990734003</v>
      </c>
      <c r="AD17" s="1">
        <v>0.11090472582087001</v>
      </c>
      <c r="AE17" s="1">
        <v>0.36413186490908001</v>
      </c>
    </row>
    <row r="18" spans="1:31" x14ac:dyDescent="0.25">
      <c r="A18" s="3" t="s">
        <v>17</v>
      </c>
      <c r="B18" s="1">
        <v>0.49835486801480999</v>
      </c>
      <c r="C18" s="1">
        <v>0.15547223226481999</v>
      </c>
      <c r="D18" s="1">
        <v>0.24171531452309</v>
      </c>
      <c r="E18" s="1">
        <v>9.9341549533700207E-3</v>
      </c>
      <c r="F18" s="1">
        <v>0.14931850320324999</v>
      </c>
      <c r="G18" s="1">
        <v>0.52105783629476998</v>
      </c>
      <c r="H18" s="1">
        <v>0.27726573012914002</v>
      </c>
      <c r="I18" s="1">
        <v>0.55385682143852</v>
      </c>
      <c r="J18" s="1">
        <v>3.2014412636359998E-2</v>
      </c>
      <c r="K18" s="1">
        <v>0.45669681367374998</v>
      </c>
      <c r="L18" s="1">
        <v>0.33841907778928998</v>
      </c>
      <c r="M18" s="1">
        <v>0.27012111246150999</v>
      </c>
      <c r="N18" s="1">
        <v>0.12144525871673</v>
      </c>
      <c r="O18" s="1">
        <v>0.18587489857473</v>
      </c>
      <c r="P18" s="1">
        <v>0.16856705881129999</v>
      </c>
      <c r="Q18" s="7"/>
      <c r="R18" s="1">
        <v>5.1692319656297904E-3</v>
      </c>
      <c r="S18" s="1">
        <v>0.51342804279710996</v>
      </c>
      <c r="T18" s="1">
        <v>0.63802142036991005</v>
      </c>
      <c r="U18" s="1">
        <v>0.63489458101417995</v>
      </c>
      <c r="V18" s="1">
        <v>2.331754171112E-2</v>
      </c>
      <c r="W18" s="1">
        <v>3.4188840164460103E-2</v>
      </c>
      <c r="X18" s="1">
        <v>0.29897503750067</v>
      </c>
      <c r="Y18" s="1">
        <v>0.31793648839056998</v>
      </c>
      <c r="Z18" s="1">
        <v>0.28506574516875</v>
      </c>
      <c r="AA18" s="1">
        <v>0.16481903843866</v>
      </c>
      <c r="AB18" s="1">
        <v>4.7605976198501496E-3</v>
      </c>
      <c r="AC18" s="1">
        <v>0.16337367109604001</v>
      </c>
      <c r="AD18" s="1">
        <v>5.7662332990429999E-2</v>
      </c>
      <c r="AE18" s="1">
        <v>0.19556480609777999</v>
      </c>
    </row>
    <row r="19" spans="1:31" x14ac:dyDescent="0.25">
      <c r="A19" s="3" t="s">
        <v>18</v>
      </c>
      <c r="B19" s="1">
        <v>0.49318563604917998</v>
      </c>
      <c r="C19" s="1">
        <v>0.15030300029919</v>
      </c>
      <c r="D19" s="1">
        <v>0.24688454648871999</v>
      </c>
      <c r="E19" s="1">
        <v>1.51033869189998E-2</v>
      </c>
      <c r="F19" s="1">
        <v>0.14414927123762</v>
      </c>
      <c r="G19" s="1">
        <v>0.51588860432913997</v>
      </c>
      <c r="H19" s="1">
        <v>0.27209649816351</v>
      </c>
      <c r="I19" s="1">
        <v>0.54868758947288998</v>
      </c>
      <c r="J19" s="1">
        <v>3.71836446019898E-2</v>
      </c>
      <c r="K19" s="1">
        <v>0.45152758170812002</v>
      </c>
      <c r="L19" s="1">
        <v>0.33324984582366002</v>
      </c>
      <c r="M19" s="1">
        <v>0.26495188049587998</v>
      </c>
      <c r="N19" s="1">
        <v>0.11627602675110001</v>
      </c>
      <c r="O19" s="1">
        <v>0.19104413054036001</v>
      </c>
      <c r="P19" s="1">
        <v>0.16339782684567</v>
      </c>
      <c r="Q19" s="1">
        <v>5.1692319656297904E-3</v>
      </c>
      <c r="R19" s="7"/>
      <c r="S19" s="1">
        <v>0.50825881083147995</v>
      </c>
      <c r="T19" s="1">
        <v>0.63285218840428004</v>
      </c>
      <c r="U19" s="1">
        <v>0.62972534904855004</v>
      </c>
      <c r="V19" s="1">
        <v>1.8148309745490199E-2</v>
      </c>
      <c r="W19" s="1">
        <v>3.9358072130089898E-2</v>
      </c>
      <c r="X19" s="1">
        <v>0.30414426946630002</v>
      </c>
      <c r="Y19" s="1">
        <v>0.31276725642494002</v>
      </c>
      <c r="Z19" s="1">
        <v>0.27989651320311998</v>
      </c>
      <c r="AA19" s="1">
        <v>0.16998827040428999</v>
      </c>
      <c r="AB19" s="1">
        <v>9.92982958547994E-3</v>
      </c>
      <c r="AC19" s="1">
        <v>0.16854290306167</v>
      </c>
      <c r="AD19" s="1">
        <v>5.2493101024800197E-2</v>
      </c>
      <c r="AE19" s="1">
        <v>0.20073403806341</v>
      </c>
    </row>
    <row r="20" spans="1:31" x14ac:dyDescent="0.25">
      <c r="A20" s="3" t="s">
        <v>19</v>
      </c>
      <c r="B20" s="1">
        <v>1.50731747823001E-2</v>
      </c>
      <c r="C20" s="1">
        <v>0.35795581053228998</v>
      </c>
      <c r="D20" s="1">
        <v>0.75514335732019999</v>
      </c>
      <c r="E20" s="1">
        <v>0.52336219775047998</v>
      </c>
      <c r="F20" s="1">
        <v>0.36410953959386</v>
      </c>
      <c r="G20" s="1">
        <v>7.6297934976601303E-3</v>
      </c>
      <c r="H20" s="1">
        <v>0.23616231266797</v>
      </c>
      <c r="I20" s="1">
        <v>4.0428778641409903E-2</v>
      </c>
      <c r="J20" s="1">
        <v>0.54544245543347003</v>
      </c>
      <c r="K20" s="1">
        <v>5.67312291233599E-2</v>
      </c>
      <c r="L20" s="1">
        <v>0.17500896500782001</v>
      </c>
      <c r="M20" s="1">
        <v>0.2433069303356</v>
      </c>
      <c r="N20" s="1">
        <v>0.39198278408038001</v>
      </c>
      <c r="O20" s="1">
        <v>0.69930294137184001</v>
      </c>
      <c r="P20" s="1">
        <v>0.34486098398581</v>
      </c>
      <c r="Q20" s="1">
        <v>0.51342804279710996</v>
      </c>
      <c r="R20" s="1">
        <v>0.50825881083147995</v>
      </c>
      <c r="S20" s="7"/>
      <c r="T20" s="1">
        <v>0.12459337757279999</v>
      </c>
      <c r="U20" s="1">
        <v>0.12146653821707</v>
      </c>
      <c r="V20" s="1">
        <v>0.49011050108599002</v>
      </c>
      <c r="W20" s="1">
        <v>0.54761688296156996</v>
      </c>
      <c r="X20" s="1">
        <v>0.81240308029777997</v>
      </c>
      <c r="Y20" s="1">
        <v>0.19549155440654001</v>
      </c>
      <c r="Z20" s="1">
        <v>0.22836229762835999</v>
      </c>
      <c r="AA20" s="1">
        <v>0.67824708123577004</v>
      </c>
      <c r="AB20" s="1">
        <v>0.51818864041696</v>
      </c>
      <c r="AC20" s="1">
        <v>0.67680171389315003</v>
      </c>
      <c r="AD20" s="1">
        <v>0.45576570980668002</v>
      </c>
      <c r="AE20" s="1">
        <v>0.70899284889489</v>
      </c>
    </row>
    <row r="21" spans="1:31" x14ac:dyDescent="0.25">
      <c r="A21" s="3" t="s">
        <v>20</v>
      </c>
      <c r="B21" s="1">
        <v>0.1396665523551</v>
      </c>
      <c r="C21" s="1">
        <v>0.48254918810509001</v>
      </c>
      <c r="D21" s="1">
        <v>0.87973673489299997</v>
      </c>
      <c r="E21" s="1">
        <v>0.64795557532327996</v>
      </c>
      <c r="F21" s="1">
        <v>0.48870291716665998</v>
      </c>
      <c r="G21" s="1">
        <v>0.11696358407514</v>
      </c>
      <c r="H21" s="1">
        <v>0.36075569024076998</v>
      </c>
      <c r="I21" s="1">
        <v>8.4164598931390194E-2</v>
      </c>
      <c r="J21" s="1">
        <v>0.67003583300627001</v>
      </c>
      <c r="K21" s="1">
        <v>0.18132460669615999</v>
      </c>
      <c r="L21" s="1">
        <v>0.29960234258062002</v>
      </c>
      <c r="M21" s="1">
        <v>0.3679003079084</v>
      </c>
      <c r="N21" s="1">
        <v>0.51657616165317999</v>
      </c>
      <c r="O21" s="1">
        <v>0.82389631894463999</v>
      </c>
      <c r="P21" s="1">
        <v>0.46945436155860998</v>
      </c>
      <c r="Q21" s="1">
        <v>0.63802142036991005</v>
      </c>
      <c r="R21" s="1">
        <v>0.63285218840428004</v>
      </c>
      <c r="S21" s="1">
        <v>0.12459337757279999</v>
      </c>
      <c r="T21" s="7"/>
      <c r="U21" s="1">
        <v>3.1268393557299899E-3</v>
      </c>
      <c r="V21" s="1">
        <v>0.61470387865878995</v>
      </c>
      <c r="W21" s="1">
        <v>0.67221026053437005</v>
      </c>
      <c r="X21" s="1">
        <v>0.93699645787057995</v>
      </c>
      <c r="Y21" s="1">
        <v>0.32008493197934001</v>
      </c>
      <c r="Z21" s="1">
        <v>0.35295567520116</v>
      </c>
      <c r="AA21" s="1">
        <v>0.80284045880857002</v>
      </c>
      <c r="AB21" s="1">
        <v>0.64278201798975998</v>
      </c>
      <c r="AC21" s="1">
        <v>0.80139509146595</v>
      </c>
      <c r="AD21" s="1">
        <v>0.58035908737948005</v>
      </c>
      <c r="AE21" s="1">
        <v>0.83358622646768998</v>
      </c>
    </row>
    <row r="22" spans="1:31" x14ac:dyDescent="0.25">
      <c r="A22" s="3" t="s">
        <v>21</v>
      </c>
      <c r="B22" s="1">
        <v>0.13653971299937001</v>
      </c>
      <c r="C22" s="1">
        <v>0.47942234874936002</v>
      </c>
      <c r="D22" s="1">
        <v>0.87660989553726998</v>
      </c>
      <c r="E22" s="1">
        <v>0.64482873596754997</v>
      </c>
      <c r="F22" s="1">
        <v>0.48557607781092998</v>
      </c>
      <c r="G22" s="1">
        <v>0.11383674471940999</v>
      </c>
      <c r="H22" s="1">
        <v>0.35762885088503998</v>
      </c>
      <c r="I22" s="1">
        <v>8.1037759575660201E-2</v>
      </c>
      <c r="J22" s="1">
        <v>0.66690899365054002</v>
      </c>
      <c r="K22" s="1">
        <v>0.17819776734043</v>
      </c>
      <c r="L22" s="1">
        <v>0.29647550322489002</v>
      </c>
      <c r="M22" s="1">
        <v>0.36477346855267001</v>
      </c>
      <c r="N22" s="1">
        <v>0.51344932229744999</v>
      </c>
      <c r="O22" s="1">
        <v>0.82076947958891</v>
      </c>
      <c r="P22" s="1">
        <v>0.46632752220287998</v>
      </c>
      <c r="Q22" s="1">
        <v>0.63489458101417995</v>
      </c>
      <c r="R22" s="1">
        <v>0.62972534904855004</v>
      </c>
      <c r="S22" s="1">
        <v>0.12146653821707</v>
      </c>
      <c r="T22" s="1">
        <v>3.1268393557299899E-3</v>
      </c>
      <c r="U22" s="7"/>
      <c r="V22" s="1">
        <v>0.61157703930305995</v>
      </c>
      <c r="W22" s="1">
        <v>0.66908342117863995</v>
      </c>
      <c r="X22" s="1">
        <v>0.93386961851484995</v>
      </c>
      <c r="Y22" s="1">
        <v>0.31695809262361002</v>
      </c>
      <c r="Z22" s="1">
        <v>0.34982883584543001</v>
      </c>
      <c r="AA22" s="1">
        <v>0.79971361945284003</v>
      </c>
      <c r="AB22" s="1">
        <v>0.63965517863402999</v>
      </c>
      <c r="AC22" s="1">
        <v>0.79826825211022001</v>
      </c>
      <c r="AD22" s="1">
        <v>0.57723224802374995</v>
      </c>
      <c r="AE22" s="1">
        <v>0.83045938711195999</v>
      </c>
    </row>
    <row r="23" spans="1:31" x14ac:dyDescent="0.25">
      <c r="A23" s="3" t="s">
        <v>22</v>
      </c>
      <c r="B23" s="1">
        <v>0.47503732630369</v>
      </c>
      <c r="C23" s="1">
        <v>0.13215469055369999</v>
      </c>
      <c r="D23" s="1">
        <v>0.26503285623421002</v>
      </c>
      <c r="E23" s="1">
        <v>3.3251696664490002E-2</v>
      </c>
      <c r="F23" s="1">
        <v>0.12600096149213</v>
      </c>
      <c r="G23" s="1">
        <v>0.49774029458364999</v>
      </c>
      <c r="H23" s="1">
        <v>0.25394818841802003</v>
      </c>
      <c r="I23" s="1">
        <v>0.5305392797274</v>
      </c>
      <c r="J23" s="1">
        <v>5.5331954347479999E-2</v>
      </c>
      <c r="K23" s="1">
        <v>0.43337927196262999</v>
      </c>
      <c r="L23" s="1">
        <v>0.31510153607816999</v>
      </c>
      <c r="M23" s="1">
        <v>0.24680357075039</v>
      </c>
      <c r="N23" s="1">
        <v>9.8127717005609794E-2</v>
      </c>
      <c r="O23" s="1">
        <v>0.20919244028584999</v>
      </c>
      <c r="P23" s="1">
        <v>0.14524951710018</v>
      </c>
      <c r="Q23" s="1">
        <v>2.331754171112E-2</v>
      </c>
      <c r="R23" s="1">
        <v>1.8148309745490199E-2</v>
      </c>
      <c r="S23" s="1">
        <v>0.49011050108599002</v>
      </c>
      <c r="T23" s="1">
        <v>0.61470387865878995</v>
      </c>
      <c r="U23" s="1">
        <v>0.61157703930305995</v>
      </c>
      <c r="V23" s="7"/>
      <c r="W23" s="1">
        <v>5.7506381875580097E-2</v>
      </c>
      <c r="X23" s="1">
        <v>0.32229257921179</v>
      </c>
      <c r="Y23" s="1">
        <v>0.29461894667944999</v>
      </c>
      <c r="Z23" s="1">
        <v>0.26174820345763</v>
      </c>
      <c r="AA23" s="1">
        <v>0.18813658014977999</v>
      </c>
      <c r="AB23" s="1">
        <v>2.8078139330970101E-2</v>
      </c>
      <c r="AC23" s="1">
        <v>0.18669121280716</v>
      </c>
      <c r="AD23" s="1">
        <v>3.4344791279309998E-2</v>
      </c>
      <c r="AE23" s="1">
        <v>0.21888234780890001</v>
      </c>
    </row>
    <row r="24" spans="1:31" x14ac:dyDescent="0.25">
      <c r="A24" s="3" t="s">
        <v>23</v>
      </c>
      <c r="B24" s="1">
        <v>0.53254370817926999</v>
      </c>
      <c r="C24" s="1">
        <v>0.18966107242927999</v>
      </c>
      <c r="D24" s="1">
        <v>0.20752647435863</v>
      </c>
      <c r="E24" s="1">
        <v>2.4254685211090098E-2</v>
      </c>
      <c r="F24" s="1">
        <v>0.18350734336770999</v>
      </c>
      <c r="G24" s="1">
        <v>0.55524667645922998</v>
      </c>
      <c r="H24" s="1">
        <v>0.31145457029360002</v>
      </c>
      <c r="I24" s="1">
        <v>0.58804566160298</v>
      </c>
      <c r="J24" s="1">
        <v>2.17442752810015E-3</v>
      </c>
      <c r="K24" s="1">
        <v>0.49088565383820998</v>
      </c>
      <c r="L24" s="1">
        <v>0.37260791795374998</v>
      </c>
      <c r="M24" s="1">
        <v>0.30430995262596999</v>
      </c>
      <c r="N24" s="1">
        <v>0.15563409888119001</v>
      </c>
      <c r="O24" s="1">
        <v>0.15168605841027</v>
      </c>
      <c r="P24" s="1">
        <v>0.20275589897575999</v>
      </c>
      <c r="Q24" s="1">
        <v>3.4188840164460103E-2</v>
      </c>
      <c r="R24" s="1">
        <v>3.9358072130089898E-2</v>
      </c>
      <c r="S24" s="1">
        <v>0.54761688296156996</v>
      </c>
      <c r="T24" s="1">
        <v>0.67221026053437005</v>
      </c>
      <c r="U24" s="1">
        <v>0.66908342117863995</v>
      </c>
      <c r="V24" s="1">
        <v>5.7506381875580097E-2</v>
      </c>
      <c r="W24" s="7"/>
      <c r="X24" s="1">
        <v>0.26478619733621001</v>
      </c>
      <c r="Y24" s="1">
        <v>0.35212532855502998</v>
      </c>
      <c r="Z24" s="1">
        <v>0.31925458533320999</v>
      </c>
      <c r="AA24" s="1">
        <v>0.1306301982742</v>
      </c>
      <c r="AB24" s="1">
        <v>2.942824254461E-2</v>
      </c>
      <c r="AC24" s="1">
        <v>0.12918483093158001</v>
      </c>
      <c r="AD24" s="1">
        <v>9.1851173154890095E-2</v>
      </c>
      <c r="AE24" s="1">
        <v>0.16137596593331999</v>
      </c>
    </row>
    <row r="25" spans="1:31" x14ac:dyDescent="0.25">
      <c r="A25" s="3" t="s">
        <v>24</v>
      </c>
      <c r="B25" s="1">
        <v>0.79732990551548</v>
      </c>
      <c r="C25" s="1">
        <v>0.45444726976548999</v>
      </c>
      <c r="D25" s="1">
        <v>5.7259722977580203E-2</v>
      </c>
      <c r="E25" s="1">
        <v>0.28904088254729998</v>
      </c>
      <c r="F25" s="1">
        <v>0.44829354070392002</v>
      </c>
      <c r="G25" s="1">
        <v>0.82003287379543999</v>
      </c>
      <c r="H25" s="1">
        <v>0.57624076762981002</v>
      </c>
      <c r="I25" s="1">
        <v>0.85283185893919</v>
      </c>
      <c r="J25" s="1">
        <v>0.26696062486430999</v>
      </c>
      <c r="K25" s="1">
        <v>0.75567185117442004</v>
      </c>
      <c r="L25" s="1">
        <v>0.63739411528996004</v>
      </c>
      <c r="M25" s="1">
        <v>0.56909614996218005</v>
      </c>
      <c r="N25" s="1">
        <v>0.42042029621740001</v>
      </c>
      <c r="O25" s="1">
        <v>0.11310013892593999</v>
      </c>
      <c r="P25" s="1">
        <v>0.46754209631197002</v>
      </c>
      <c r="Q25" s="1">
        <v>0.29897503750067</v>
      </c>
      <c r="R25" s="1">
        <v>0.30414426946630002</v>
      </c>
      <c r="S25" s="1">
        <v>0.81240308029777997</v>
      </c>
      <c r="T25" s="1">
        <v>0.93699645787057995</v>
      </c>
      <c r="U25" s="1">
        <v>0.93386961851484995</v>
      </c>
      <c r="V25" s="1">
        <v>0.32229257921179</v>
      </c>
      <c r="W25" s="1">
        <v>0.26478619733621001</v>
      </c>
      <c r="X25" s="7"/>
      <c r="Y25" s="1">
        <v>0.61691152589123999</v>
      </c>
      <c r="Z25" s="1">
        <v>0.58404078266942006</v>
      </c>
      <c r="AA25" s="1">
        <v>0.13415599906201001</v>
      </c>
      <c r="AB25" s="1">
        <v>0.29421443988082002</v>
      </c>
      <c r="AC25" s="1">
        <v>0.13560136640463</v>
      </c>
      <c r="AD25" s="1">
        <v>0.3566373704911</v>
      </c>
      <c r="AE25" s="1">
        <v>0.10341023140289</v>
      </c>
    </row>
    <row r="26" spans="1:31" x14ac:dyDescent="0.25">
      <c r="A26" s="3" t="s">
        <v>25</v>
      </c>
      <c r="B26" s="1">
        <v>0.18041837962424001</v>
      </c>
      <c r="C26" s="1">
        <v>0.16246425612575</v>
      </c>
      <c r="D26" s="1">
        <v>0.55965180291366001</v>
      </c>
      <c r="E26" s="1">
        <v>0.32787064334394</v>
      </c>
      <c r="F26" s="1">
        <v>0.16861798518731999</v>
      </c>
      <c r="G26" s="1">
        <v>0.2031213479042</v>
      </c>
      <c r="H26" s="1">
        <v>4.0670758261430101E-2</v>
      </c>
      <c r="I26" s="1">
        <v>0.23592033304794999</v>
      </c>
      <c r="J26" s="1">
        <v>0.34995090102692999</v>
      </c>
      <c r="K26" s="1">
        <v>0.13876032528318</v>
      </c>
      <c r="L26" s="1">
        <v>2.04825893987199E-2</v>
      </c>
      <c r="M26" s="1">
        <v>4.7815375929060003E-2</v>
      </c>
      <c r="N26" s="1">
        <v>0.19649122967384</v>
      </c>
      <c r="O26" s="1">
        <v>0.50381138696530003</v>
      </c>
      <c r="P26" s="1">
        <v>0.14936942957926999</v>
      </c>
      <c r="Q26" s="1">
        <v>0.31793648839056998</v>
      </c>
      <c r="R26" s="1">
        <v>0.31276725642494002</v>
      </c>
      <c r="S26" s="1">
        <v>0.19549155440654001</v>
      </c>
      <c r="T26" s="1">
        <v>0.32008493197934001</v>
      </c>
      <c r="U26" s="1">
        <v>0.31695809262361002</v>
      </c>
      <c r="V26" s="1">
        <v>0.29461894667944999</v>
      </c>
      <c r="W26" s="1">
        <v>0.35212532855502998</v>
      </c>
      <c r="X26" s="1">
        <v>0.61691152589123999</v>
      </c>
      <c r="Y26" s="7"/>
      <c r="Z26" s="1">
        <v>3.2870743221820001E-2</v>
      </c>
      <c r="AA26" s="1">
        <v>0.48275552682923001</v>
      </c>
      <c r="AB26" s="1">
        <v>0.32269708601042002</v>
      </c>
      <c r="AC26" s="1">
        <v>0.48131015948660999</v>
      </c>
      <c r="AD26" s="1">
        <v>0.26027415540013998</v>
      </c>
      <c r="AE26" s="1">
        <v>0.51350129448835002</v>
      </c>
    </row>
    <row r="27" spans="1:31" x14ac:dyDescent="0.25">
      <c r="A27" s="3" t="s">
        <v>26</v>
      </c>
      <c r="B27" s="1">
        <v>0.21328912284606</v>
      </c>
      <c r="C27" s="1">
        <v>0.12959351290393001</v>
      </c>
      <c r="D27" s="1">
        <v>0.52678105969183997</v>
      </c>
      <c r="E27" s="1">
        <v>0.29499990012212002</v>
      </c>
      <c r="F27" s="1">
        <v>0.1357472419655</v>
      </c>
      <c r="G27" s="1">
        <v>0.23599209112601999</v>
      </c>
      <c r="H27" s="1">
        <v>7.8000150396100301E-3</v>
      </c>
      <c r="I27" s="1">
        <v>0.26879107626977</v>
      </c>
      <c r="J27" s="1">
        <v>0.31708015780511001</v>
      </c>
      <c r="K27" s="1">
        <v>0.17163106850500001</v>
      </c>
      <c r="L27" s="1">
        <v>5.3353332620539998E-2</v>
      </c>
      <c r="M27" s="1">
        <v>1.494463270724E-2</v>
      </c>
      <c r="N27" s="1">
        <v>0.16362048645201999</v>
      </c>
      <c r="O27" s="1">
        <v>0.47094064374347999</v>
      </c>
      <c r="P27" s="1">
        <v>0.11649868635745</v>
      </c>
      <c r="Q27" s="1">
        <v>0.28506574516875</v>
      </c>
      <c r="R27" s="1">
        <v>0.27989651320311998</v>
      </c>
      <c r="S27" s="1">
        <v>0.22836229762835999</v>
      </c>
      <c r="T27" s="1">
        <v>0.35295567520116</v>
      </c>
      <c r="U27" s="1">
        <v>0.34982883584543001</v>
      </c>
      <c r="V27" s="1">
        <v>0.26174820345763</v>
      </c>
      <c r="W27" s="1">
        <v>0.31925458533320999</v>
      </c>
      <c r="X27" s="1">
        <v>0.58404078266942006</v>
      </c>
      <c r="Y27" s="1">
        <v>3.2870743221820001E-2</v>
      </c>
      <c r="Z27" s="7"/>
      <c r="AA27" s="1">
        <v>0.44988478360741002</v>
      </c>
      <c r="AB27" s="1">
        <v>0.28982634278859998</v>
      </c>
      <c r="AC27" s="1">
        <v>0.44843941626479</v>
      </c>
      <c r="AD27" s="1">
        <v>0.22740341217832</v>
      </c>
      <c r="AE27" s="1">
        <v>0.48063055126652998</v>
      </c>
    </row>
    <row r="28" spans="1:31" x14ac:dyDescent="0.25">
      <c r="A28" s="3" t="s">
        <v>27</v>
      </c>
      <c r="B28" s="1">
        <v>0.66317390645346996</v>
      </c>
      <c r="C28" s="1">
        <v>0.32029127070348001</v>
      </c>
      <c r="D28" s="1">
        <v>7.6896276084429602E-2</v>
      </c>
      <c r="E28" s="1">
        <v>0.15488488348529</v>
      </c>
      <c r="F28" s="1">
        <v>0.31413754164190999</v>
      </c>
      <c r="G28" s="1">
        <v>0.68587687473342995</v>
      </c>
      <c r="H28" s="1">
        <v>0.44208476856779999</v>
      </c>
      <c r="I28" s="1">
        <v>0.71867585987717997</v>
      </c>
      <c r="J28" s="1">
        <v>0.13280462580230001</v>
      </c>
      <c r="K28" s="1">
        <v>0.62151585211241001</v>
      </c>
      <c r="L28" s="1">
        <v>0.50323811622795001</v>
      </c>
      <c r="M28" s="1">
        <v>0.43494015090017002</v>
      </c>
      <c r="N28" s="1">
        <v>0.28626429715538998</v>
      </c>
      <c r="O28" s="1">
        <v>2.1055860136070002E-2</v>
      </c>
      <c r="P28" s="1">
        <v>0.33338609724995999</v>
      </c>
      <c r="Q28" s="1">
        <v>0.16481903843866</v>
      </c>
      <c r="R28" s="1">
        <v>0.16998827040428999</v>
      </c>
      <c r="S28" s="1">
        <v>0.67824708123577004</v>
      </c>
      <c r="T28" s="1">
        <v>0.80284045880857002</v>
      </c>
      <c r="U28" s="1">
        <v>0.79971361945284003</v>
      </c>
      <c r="V28" s="1">
        <v>0.18813658014977999</v>
      </c>
      <c r="W28" s="1">
        <v>0.1306301982742</v>
      </c>
      <c r="X28" s="1">
        <v>0.13415599906201001</v>
      </c>
      <c r="Y28" s="1">
        <v>0.48275552682923001</v>
      </c>
      <c r="Z28" s="1">
        <v>0.44988478360741002</v>
      </c>
      <c r="AA28" s="7"/>
      <c r="AB28" s="1">
        <v>0.16005844081880999</v>
      </c>
      <c r="AC28" s="1">
        <v>1.44536734262024E-3</v>
      </c>
      <c r="AD28" s="1">
        <v>0.22248137142909</v>
      </c>
      <c r="AE28" s="1">
        <v>3.0745767659119801E-2</v>
      </c>
    </row>
    <row r="29" spans="1:31" x14ac:dyDescent="0.25">
      <c r="A29" s="3" t="s">
        <v>28</v>
      </c>
      <c r="B29" s="1">
        <v>0.50311546563466003</v>
      </c>
      <c r="C29" s="1">
        <v>0.16023282988467</v>
      </c>
      <c r="D29" s="1">
        <v>0.23695471690323999</v>
      </c>
      <c r="E29" s="1">
        <v>5.1735573335198702E-3</v>
      </c>
      <c r="F29" s="1">
        <v>0.1540791008231</v>
      </c>
      <c r="G29" s="1">
        <v>0.52581843391462002</v>
      </c>
      <c r="H29" s="1">
        <v>0.28202632774899</v>
      </c>
      <c r="I29" s="1">
        <v>0.55861741905837003</v>
      </c>
      <c r="J29" s="1">
        <v>2.7253815016509801E-2</v>
      </c>
      <c r="K29" s="1">
        <v>0.46145741129360002</v>
      </c>
      <c r="L29" s="1">
        <v>0.34317967540914002</v>
      </c>
      <c r="M29" s="1">
        <v>0.27488171008135998</v>
      </c>
      <c r="N29" s="1">
        <v>0.12620585633657999</v>
      </c>
      <c r="O29" s="1">
        <v>0.18111430095487999</v>
      </c>
      <c r="P29" s="1">
        <v>0.17332765643115</v>
      </c>
      <c r="Q29" s="1">
        <v>4.7605976198501496E-3</v>
      </c>
      <c r="R29" s="1">
        <v>9.92982958547994E-3</v>
      </c>
      <c r="S29" s="1">
        <v>0.51818864041696</v>
      </c>
      <c r="T29" s="1">
        <v>0.64278201798975998</v>
      </c>
      <c r="U29" s="1">
        <v>0.63965517863402999</v>
      </c>
      <c r="V29" s="1">
        <v>2.8078139330970101E-2</v>
      </c>
      <c r="W29" s="1">
        <v>2.942824254461E-2</v>
      </c>
      <c r="X29" s="1">
        <v>0.29421443988082002</v>
      </c>
      <c r="Y29" s="1">
        <v>0.32269708601042002</v>
      </c>
      <c r="Z29" s="1">
        <v>0.28982634278859998</v>
      </c>
      <c r="AA29" s="1">
        <v>0.16005844081880999</v>
      </c>
      <c r="AB29" s="7"/>
      <c r="AC29" s="1">
        <v>0.15861307347619</v>
      </c>
      <c r="AD29" s="1">
        <v>6.2422930610280099E-2</v>
      </c>
      <c r="AE29" s="1">
        <v>0.19080420847793</v>
      </c>
    </row>
    <row r="30" spans="1:31" x14ac:dyDescent="0.25">
      <c r="A30" s="3" t="s">
        <v>29</v>
      </c>
      <c r="B30" s="1">
        <v>0.66172853911084994</v>
      </c>
      <c r="C30" s="1">
        <v>0.31884590336085999</v>
      </c>
      <c r="D30" s="1">
        <v>7.8341643427049898E-2</v>
      </c>
      <c r="E30" s="1">
        <v>0.15343951614267001</v>
      </c>
      <c r="F30" s="1">
        <v>0.31269217429929003</v>
      </c>
      <c r="G30" s="1">
        <v>0.68443150739081005</v>
      </c>
      <c r="H30" s="1">
        <v>0.44063940122518003</v>
      </c>
      <c r="I30" s="1">
        <v>0.71723049253455995</v>
      </c>
      <c r="J30" s="1">
        <v>0.13135925845968</v>
      </c>
      <c r="K30" s="1">
        <v>0.62007048476978999</v>
      </c>
      <c r="L30" s="1">
        <v>0.50179274888532999</v>
      </c>
      <c r="M30" s="1">
        <v>0.43349478355755</v>
      </c>
      <c r="N30" s="1">
        <v>0.28481892981277002</v>
      </c>
      <c r="O30" s="1">
        <v>2.2501227478690201E-2</v>
      </c>
      <c r="P30" s="1">
        <v>0.33194072990734003</v>
      </c>
      <c r="Q30" s="1">
        <v>0.16337367109604001</v>
      </c>
      <c r="R30" s="1">
        <v>0.16854290306167</v>
      </c>
      <c r="S30" s="1">
        <v>0.67680171389315003</v>
      </c>
      <c r="T30" s="1">
        <v>0.80139509146595</v>
      </c>
      <c r="U30" s="1">
        <v>0.79826825211022001</v>
      </c>
      <c r="V30" s="1">
        <v>0.18669121280716</v>
      </c>
      <c r="W30" s="1">
        <v>0.12918483093158001</v>
      </c>
      <c r="X30" s="1">
        <v>0.13560136640463</v>
      </c>
      <c r="Y30" s="1">
        <v>0.48131015948660999</v>
      </c>
      <c r="Z30" s="1">
        <v>0.44843941626479</v>
      </c>
      <c r="AA30" s="1">
        <v>1.44536734262024E-3</v>
      </c>
      <c r="AB30" s="1">
        <v>0.15861307347619</v>
      </c>
      <c r="AC30" s="7"/>
      <c r="AD30" s="1">
        <v>0.22103600408647001</v>
      </c>
      <c r="AE30" s="1">
        <v>3.2191135001740097E-2</v>
      </c>
    </row>
    <row r="31" spans="1:31" x14ac:dyDescent="0.25">
      <c r="A31" s="3" t="s">
        <v>30</v>
      </c>
      <c r="B31" s="1">
        <v>0.44069253502437999</v>
      </c>
      <c r="C31" s="1">
        <v>9.7809899274389905E-2</v>
      </c>
      <c r="D31" s="1">
        <v>0.29937764751351997</v>
      </c>
      <c r="E31" s="1">
        <v>6.7596487943799993E-2</v>
      </c>
      <c r="F31" s="1">
        <v>9.1656170212819799E-2</v>
      </c>
      <c r="G31" s="1">
        <v>0.46339550330433998</v>
      </c>
      <c r="H31" s="1">
        <v>0.21960339713870999</v>
      </c>
      <c r="I31" s="1">
        <v>0.49619448844809</v>
      </c>
      <c r="J31" s="1">
        <v>8.9676745626789997E-2</v>
      </c>
      <c r="K31" s="1">
        <v>0.39903448068331998</v>
      </c>
      <c r="L31" s="1">
        <v>0.28075674479885998</v>
      </c>
      <c r="M31" s="1">
        <v>0.21245877947107999</v>
      </c>
      <c r="N31" s="1">
        <v>6.3782925726299802E-2</v>
      </c>
      <c r="O31" s="1">
        <v>0.24353723156516</v>
      </c>
      <c r="P31" s="1">
        <v>0.11090472582087001</v>
      </c>
      <c r="Q31" s="1">
        <v>5.7662332990429999E-2</v>
      </c>
      <c r="R31" s="1">
        <v>5.2493101024800197E-2</v>
      </c>
      <c r="S31" s="1">
        <v>0.45576570980668002</v>
      </c>
      <c r="T31" s="1">
        <v>0.58035908737948005</v>
      </c>
      <c r="U31" s="1">
        <v>0.57723224802374995</v>
      </c>
      <c r="V31" s="1">
        <v>3.4344791279309998E-2</v>
      </c>
      <c r="W31" s="1">
        <v>9.1851173154890095E-2</v>
      </c>
      <c r="X31" s="1">
        <v>0.3566373704911</v>
      </c>
      <c r="Y31" s="1">
        <v>0.26027415540013998</v>
      </c>
      <c r="Z31" s="1">
        <v>0.22740341217832</v>
      </c>
      <c r="AA31" s="1">
        <v>0.22248137142909</v>
      </c>
      <c r="AB31" s="1">
        <v>6.2422930610280099E-2</v>
      </c>
      <c r="AC31" s="1">
        <v>0.22103600408647001</v>
      </c>
      <c r="AD31" s="7"/>
      <c r="AE31" s="1">
        <v>0.25322713908820998</v>
      </c>
    </row>
    <row r="32" spans="1:31" x14ac:dyDescent="0.25">
      <c r="A32" s="3" t="s">
        <v>31</v>
      </c>
      <c r="B32" s="1">
        <v>0.69391967411259003</v>
      </c>
      <c r="C32" s="1">
        <v>0.35103703836259997</v>
      </c>
      <c r="D32" s="1">
        <v>4.6150508425309801E-2</v>
      </c>
      <c r="E32" s="1">
        <v>0.18563065114440999</v>
      </c>
      <c r="F32" s="1">
        <v>0.34488330930103001</v>
      </c>
      <c r="G32" s="1">
        <v>0.71662264239255002</v>
      </c>
      <c r="H32" s="1">
        <v>0.47283053622692001</v>
      </c>
      <c r="I32" s="1">
        <v>0.74942162753630004</v>
      </c>
      <c r="J32" s="1">
        <v>0.16355039346142</v>
      </c>
      <c r="K32" s="1">
        <v>0.65226161977152997</v>
      </c>
      <c r="L32" s="1">
        <v>0.53398388388706997</v>
      </c>
      <c r="M32" s="1">
        <v>0.46568591855928998</v>
      </c>
      <c r="N32" s="1">
        <v>0.31701006481451</v>
      </c>
      <c r="O32" s="1">
        <v>9.6899075230498805E-3</v>
      </c>
      <c r="P32" s="1">
        <v>0.36413186490908001</v>
      </c>
      <c r="Q32" s="1">
        <v>0.19556480609777999</v>
      </c>
      <c r="R32" s="1">
        <v>0.20073403806341</v>
      </c>
      <c r="S32" s="1">
        <v>0.70899284889489</v>
      </c>
      <c r="T32" s="1">
        <v>0.83358622646768998</v>
      </c>
      <c r="U32" s="1">
        <v>0.83045938711195999</v>
      </c>
      <c r="V32" s="1">
        <v>0.21888234780890001</v>
      </c>
      <c r="W32" s="1">
        <v>0.16137596593331999</v>
      </c>
      <c r="X32" s="1">
        <v>0.10341023140289</v>
      </c>
      <c r="Y32" s="1">
        <v>0.51350129448835002</v>
      </c>
      <c r="Z32" s="1">
        <v>0.48063055126652998</v>
      </c>
      <c r="AA32" s="1">
        <v>3.0745767659119801E-2</v>
      </c>
      <c r="AB32" s="1">
        <v>0.19080420847793</v>
      </c>
      <c r="AC32" s="1">
        <v>3.2191135001740097E-2</v>
      </c>
      <c r="AD32" s="1">
        <v>0.25322713908820998</v>
      </c>
      <c r="AE32" s="7"/>
    </row>
    <row r="35" spans="1:31" x14ac:dyDescent="0.25">
      <c r="B35" s="1" t="s">
        <v>34</v>
      </c>
      <c r="C35" s="1">
        <f>SUM(B3:AE32)/870</f>
        <v>0.32046427785158799</v>
      </c>
    </row>
    <row r="36" spans="1:31" x14ac:dyDescent="0.25"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  <c r="U36" s="3" t="s">
        <v>21</v>
      </c>
      <c r="V36" s="3" t="s">
        <v>22</v>
      </c>
      <c r="W36" s="3" t="s">
        <v>23</v>
      </c>
      <c r="X36" s="3" t="s">
        <v>24</v>
      </c>
      <c r="Y36" s="3" t="s">
        <v>25</v>
      </c>
      <c r="Z36" s="3" t="s">
        <v>26</v>
      </c>
      <c r="AA36" s="3" t="s">
        <v>27</v>
      </c>
      <c r="AB36" s="3" t="s">
        <v>28</v>
      </c>
      <c r="AC36" s="3" t="s">
        <v>29</v>
      </c>
      <c r="AD36" s="3" t="s">
        <v>30</v>
      </c>
      <c r="AE36" s="3" t="s">
        <v>31</v>
      </c>
    </row>
    <row r="37" spans="1:31" x14ac:dyDescent="0.25">
      <c r="A37" s="3" t="s">
        <v>2</v>
      </c>
      <c r="B37" s="1">
        <f>IF(B3&gt;$C$35,1,0)</f>
        <v>0</v>
      </c>
      <c r="C37" s="1">
        <f t="shared" ref="C37:AE37" si="0">IF(C3&gt;$C$35,1,0)</f>
        <v>1</v>
      </c>
      <c r="D37" s="1">
        <f t="shared" si="0"/>
        <v>1</v>
      </c>
      <c r="E37" s="1">
        <f t="shared" si="0"/>
        <v>1</v>
      </c>
      <c r="F37" s="1">
        <f t="shared" si="0"/>
        <v>1</v>
      </c>
      <c r="G37" s="1">
        <f t="shared" si="0"/>
        <v>0</v>
      </c>
      <c r="H37" s="1">
        <f t="shared" si="0"/>
        <v>0</v>
      </c>
      <c r="I37" s="1">
        <f t="shared" si="0"/>
        <v>0</v>
      </c>
      <c r="J37" s="1">
        <f t="shared" si="0"/>
        <v>1</v>
      </c>
      <c r="K37" s="1">
        <f t="shared" si="0"/>
        <v>0</v>
      </c>
      <c r="L37" s="1">
        <f t="shared" si="0"/>
        <v>0</v>
      </c>
      <c r="M37" s="1">
        <f t="shared" si="0"/>
        <v>0</v>
      </c>
      <c r="N37" s="1">
        <f t="shared" si="0"/>
        <v>1</v>
      </c>
      <c r="O37" s="1">
        <f t="shared" si="0"/>
        <v>1</v>
      </c>
      <c r="P37" s="1">
        <f t="shared" si="0"/>
        <v>1</v>
      </c>
      <c r="Q37" s="1">
        <f t="shared" si="0"/>
        <v>1</v>
      </c>
      <c r="R37" s="1">
        <f t="shared" si="0"/>
        <v>1</v>
      </c>
      <c r="S37" s="1">
        <f t="shared" si="0"/>
        <v>0</v>
      </c>
      <c r="T37" s="1">
        <f t="shared" si="0"/>
        <v>0</v>
      </c>
      <c r="U37" s="1">
        <f t="shared" si="0"/>
        <v>0</v>
      </c>
      <c r="V37" s="1">
        <f t="shared" si="0"/>
        <v>1</v>
      </c>
      <c r="W37" s="1">
        <f t="shared" si="0"/>
        <v>1</v>
      </c>
      <c r="X37" s="1">
        <f t="shared" si="0"/>
        <v>1</v>
      </c>
      <c r="Y37" s="1">
        <f t="shared" si="0"/>
        <v>0</v>
      </c>
      <c r="Z37" s="1">
        <f t="shared" si="0"/>
        <v>0</v>
      </c>
      <c r="AA37" s="1">
        <f t="shared" si="0"/>
        <v>1</v>
      </c>
      <c r="AB37" s="1">
        <f t="shared" si="0"/>
        <v>1</v>
      </c>
      <c r="AC37" s="1">
        <f t="shared" si="0"/>
        <v>1</v>
      </c>
      <c r="AD37" s="1">
        <f t="shared" si="0"/>
        <v>1</v>
      </c>
      <c r="AE37" s="1">
        <f t="shared" si="0"/>
        <v>1</v>
      </c>
    </row>
    <row r="38" spans="1:31" x14ac:dyDescent="0.25">
      <c r="A38" s="3" t="s">
        <v>3</v>
      </c>
      <c r="B38" s="1">
        <f t="shared" ref="B38:B66" si="1">IF(B4&gt;$C$35,1,0)</f>
        <v>1</v>
      </c>
      <c r="C38" s="1">
        <f t="shared" ref="C38:AE38" si="2">IF(C4&gt;$C$35,1,0)</f>
        <v>0</v>
      </c>
      <c r="D38" s="1">
        <f t="shared" si="2"/>
        <v>1</v>
      </c>
      <c r="E38" s="1">
        <f t="shared" si="2"/>
        <v>0</v>
      </c>
      <c r="F38" s="1">
        <f t="shared" si="2"/>
        <v>0</v>
      </c>
      <c r="G38" s="1">
        <f t="shared" si="2"/>
        <v>1</v>
      </c>
      <c r="H38" s="1">
        <f t="shared" si="2"/>
        <v>0</v>
      </c>
      <c r="I38" s="1">
        <f t="shared" si="2"/>
        <v>1</v>
      </c>
      <c r="J38" s="1">
        <f t="shared" si="2"/>
        <v>0</v>
      </c>
      <c r="K38" s="1">
        <f t="shared" si="2"/>
        <v>0</v>
      </c>
      <c r="L38" s="1">
        <f t="shared" si="2"/>
        <v>0</v>
      </c>
      <c r="M38" s="1">
        <f t="shared" si="2"/>
        <v>0</v>
      </c>
      <c r="N38" s="1">
        <f t="shared" si="2"/>
        <v>0</v>
      </c>
      <c r="O38" s="1">
        <f t="shared" si="2"/>
        <v>1</v>
      </c>
      <c r="P38" s="1">
        <f t="shared" si="2"/>
        <v>0</v>
      </c>
      <c r="Q38" s="1">
        <f t="shared" si="2"/>
        <v>0</v>
      </c>
      <c r="R38" s="1">
        <f t="shared" si="2"/>
        <v>0</v>
      </c>
      <c r="S38" s="1">
        <f t="shared" si="2"/>
        <v>1</v>
      </c>
      <c r="T38" s="1">
        <f t="shared" si="2"/>
        <v>1</v>
      </c>
      <c r="U38" s="1">
        <f t="shared" si="2"/>
        <v>1</v>
      </c>
      <c r="V38" s="1">
        <f t="shared" si="2"/>
        <v>0</v>
      </c>
      <c r="W38" s="1">
        <f t="shared" si="2"/>
        <v>0</v>
      </c>
      <c r="X38" s="1">
        <f t="shared" si="2"/>
        <v>1</v>
      </c>
      <c r="Y38" s="1">
        <f t="shared" si="2"/>
        <v>0</v>
      </c>
      <c r="Z38" s="1">
        <f t="shared" si="2"/>
        <v>0</v>
      </c>
      <c r="AA38" s="1">
        <f t="shared" si="2"/>
        <v>0</v>
      </c>
      <c r="AB38" s="1">
        <f t="shared" si="2"/>
        <v>0</v>
      </c>
      <c r="AC38" s="1">
        <f t="shared" si="2"/>
        <v>0</v>
      </c>
      <c r="AD38" s="1">
        <f t="shared" si="2"/>
        <v>0</v>
      </c>
      <c r="AE38" s="1">
        <f t="shared" si="2"/>
        <v>1</v>
      </c>
    </row>
    <row r="39" spans="1:31" x14ac:dyDescent="0.25">
      <c r="A39" s="3" t="s">
        <v>4</v>
      </c>
      <c r="B39" s="1">
        <f t="shared" si="1"/>
        <v>1</v>
      </c>
      <c r="C39" s="1">
        <f t="shared" ref="C39:AE39" si="3">IF(C5&gt;$C$35,1,0)</f>
        <v>1</v>
      </c>
      <c r="D39" s="1">
        <f t="shared" si="3"/>
        <v>0</v>
      </c>
      <c r="E39" s="1">
        <f t="shared" si="3"/>
        <v>0</v>
      </c>
      <c r="F39" s="1">
        <f t="shared" si="3"/>
        <v>1</v>
      </c>
      <c r="G39" s="1">
        <f t="shared" si="3"/>
        <v>1</v>
      </c>
      <c r="H39" s="1">
        <f t="shared" si="3"/>
        <v>1</v>
      </c>
      <c r="I39" s="1">
        <f t="shared" si="3"/>
        <v>1</v>
      </c>
      <c r="J39" s="1">
        <f t="shared" si="3"/>
        <v>0</v>
      </c>
      <c r="K39" s="1">
        <f t="shared" si="3"/>
        <v>1</v>
      </c>
      <c r="L39" s="1">
        <f t="shared" si="3"/>
        <v>1</v>
      </c>
      <c r="M39" s="1">
        <f t="shared" si="3"/>
        <v>1</v>
      </c>
      <c r="N39" s="1">
        <f t="shared" si="3"/>
        <v>1</v>
      </c>
      <c r="O39" s="1">
        <f t="shared" si="3"/>
        <v>0</v>
      </c>
      <c r="P39" s="1">
        <f t="shared" si="3"/>
        <v>1</v>
      </c>
      <c r="Q39" s="1">
        <f t="shared" si="3"/>
        <v>0</v>
      </c>
      <c r="R39" s="1">
        <f t="shared" si="3"/>
        <v>0</v>
      </c>
      <c r="S39" s="1">
        <f t="shared" si="3"/>
        <v>1</v>
      </c>
      <c r="T39" s="1">
        <f t="shared" si="3"/>
        <v>1</v>
      </c>
      <c r="U39" s="1">
        <f t="shared" si="3"/>
        <v>1</v>
      </c>
      <c r="V39" s="1">
        <f t="shared" si="3"/>
        <v>0</v>
      </c>
      <c r="W39" s="1">
        <f t="shared" si="3"/>
        <v>0</v>
      </c>
      <c r="X39" s="1">
        <f t="shared" si="3"/>
        <v>0</v>
      </c>
      <c r="Y39" s="1">
        <f t="shared" si="3"/>
        <v>1</v>
      </c>
      <c r="Z39" s="1">
        <f t="shared" si="3"/>
        <v>1</v>
      </c>
      <c r="AA39" s="1">
        <f t="shared" si="3"/>
        <v>0</v>
      </c>
      <c r="AB39" s="1">
        <f t="shared" si="3"/>
        <v>0</v>
      </c>
      <c r="AC39" s="1">
        <f t="shared" si="3"/>
        <v>0</v>
      </c>
      <c r="AD39" s="1">
        <f t="shared" si="3"/>
        <v>0</v>
      </c>
      <c r="AE39" s="1">
        <f t="shared" si="3"/>
        <v>0</v>
      </c>
    </row>
    <row r="40" spans="1:31" x14ac:dyDescent="0.25">
      <c r="A40" s="3" t="s">
        <v>5</v>
      </c>
      <c r="B40" s="1">
        <f t="shared" si="1"/>
        <v>1</v>
      </c>
      <c r="C40" s="1">
        <f t="shared" ref="C40:AE40" si="4">IF(C6&gt;$C$35,1,0)</f>
        <v>0</v>
      </c>
      <c r="D40" s="1">
        <f t="shared" si="4"/>
        <v>0</v>
      </c>
      <c r="E40" s="1">
        <f t="shared" si="4"/>
        <v>0</v>
      </c>
      <c r="F40" s="1">
        <f t="shared" si="4"/>
        <v>0</v>
      </c>
      <c r="G40" s="1">
        <f t="shared" si="4"/>
        <v>1</v>
      </c>
      <c r="H40" s="1">
        <f t="shared" si="4"/>
        <v>0</v>
      </c>
      <c r="I40" s="1">
        <f t="shared" si="4"/>
        <v>1</v>
      </c>
      <c r="J40" s="1">
        <f t="shared" si="4"/>
        <v>0</v>
      </c>
      <c r="K40" s="1">
        <f t="shared" si="4"/>
        <v>1</v>
      </c>
      <c r="L40" s="1">
        <f t="shared" si="4"/>
        <v>1</v>
      </c>
      <c r="M40" s="1">
        <f t="shared" si="4"/>
        <v>0</v>
      </c>
      <c r="N40" s="1">
        <f t="shared" si="4"/>
        <v>0</v>
      </c>
      <c r="O40" s="1">
        <f t="shared" si="4"/>
        <v>0</v>
      </c>
      <c r="P40" s="1">
        <f t="shared" si="4"/>
        <v>0</v>
      </c>
      <c r="Q40" s="1">
        <f t="shared" si="4"/>
        <v>0</v>
      </c>
      <c r="R40" s="1">
        <f t="shared" si="4"/>
        <v>0</v>
      </c>
      <c r="S40" s="1">
        <f t="shared" si="4"/>
        <v>1</v>
      </c>
      <c r="T40" s="1">
        <f t="shared" si="4"/>
        <v>1</v>
      </c>
      <c r="U40" s="1">
        <f t="shared" si="4"/>
        <v>1</v>
      </c>
      <c r="V40" s="1">
        <f t="shared" si="4"/>
        <v>0</v>
      </c>
      <c r="W40" s="1">
        <f t="shared" si="4"/>
        <v>0</v>
      </c>
      <c r="X40" s="1">
        <f t="shared" si="4"/>
        <v>0</v>
      </c>
      <c r="Y40" s="1">
        <f t="shared" si="4"/>
        <v>1</v>
      </c>
      <c r="Z40" s="1">
        <f t="shared" si="4"/>
        <v>0</v>
      </c>
      <c r="AA40" s="1">
        <f t="shared" si="4"/>
        <v>0</v>
      </c>
      <c r="AB40" s="1">
        <f t="shared" si="4"/>
        <v>0</v>
      </c>
      <c r="AC40" s="1">
        <f t="shared" si="4"/>
        <v>0</v>
      </c>
      <c r="AD40" s="1">
        <f t="shared" si="4"/>
        <v>0</v>
      </c>
      <c r="AE40" s="1">
        <f t="shared" si="4"/>
        <v>0</v>
      </c>
    </row>
    <row r="41" spans="1:31" x14ac:dyDescent="0.25">
      <c r="A41" s="3" t="s">
        <v>6</v>
      </c>
      <c r="B41" s="1">
        <f t="shared" si="1"/>
        <v>1</v>
      </c>
      <c r="C41" s="1">
        <f t="shared" ref="C41:AE41" si="5">IF(C7&gt;$C$35,1,0)</f>
        <v>0</v>
      </c>
      <c r="D41" s="1">
        <f t="shared" si="5"/>
        <v>1</v>
      </c>
      <c r="E41" s="1">
        <f t="shared" si="5"/>
        <v>0</v>
      </c>
      <c r="F41" s="1">
        <f t="shared" si="5"/>
        <v>0</v>
      </c>
      <c r="G41" s="1">
        <f t="shared" si="5"/>
        <v>1</v>
      </c>
      <c r="H41" s="1">
        <f t="shared" si="5"/>
        <v>0</v>
      </c>
      <c r="I41" s="1">
        <f t="shared" si="5"/>
        <v>1</v>
      </c>
      <c r="J41" s="1">
        <f t="shared" si="5"/>
        <v>0</v>
      </c>
      <c r="K41" s="1">
        <f t="shared" si="5"/>
        <v>0</v>
      </c>
      <c r="L41" s="1">
        <f t="shared" si="5"/>
        <v>0</v>
      </c>
      <c r="M41" s="1">
        <f t="shared" si="5"/>
        <v>0</v>
      </c>
      <c r="N41" s="1">
        <f t="shared" si="5"/>
        <v>0</v>
      </c>
      <c r="O41" s="1">
        <f t="shared" si="5"/>
        <v>1</v>
      </c>
      <c r="P41" s="1">
        <f t="shared" si="5"/>
        <v>0</v>
      </c>
      <c r="Q41" s="1">
        <f t="shared" si="5"/>
        <v>0</v>
      </c>
      <c r="R41" s="1">
        <f t="shared" si="5"/>
        <v>0</v>
      </c>
      <c r="S41" s="1">
        <f t="shared" si="5"/>
        <v>1</v>
      </c>
      <c r="T41" s="1">
        <f t="shared" si="5"/>
        <v>1</v>
      </c>
      <c r="U41" s="1">
        <f t="shared" si="5"/>
        <v>1</v>
      </c>
      <c r="V41" s="1">
        <f t="shared" si="5"/>
        <v>0</v>
      </c>
      <c r="W41" s="1">
        <f t="shared" si="5"/>
        <v>0</v>
      </c>
      <c r="X41" s="1">
        <f t="shared" si="5"/>
        <v>1</v>
      </c>
      <c r="Y41" s="1">
        <f t="shared" si="5"/>
        <v>0</v>
      </c>
      <c r="Z41" s="1">
        <f t="shared" si="5"/>
        <v>0</v>
      </c>
      <c r="AA41" s="1">
        <f t="shared" si="5"/>
        <v>0</v>
      </c>
      <c r="AB41" s="1">
        <f t="shared" si="5"/>
        <v>0</v>
      </c>
      <c r="AC41" s="1">
        <f t="shared" si="5"/>
        <v>0</v>
      </c>
      <c r="AD41" s="1">
        <f t="shared" si="5"/>
        <v>0</v>
      </c>
      <c r="AE41" s="1">
        <f t="shared" si="5"/>
        <v>1</v>
      </c>
    </row>
    <row r="42" spans="1:31" x14ac:dyDescent="0.25">
      <c r="A42" s="3" t="s">
        <v>7</v>
      </c>
      <c r="B42" s="1">
        <f t="shared" si="1"/>
        <v>0</v>
      </c>
      <c r="C42" s="1">
        <f t="shared" ref="C42:AE42" si="6">IF(C8&gt;$C$35,1,0)</f>
        <v>1</v>
      </c>
      <c r="D42" s="1">
        <f t="shared" si="6"/>
        <v>1</v>
      </c>
      <c r="E42" s="1">
        <f t="shared" si="6"/>
        <v>1</v>
      </c>
      <c r="F42" s="1">
        <f t="shared" si="6"/>
        <v>1</v>
      </c>
      <c r="G42" s="1">
        <f t="shared" si="6"/>
        <v>0</v>
      </c>
      <c r="H42" s="1">
        <f t="shared" si="6"/>
        <v>0</v>
      </c>
      <c r="I42" s="1">
        <f t="shared" si="6"/>
        <v>0</v>
      </c>
      <c r="J42" s="1">
        <f t="shared" si="6"/>
        <v>1</v>
      </c>
      <c r="K42" s="1">
        <f t="shared" si="6"/>
        <v>0</v>
      </c>
      <c r="L42" s="1">
        <f t="shared" si="6"/>
        <v>0</v>
      </c>
      <c r="M42" s="1">
        <f t="shared" si="6"/>
        <v>0</v>
      </c>
      <c r="N42" s="1">
        <f t="shared" si="6"/>
        <v>1</v>
      </c>
      <c r="O42" s="1">
        <f t="shared" si="6"/>
        <v>1</v>
      </c>
      <c r="P42" s="1">
        <f t="shared" si="6"/>
        <v>1</v>
      </c>
      <c r="Q42" s="1">
        <f t="shared" si="6"/>
        <v>1</v>
      </c>
      <c r="R42" s="1">
        <f t="shared" si="6"/>
        <v>1</v>
      </c>
      <c r="S42" s="1">
        <f t="shared" si="6"/>
        <v>0</v>
      </c>
      <c r="T42" s="1">
        <f t="shared" si="6"/>
        <v>0</v>
      </c>
      <c r="U42" s="1">
        <f t="shared" si="6"/>
        <v>0</v>
      </c>
      <c r="V42" s="1">
        <f t="shared" si="6"/>
        <v>1</v>
      </c>
      <c r="W42" s="1">
        <f t="shared" si="6"/>
        <v>1</v>
      </c>
      <c r="X42" s="1">
        <f t="shared" si="6"/>
        <v>1</v>
      </c>
      <c r="Y42" s="1">
        <f t="shared" si="6"/>
        <v>0</v>
      </c>
      <c r="Z42" s="1">
        <f t="shared" si="6"/>
        <v>0</v>
      </c>
      <c r="AA42" s="1">
        <f t="shared" si="6"/>
        <v>1</v>
      </c>
      <c r="AB42" s="1">
        <f t="shared" si="6"/>
        <v>1</v>
      </c>
      <c r="AC42" s="1">
        <f t="shared" si="6"/>
        <v>1</v>
      </c>
      <c r="AD42" s="1">
        <f t="shared" si="6"/>
        <v>1</v>
      </c>
      <c r="AE42" s="1">
        <f t="shared" si="6"/>
        <v>1</v>
      </c>
    </row>
    <row r="43" spans="1:31" x14ac:dyDescent="0.25">
      <c r="A43" s="3" t="s">
        <v>8</v>
      </c>
      <c r="B43" s="1">
        <f t="shared" si="1"/>
        <v>0</v>
      </c>
      <c r="C43" s="1">
        <f t="shared" ref="C43:AE43" si="7">IF(C9&gt;$C$35,1,0)</f>
        <v>0</v>
      </c>
      <c r="D43" s="1">
        <f t="shared" si="7"/>
        <v>1</v>
      </c>
      <c r="E43" s="1">
        <f t="shared" si="7"/>
        <v>0</v>
      </c>
      <c r="F43" s="1">
        <f t="shared" si="7"/>
        <v>0</v>
      </c>
      <c r="G43" s="1">
        <f t="shared" si="7"/>
        <v>0</v>
      </c>
      <c r="H43" s="1">
        <f t="shared" si="7"/>
        <v>0</v>
      </c>
      <c r="I43" s="1">
        <f t="shared" si="7"/>
        <v>0</v>
      </c>
      <c r="J43" s="1">
        <f t="shared" si="7"/>
        <v>0</v>
      </c>
      <c r="K43" s="1">
        <f t="shared" si="7"/>
        <v>0</v>
      </c>
      <c r="L43" s="1">
        <f t="shared" si="7"/>
        <v>0</v>
      </c>
      <c r="M43" s="1">
        <f t="shared" si="7"/>
        <v>0</v>
      </c>
      <c r="N43" s="1">
        <f t="shared" si="7"/>
        <v>0</v>
      </c>
      <c r="O43" s="1">
        <f t="shared" si="7"/>
        <v>1</v>
      </c>
      <c r="P43" s="1">
        <f t="shared" si="7"/>
        <v>0</v>
      </c>
      <c r="Q43" s="1">
        <f t="shared" si="7"/>
        <v>0</v>
      </c>
      <c r="R43" s="1">
        <f t="shared" si="7"/>
        <v>0</v>
      </c>
      <c r="S43" s="1">
        <f t="shared" si="7"/>
        <v>0</v>
      </c>
      <c r="T43" s="1">
        <f t="shared" si="7"/>
        <v>1</v>
      </c>
      <c r="U43" s="1">
        <f t="shared" si="7"/>
        <v>1</v>
      </c>
      <c r="V43" s="1">
        <f t="shared" si="7"/>
        <v>0</v>
      </c>
      <c r="W43" s="1">
        <f t="shared" si="7"/>
        <v>0</v>
      </c>
      <c r="X43" s="1">
        <f t="shared" si="7"/>
        <v>1</v>
      </c>
      <c r="Y43" s="1">
        <f t="shared" si="7"/>
        <v>0</v>
      </c>
      <c r="Z43" s="1">
        <f t="shared" si="7"/>
        <v>0</v>
      </c>
      <c r="AA43" s="1">
        <f t="shared" si="7"/>
        <v>1</v>
      </c>
      <c r="AB43" s="1">
        <f t="shared" si="7"/>
        <v>0</v>
      </c>
      <c r="AC43" s="1">
        <f t="shared" si="7"/>
        <v>1</v>
      </c>
      <c r="AD43" s="1">
        <f t="shared" si="7"/>
        <v>0</v>
      </c>
      <c r="AE43" s="1">
        <f t="shared" si="7"/>
        <v>1</v>
      </c>
    </row>
    <row r="44" spans="1:31" x14ac:dyDescent="0.25">
      <c r="A44" s="3" t="s">
        <v>9</v>
      </c>
      <c r="B44" s="1">
        <f t="shared" si="1"/>
        <v>0</v>
      </c>
      <c r="C44" s="1">
        <f t="shared" ref="C44:AE44" si="8">IF(C10&gt;$C$35,1,0)</f>
        <v>1</v>
      </c>
      <c r="D44" s="1">
        <f t="shared" si="8"/>
        <v>1</v>
      </c>
      <c r="E44" s="1">
        <f t="shared" si="8"/>
        <v>1</v>
      </c>
      <c r="F44" s="1">
        <f t="shared" si="8"/>
        <v>1</v>
      </c>
      <c r="G44" s="1">
        <f t="shared" si="8"/>
        <v>0</v>
      </c>
      <c r="H44" s="1">
        <f t="shared" si="8"/>
        <v>0</v>
      </c>
      <c r="I44" s="1">
        <f t="shared" si="8"/>
        <v>0</v>
      </c>
      <c r="J44" s="1">
        <f t="shared" si="8"/>
        <v>1</v>
      </c>
      <c r="K44" s="1">
        <f t="shared" si="8"/>
        <v>0</v>
      </c>
      <c r="L44" s="1">
        <f t="shared" si="8"/>
        <v>0</v>
      </c>
      <c r="M44" s="1">
        <f t="shared" si="8"/>
        <v>0</v>
      </c>
      <c r="N44" s="1">
        <f t="shared" si="8"/>
        <v>1</v>
      </c>
      <c r="O44" s="1">
        <f t="shared" si="8"/>
        <v>1</v>
      </c>
      <c r="P44" s="1">
        <f t="shared" si="8"/>
        <v>1</v>
      </c>
      <c r="Q44" s="1">
        <f t="shared" si="8"/>
        <v>1</v>
      </c>
      <c r="R44" s="1">
        <f t="shared" si="8"/>
        <v>1</v>
      </c>
      <c r="S44" s="1">
        <f t="shared" si="8"/>
        <v>0</v>
      </c>
      <c r="T44" s="1">
        <f t="shared" si="8"/>
        <v>0</v>
      </c>
      <c r="U44" s="1">
        <f t="shared" si="8"/>
        <v>0</v>
      </c>
      <c r="V44" s="1">
        <f t="shared" si="8"/>
        <v>1</v>
      </c>
      <c r="W44" s="1">
        <f t="shared" si="8"/>
        <v>1</v>
      </c>
      <c r="X44" s="1">
        <f t="shared" si="8"/>
        <v>1</v>
      </c>
      <c r="Y44" s="1">
        <f t="shared" si="8"/>
        <v>0</v>
      </c>
      <c r="Z44" s="1">
        <f t="shared" si="8"/>
        <v>0</v>
      </c>
      <c r="AA44" s="1">
        <f t="shared" si="8"/>
        <v>1</v>
      </c>
      <c r="AB44" s="1">
        <f t="shared" si="8"/>
        <v>1</v>
      </c>
      <c r="AC44" s="1">
        <f t="shared" si="8"/>
        <v>1</v>
      </c>
      <c r="AD44" s="1">
        <f t="shared" si="8"/>
        <v>1</v>
      </c>
      <c r="AE44" s="1">
        <f t="shared" si="8"/>
        <v>1</v>
      </c>
    </row>
    <row r="45" spans="1:31" x14ac:dyDescent="0.25">
      <c r="A45" s="3" t="s">
        <v>10</v>
      </c>
      <c r="B45" s="1">
        <f t="shared" si="1"/>
        <v>1</v>
      </c>
      <c r="C45" s="1">
        <f t="shared" ref="C45:AE45" si="9">IF(C11&gt;$C$35,1,0)</f>
        <v>0</v>
      </c>
      <c r="D45" s="1">
        <f t="shared" si="9"/>
        <v>0</v>
      </c>
      <c r="E45" s="1">
        <f t="shared" si="9"/>
        <v>0</v>
      </c>
      <c r="F45" s="1">
        <f t="shared" si="9"/>
        <v>0</v>
      </c>
      <c r="G45" s="1">
        <f t="shared" si="9"/>
        <v>1</v>
      </c>
      <c r="H45" s="1">
        <f t="shared" si="9"/>
        <v>0</v>
      </c>
      <c r="I45" s="1">
        <f t="shared" si="9"/>
        <v>1</v>
      </c>
      <c r="J45" s="1">
        <f t="shared" si="9"/>
        <v>0</v>
      </c>
      <c r="K45" s="1">
        <f t="shared" si="9"/>
        <v>1</v>
      </c>
      <c r="L45" s="1">
        <f t="shared" si="9"/>
        <v>1</v>
      </c>
      <c r="M45" s="1">
        <f t="shared" si="9"/>
        <v>0</v>
      </c>
      <c r="N45" s="1">
        <f t="shared" si="9"/>
        <v>0</v>
      </c>
      <c r="O45" s="1">
        <f t="shared" si="9"/>
        <v>0</v>
      </c>
      <c r="P45" s="1">
        <f t="shared" si="9"/>
        <v>0</v>
      </c>
      <c r="Q45" s="1">
        <f t="shared" si="9"/>
        <v>0</v>
      </c>
      <c r="R45" s="1">
        <f t="shared" si="9"/>
        <v>0</v>
      </c>
      <c r="S45" s="1">
        <f t="shared" si="9"/>
        <v>1</v>
      </c>
      <c r="T45" s="1">
        <f t="shared" si="9"/>
        <v>1</v>
      </c>
      <c r="U45" s="1">
        <f t="shared" si="9"/>
        <v>1</v>
      </c>
      <c r="V45" s="1">
        <f t="shared" si="9"/>
        <v>0</v>
      </c>
      <c r="W45" s="1">
        <f t="shared" si="9"/>
        <v>0</v>
      </c>
      <c r="X45" s="1">
        <f t="shared" si="9"/>
        <v>0</v>
      </c>
      <c r="Y45" s="1">
        <f t="shared" si="9"/>
        <v>1</v>
      </c>
      <c r="Z45" s="1">
        <f t="shared" si="9"/>
        <v>0</v>
      </c>
      <c r="AA45" s="1">
        <f t="shared" si="9"/>
        <v>0</v>
      </c>
      <c r="AB45" s="1">
        <f t="shared" si="9"/>
        <v>0</v>
      </c>
      <c r="AC45" s="1">
        <f t="shared" si="9"/>
        <v>0</v>
      </c>
      <c r="AD45" s="1">
        <f t="shared" si="9"/>
        <v>0</v>
      </c>
      <c r="AE45" s="1">
        <f t="shared" si="9"/>
        <v>0</v>
      </c>
    </row>
    <row r="46" spans="1:31" x14ac:dyDescent="0.25">
      <c r="A46" s="3" t="s">
        <v>11</v>
      </c>
      <c r="B46" s="1">
        <f t="shared" si="1"/>
        <v>0</v>
      </c>
      <c r="C46" s="1">
        <f t="shared" ref="C46:AE46" si="10">IF(C12&gt;$C$35,1,0)</f>
        <v>0</v>
      </c>
      <c r="D46" s="1">
        <f t="shared" si="10"/>
        <v>1</v>
      </c>
      <c r="E46" s="1">
        <f t="shared" si="10"/>
        <v>1</v>
      </c>
      <c r="F46" s="1">
        <f t="shared" si="10"/>
        <v>0</v>
      </c>
      <c r="G46" s="1">
        <f t="shared" si="10"/>
        <v>0</v>
      </c>
      <c r="H46" s="1">
        <f t="shared" si="10"/>
        <v>0</v>
      </c>
      <c r="I46" s="1">
        <f t="shared" si="10"/>
        <v>0</v>
      </c>
      <c r="J46" s="1">
        <f t="shared" si="10"/>
        <v>1</v>
      </c>
      <c r="K46" s="1">
        <f t="shared" si="10"/>
        <v>0</v>
      </c>
      <c r="L46" s="1">
        <f t="shared" si="10"/>
        <v>0</v>
      </c>
      <c r="M46" s="1">
        <f t="shared" si="10"/>
        <v>0</v>
      </c>
      <c r="N46" s="1">
        <f t="shared" si="10"/>
        <v>1</v>
      </c>
      <c r="O46" s="1">
        <f t="shared" si="10"/>
        <v>1</v>
      </c>
      <c r="P46" s="1">
        <f t="shared" si="10"/>
        <v>0</v>
      </c>
      <c r="Q46" s="1">
        <f t="shared" si="10"/>
        <v>1</v>
      </c>
      <c r="R46" s="1">
        <f t="shared" si="10"/>
        <v>1</v>
      </c>
      <c r="S46" s="1">
        <f t="shared" si="10"/>
        <v>0</v>
      </c>
      <c r="T46" s="1">
        <f t="shared" si="10"/>
        <v>0</v>
      </c>
      <c r="U46" s="1">
        <f t="shared" si="10"/>
        <v>0</v>
      </c>
      <c r="V46" s="1">
        <f t="shared" si="10"/>
        <v>1</v>
      </c>
      <c r="W46" s="1">
        <f t="shared" si="10"/>
        <v>1</v>
      </c>
      <c r="X46" s="1">
        <f t="shared" si="10"/>
        <v>1</v>
      </c>
      <c r="Y46" s="1">
        <f t="shared" si="10"/>
        <v>0</v>
      </c>
      <c r="Z46" s="1">
        <f t="shared" si="10"/>
        <v>0</v>
      </c>
      <c r="AA46" s="1">
        <f t="shared" si="10"/>
        <v>1</v>
      </c>
      <c r="AB46" s="1">
        <f t="shared" si="10"/>
        <v>1</v>
      </c>
      <c r="AC46" s="1">
        <f t="shared" si="10"/>
        <v>1</v>
      </c>
      <c r="AD46" s="1">
        <f t="shared" si="10"/>
        <v>1</v>
      </c>
      <c r="AE46" s="1">
        <f t="shared" si="10"/>
        <v>1</v>
      </c>
    </row>
    <row r="47" spans="1:31" x14ac:dyDescent="0.25">
      <c r="A47" s="3" t="s">
        <v>12</v>
      </c>
      <c r="B47" s="1">
        <f t="shared" si="1"/>
        <v>0</v>
      </c>
      <c r="C47" s="1">
        <f t="shared" ref="C47:AE47" si="11">IF(C13&gt;$C$35,1,0)</f>
        <v>0</v>
      </c>
      <c r="D47" s="1">
        <f t="shared" si="11"/>
        <v>1</v>
      </c>
      <c r="E47" s="1">
        <f t="shared" si="11"/>
        <v>1</v>
      </c>
      <c r="F47" s="1">
        <f t="shared" si="11"/>
        <v>0</v>
      </c>
      <c r="G47" s="1">
        <f t="shared" si="11"/>
        <v>0</v>
      </c>
      <c r="H47" s="1">
        <f t="shared" si="11"/>
        <v>0</v>
      </c>
      <c r="I47" s="1">
        <f t="shared" si="11"/>
        <v>0</v>
      </c>
      <c r="J47" s="1">
        <f t="shared" si="11"/>
        <v>1</v>
      </c>
      <c r="K47" s="1">
        <f t="shared" si="11"/>
        <v>0</v>
      </c>
      <c r="L47" s="1">
        <f t="shared" si="11"/>
        <v>0</v>
      </c>
      <c r="M47" s="1">
        <f t="shared" si="11"/>
        <v>0</v>
      </c>
      <c r="N47" s="1">
        <f t="shared" si="11"/>
        <v>0</v>
      </c>
      <c r="O47" s="1">
        <f t="shared" si="11"/>
        <v>1</v>
      </c>
      <c r="P47" s="1">
        <f t="shared" si="11"/>
        <v>0</v>
      </c>
      <c r="Q47" s="1">
        <f t="shared" si="11"/>
        <v>1</v>
      </c>
      <c r="R47" s="1">
        <f t="shared" si="11"/>
        <v>1</v>
      </c>
      <c r="S47" s="1">
        <f t="shared" si="11"/>
        <v>0</v>
      </c>
      <c r="T47" s="1">
        <f t="shared" si="11"/>
        <v>0</v>
      </c>
      <c r="U47" s="1">
        <f t="shared" si="11"/>
        <v>0</v>
      </c>
      <c r="V47" s="1">
        <f t="shared" si="11"/>
        <v>0</v>
      </c>
      <c r="W47" s="1">
        <f t="shared" si="11"/>
        <v>1</v>
      </c>
      <c r="X47" s="1">
        <f t="shared" si="11"/>
        <v>1</v>
      </c>
      <c r="Y47" s="1">
        <f t="shared" si="11"/>
        <v>0</v>
      </c>
      <c r="Z47" s="1">
        <f t="shared" si="11"/>
        <v>0</v>
      </c>
      <c r="AA47" s="1">
        <f t="shared" si="11"/>
        <v>1</v>
      </c>
      <c r="AB47" s="1">
        <f t="shared" si="11"/>
        <v>1</v>
      </c>
      <c r="AC47" s="1">
        <f t="shared" si="11"/>
        <v>1</v>
      </c>
      <c r="AD47" s="1">
        <f t="shared" si="11"/>
        <v>0</v>
      </c>
      <c r="AE47" s="1">
        <f t="shared" si="11"/>
        <v>1</v>
      </c>
    </row>
    <row r="48" spans="1:31" x14ac:dyDescent="0.25">
      <c r="A48" s="3" t="s">
        <v>13</v>
      </c>
      <c r="B48" s="1">
        <f t="shared" si="1"/>
        <v>0</v>
      </c>
      <c r="C48" s="1">
        <f t="shared" ref="C48:AE48" si="12">IF(C14&gt;$C$35,1,0)</f>
        <v>0</v>
      </c>
      <c r="D48" s="1">
        <f t="shared" si="12"/>
        <v>1</v>
      </c>
      <c r="E48" s="1">
        <f t="shared" si="12"/>
        <v>0</v>
      </c>
      <c r="F48" s="1">
        <f t="shared" si="12"/>
        <v>0</v>
      </c>
      <c r="G48" s="1">
        <f t="shared" si="12"/>
        <v>0</v>
      </c>
      <c r="H48" s="1">
        <f t="shared" si="12"/>
        <v>0</v>
      </c>
      <c r="I48" s="1">
        <f t="shared" si="12"/>
        <v>0</v>
      </c>
      <c r="J48" s="1">
        <f t="shared" si="12"/>
        <v>0</v>
      </c>
      <c r="K48" s="1">
        <f t="shared" si="12"/>
        <v>0</v>
      </c>
      <c r="L48" s="1">
        <f t="shared" si="12"/>
        <v>0</v>
      </c>
      <c r="M48" s="1">
        <f t="shared" si="12"/>
        <v>0</v>
      </c>
      <c r="N48" s="1">
        <f t="shared" si="12"/>
        <v>0</v>
      </c>
      <c r="O48" s="1">
        <f t="shared" si="12"/>
        <v>1</v>
      </c>
      <c r="P48" s="1">
        <f t="shared" si="12"/>
        <v>0</v>
      </c>
      <c r="Q48" s="1">
        <f t="shared" si="12"/>
        <v>0</v>
      </c>
      <c r="R48" s="1">
        <f t="shared" si="12"/>
        <v>0</v>
      </c>
      <c r="S48" s="1">
        <f t="shared" si="12"/>
        <v>0</v>
      </c>
      <c r="T48" s="1">
        <f t="shared" si="12"/>
        <v>1</v>
      </c>
      <c r="U48" s="1">
        <f t="shared" si="12"/>
        <v>1</v>
      </c>
      <c r="V48" s="1">
        <f t="shared" si="12"/>
        <v>0</v>
      </c>
      <c r="W48" s="1">
        <f t="shared" si="12"/>
        <v>0</v>
      </c>
      <c r="X48" s="1">
        <f t="shared" si="12"/>
        <v>1</v>
      </c>
      <c r="Y48" s="1">
        <f t="shared" si="12"/>
        <v>0</v>
      </c>
      <c r="Z48" s="1">
        <f t="shared" si="12"/>
        <v>0</v>
      </c>
      <c r="AA48" s="1">
        <f t="shared" si="12"/>
        <v>1</v>
      </c>
      <c r="AB48" s="1">
        <f t="shared" si="12"/>
        <v>0</v>
      </c>
      <c r="AC48" s="1">
        <f t="shared" si="12"/>
        <v>1</v>
      </c>
      <c r="AD48" s="1">
        <f t="shared" si="12"/>
        <v>0</v>
      </c>
      <c r="AE48" s="1">
        <f t="shared" si="12"/>
        <v>1</v>
      </c>
    </row>
    <row r="49" spans="1:31" x14ac:dyDescent="0.25">
      <c r="A49" s="3" t="s">
        <v>14</v>
      </c>
      <c r="B49" s="1">
        <f t="shared" si="1"/>
        <v>1</v>
      </c>
      <c r="C49" s="1">
        <f t="shared" ref="C49:AE49" si="13">IF(C15&gt;$C$35,1,0)</f>
        <v>0</v>
      </c>
      <c r="D49" s="1">
        <f t="shared" si="13"/>
        <v>1</v>
      </c>
      <c r="E49" s="1">
        <f t="shared" si="13"/>
        <v>0</v>
      </c>
      <c r="F49" s="1">
        <f t="shared" si="13"/>
        <v>0</v>
      </c>
      <c r="G49" s="1">
        <f t="shared" si="13"/>
        <v>1</v>
      </c>
      <c r="H49" s="1">
        <f t="shared" si="13"/>
        <v>0</v>
      </c>
      <c r="I49" s="1">
        <f t="shared" si="13"/>
        <v>1</v>
      </c>
      <c r="J49" s="1">
        <f t="shared" si="13"/>
        <v>0</v>
      </c>
      <c r="K49" s="1">
        <f t="shared" si="13"/>
        <v>1</v>
      </c>
      <c r="L49" s="1">
        <f t="shared" si="13"/>
        <v>0</v>
      </c>
      <c r="M49" s="1">
        <f t="shared" si="13"/>
        <v>0</v>
      </c>
      <c r="N49" s="1">
        <f t="shared" si="13"/>
        <v>0</v>
      </c>
      <c r="O49" s="1">
        <f t="shared" si="13"/>
        <v>0</v>
      </c>
      <c r="P49" s="1">
        <f t="shared" si="13"/>
        <v>0</v>
      </c>
      <c r="Q49" s="1">
        <f t="shared" si="13"/>
        <v>0</v>
      </c>
      <c r="R49" s="1">
        <f t="shared" si="13"/>
        <v>0</v>
      </c>
      <c r="S49" s="1">
        <f t="shared" si="13"/>
        <v>1</v>
      </c>
      <c r="T49" s="1">
        <f t="shared" si="13"/>
        <v>1</v>
      </c>
      <c r="U49" s="1">
        <f t="shared" si="13"/>
        <v>1</v>
      </c>
      <c r="V49" s="1">
        <f t="shared" si="13"/>
        <v>0</v>
      </c>
      <c r="W49" s="1">
        <f t="shared" si="13"/>
        <v>0</v>
      </c>
      <c r="X49" s="1">
        <f t="shared" si="13"/>
        <v>1</v>
      </c>
      <c r="Y49" s="1">
        <f t="shared" si="13"/>
        <v>0</v>
      </c>
      <c r="Z49" s="1">
        <f t="shared" si="13"/>
        <v>0</v>
      </c>
      <c r="AA49" s="1">
        <f t="shared" si="13"/>
        <v>0</v>
      </c>
      <c r="AB49" s="1">
        <f t="shared" si="13"/>
        <v>0</v>
      </c>
      <c r="AC49" s="1">
        <f t="shared" si="13"/>
        <v>0</v>
      </c>
      <c r="AD49" s="1">
        <f t="shared" si="13"/>
        <v>0</v>
      </c>
      <c r="AE49" s="1">
        <f t="shared" si="13"/>
        <v>0</v>
      </c>
    </row>
    <row r="50" spans="1:31" x14ac:dyDescent="0.25">
      <c r="A50" s="3" t="s">
        <v>15</v>
      </c>
      <c r="B50" s="1">
        <f t="shared" si="1"/>
        <v>1</v>
      </c>
      <c r="C50" s="1">
        <f t="shared" ref="C50:AE50" si="14">IF(C16&gt;$C$35,1,0)</f>
        <v>1</v>
      </c>
      <c r="D50" s="1">
        <f t="shared" si="14"/>
        <v>0</v>
      </c>
      <c r="E50" s="1">
        <f t="shared" si="14"/>
        <v>0</v>
      </c>
      <c r="F50" s="1">
        <f t="shared" si="14"/>
        <v>1</v>
      </c>
      <c r="G50" s="1">
        <f t="shared" si="14"/>
        <v>1</v>
      </c>
      <c r="H50" s="1">
        <f t="shared" si="14"/>
        <v>1</v>
      </c>
      <c r="I50" s="1">
        <f t="shared" si="14"/>
        <v>1</v>
      </c>
      <c r="J50" s="1">
        <f t="shared" si="14"/>
        <v>0</v>
      </c>
      <c r="K50" s="1">
        <f t="shared" si="14"/>
        <v>1</v>
      </c>
      <c r="L50" s="1">
        <f t="shared" si="14"/>
        <v>1</v>
      </c>
      <c r="M50" s="1">
        <f t="shared" si="14"/>
        <v>1</v>
      </c>
      <c r="N50" s="1">
        <f t="shared" si="14"/>
        <v>0</v>
      </c>
      <c r="O50" s="1">
        <f t="shared" si="14"/>
        <v>0</v>
      </c>
      <c r="P50" s="1">
        <f t="shared" si="14"/>
        <v>1</v>
      </c>
      <c r="Q50" s="1">
        <f t="shared" si="14"/>
        <v>0</v>
      </c>
      <c r="R50" s="1">
        <f t="shared" si="14"/>
        <v>0</v>
      </c>
      <c r="S50" s="1">
        <f t="shared" si="14"/>
        <v>1</v>
      </c>
      <c r="T50" s="1">
        <f t="shared" si="14"/>
        <v>1</v>
      </c>
      <c r="U50" s="1">
        <f t="shared" si="14"/>
        <v>1</v>
      </c>
      <c r="V50" s="1">
        <f t="shared" si="14"/>
        <v>0</v>
      </c>
      <c r="W50" s="1">
        <f t="shared" si="14"/>
        <v>0</v>
      </c>
      <c r="X50" s="1">
        <f t="shared" si="14"/>
        <v>0</v>
      </c>
      <c r="Y50" s="1">
        <f t="shared" si="14"/>
        <v>1</v>
      </c>
      <c r="Z50" s="1">
        <f t="shared" si="14"/>
        <v>1</v>
      </c>
      <c r="AA50" s="1">
        <f t="shared" si="14"/>
        <v>0</v>
      </c>
      <c r="AB50" s="1">
        <f t="shared" si="14"/>
        <v>0</v>
      </c>
      <c r="AC50" s="1">
        <f t="shared" si="14"/>
        <v>0</v>
      </c>
      <c r="AD50" s="1">
        <f t="shared" si="14"/>
        <v>0</v>
      </c>
      <c r="AE50" s="1">
        <f t="shared" si="14"/>
        <v>0</v>
      </c>
    </row>
    <row r="51" spans="1:31" x14ac:dyDescent="0.25">
      <c r="A51" s="3" t="s">
        <v>16</v>
      </c>
      <c r="B51" s="1">
        <f t="shared" si="1"/>
        <v>1</v>
      </c>
      <c r="C51" s="1">
        <f t="shared" ref="C51:AE51" si="15">IF(C17&gt;$C$35,1,0)</f>
        <v>0</v>
      </c>
      <c r="D51" s="1">
        <f t="shared" si="15"/>
        <v>1</v>
      </c>
      <c r="E51" s="1">
        <f t="shared" si="15"/>
        <v>0</v>
      </c>
      <c r="F51" s="1">
        <f t="shared" si="15"/>
        <v>0</v>
      </c>
      <c r="G51" s="1">
        <f t="shared" si="15"/>
        <v>1</v>
      </c>
      <c r="H51" s="1">
        <f t="shared" si="15"/>
        <v>0</v>
      </c>
      <c r="I51" s="1">
        <f t="shared" si="15"/>
        <v>1</v>
      </c>
      <c r="J51" s="1">
        <f t="shared" si="15"/>
        <v>0</v>
      </c>
      <c r="K51" s="1">
        <f t="shared" si="15"/>
        <v>0</v>
      </c>
      <c r="L51" s="1">
        <f t="shared" si="15"/>
        <v>0</v>
      </c>
      <c r="M51" s="1">
        <f t="shared" si="15"/>
        <v>0</v>
      </c>
      <c r="N51" s="1">
        <f t="shared" si="15"/>
        <v>0</v>
      </c>
      <c r="O51" s="1">
        <f t="shared" si="15"/>
        <v>1</v>
      </c>
      <c r="P51" s="1">
        <f t="shared" si="15"/>
        <v>0</v>
      </c>
      <c r="Q51" s="1">
        <f t="shared" si="15"/>
        <v>0</v>
      </c>
      <c r="R51" s="1">
        <f t="shared" si="15"/>
        <v>0</v>
      </c>
      <c r="S51" s="1">
        <f t="shared" si="15"/>
        <v>1</v>
      </c>
      <c r="T51" s="1">
        <f t="shared" si="15"/>
        <v>1</v>
      </c>
      <c r="U51" s="1">
        <f t="shared" si="15"/>
        <v>1</v>
      </c>
      <c r="V51" s="1">
        <f t="shared" si="15"/>
        <v>0</v>
      </c>
      <c r="W51" s="1">
        <f t="shared" si="15"/>
        <v>0</v>
      </c>
      <c r="X51" s="1">
        <f t="shared" si="15"/>
        <v>1</v>
      </c>
      <c r="Y51" s="1">
        <f t="shared" si="15"/>
        <v>0</v>
      </c>
      <c r="Z51" s="1">
        <f t="shared" si="15"/>
        <v>0</v>
      </c>
      <c r="AA51" s="1">
        <f t="shared" si="15"/>
        <v>1</v>
      </c>
      <c r="AB51" s="1">
        <f t="shared" si="15"/>
        <v>0</v>
      </c>
      <c r="AC51" s="1">
        <f t="shared" si="15"/>
        <v>1</v>
      </c>
      <c r="AD51" s="1">
        <f t="shared" si="15"/>
        <v>0</v>
      </c>
      <c r="AE51" s="1">
        <f t="shared" si="15"/>
        <v>1</v>
      </c>
    </row>
    <row r="52" spans="1:31" x14ac:dyDescent="0.25">
      <c r="A52" s="3" t="s">
        <v>17</v>
      </c>
      <c r="B52" s="1">
        <f t="shared" si="1"/>
        <v>1</v>
      </c>
      <c r="C52" s="1">
        <f t="shared" ref="C52:AE52" si="16">IF(C18&gt;$C$35,1,0)</f>
        <v>0</v>
      </c>
      <c r="D52" s="1">
        <f t="shared" si="16"/>
        <v>0</v>
      </c>
      <c r="E52" s="1">
        <f t="shared" si="16"/>
        <v>0</v>
      </c>
      <c r="F52" s="1">
        <f t="shared" si="16"/>
        <v>0</v>
      </c>
      <c r="G52" s="1">
        <f t="shared" si="16"/>
        <v>1</v>
      </c>
      <c r="H52" s="1">
        <f t="shared" si="16"/>
        <v>0</v>
      </c>
      <c r="I52" s="1">
        <f t="shared" si="16"/>
        <v>1</v>
      </c>
      <c r="J52" s="1">
        <f t="shared" si="16"/>
        <v>0</v>
      </c>
      <c r="K52" s="1">
        <f t="shared" si="16"/>
        <v>1</v>
      </c>
      <c r="L52" s="1">
        <f t="shared" si="16"/>
        <v>1</v>
      </c>
      <c r="M52" s="1">
        <f t="shared" si="16"/>
        <v>0</v>
      </c>
      <c r="N52" s="1">
        <f t="shared" si="16"/>
        <v>0</v>
      </c>
      <c r="O52" s="1">
        <f t="shared" si="16"/>
        <v>0</v>
      </c>
      <c r="P52" s="1">
        <f t="shared" si="16"/>
        <v>0</v>
      </c>
      <c r="Q52" s="1">
        <f t="shared" si="16"/>
        <v>0</v>
      </c>
      <c r="R52" s="1">
        <f t="shared" si="16"/>
        <v>0</v>
      </c>
      <c r="S52" s="1">
        <f t="shared" si="16"/>
        <v>1</v>
      </c>
      <c r="T52" s="1">
        <f t="shared" si="16"/>
        <v>1</v>
      </c>
      <c r="U52" s="1">
        <f t="shared" si="16"/>
        <v>1</v>
      </c>
      <c r="V52" s="1">
        <f t="shared" si="16"/>
        <v>0</v>
      </c>
      <c r="W52" s="1">
        <f t="shared" si="16"/>
        <v>0</v>
      </c>
      <c r="X52" s="1">
        <f t="shared" si="16"/>
        <v>0</v>
      </c>
      <c r="Y52" s="1">
        <f t="shared" si="16"/>
        <v>0</v>
      </c>
      <c r="Z52" s="1">
        <f t="shared" si="16"/>
        <v>0</v>
      </c>
      <c r="AA52" s="1">
        <f t="shared" si="16"/>
        <v>0</v>
      </c>
      <c r="AB52" s="1">
        <f t="shared" si="16"/>
        <v>0</v>
      </c>
      <c r="AC52" s="1">
        <f t="shared" si="16"/>
        <v>0</v>
      </c>
      <c r="AD52" s="1">
        <f t="shared" si="16"/>
        <v>0</v>
      </c>
      <c r="AE52" s="1">
        <f t="shared" si="16"/>
        <v>0</v>
      </c>
    </row>
    <row r="53" spans="1:31" x14ac:dyDescent="0.25">
      <c r="A53" s="3" t="s">
        <v>18</v>
      </c>
      <c r="B53" s="1">
        <f t="shared" si="1"/>
        <v>1</v>
      </c>
      <c r="C53" s="1">
        <f t="shared" ref="C53:AE53" si="17">IF(C19&gt;$C$35,1,0)</f>
        <v>0</v>
      </c>
      <c r="D53" s="1">
        <f t="shared" si="17"/>
        <v>0</v>
      </c>
      <c r="E53" s="1">
        <f t="shared" si="17"/>
        <v>0</v>
      </c>
      <c r="F53" s="1">
        <f t="shared" si="17"/>
        <v>0</v>
      </c>
      <c r="G53" s="1">
        <f t="shared" si="17"/>
        <v>1</v>
      </c>
      <c r="H53" s="1">
        <f t="shared" si="17"/>
        <v>0</v>
      </c>
      <c r="I53" s="1">
        <f t="shared" si="17"/>
        <v>1</v>
      </c>
      <c r="J53" s="1">
        <f t="shared" si="17"/>
        <v>0</v>
      </c>
      <c r="K53" s="1">
        <f t="shared" si="17"/>
        <v>1</v>
      </c>
      <c r="L53" s="1">
        <f t="shared" si="17"/>
        <v>1</v>
      </c>
      <c r="M53" s="1">
        <f t="shared" si="17"/>
        <v>0</v>
      </c>
      <c r="N53" s="1">
        <f t="shared" si="17"/>
        <v>0</v>
      </c>
      <c r="O53" s="1">
        <f t="shared" si="17"/>
        <v>0</v>
      </c>
      <c r="P53" s="1">
        <f t="shared" si="17"/>
        <v>0</v>
      </c>
      <c r="Q53" s="1">
        <f t="shared" si="17"/>
        <v>0</v>
      </c>
      <c r="R53" s="1">
        <f t="shared" si="17"/>
        <v>0</v>
      </c>
      <c r="S53" s="1">
        <f t="shared" si="17"/>
        <v>1</v>
      </c>
      <c r="T53" s="1">
        <f t="shared" si="17"/>
        <v>1</v>
      </c>
      <c r="U53" s="1">
        <f t="shared" si="17"/>
        <v>1</v>
      </c>
      <c r="V53" s="1">
        <f t="shared" si="17"/>
        <v>0</v>
      </c>
      <c r="W53" s="1">
        <f t="shared" si="17"/>
        <v>0</v>
      </c>
      <c r="X53" s="1">
        <f t="shared" si="17"/>
        <v>0</v>
      </c>
      <c r="Y53" s="1">
        <f t="shared" si="17"/>
        <v>0</v>
      </c>
      <c r="Z53" s="1">
        <f t="shared" si="17"/>
        <v>0</v>
      </c>
      <c r="AA53" s="1">
        <f t="shared" si="17"/>
        <v>0</v>
      </c>
      <c r="AB53" s="1">
        <f t="shared" si="17"/>
        <v>0</v>
      </c>
      <c r="AC53" s="1">
        <f t="shared" si="17"/>
        <v>0</v>
      </c>
      <c r="AD53" s="1">
        <f t="shared" si="17"/>
        <v>0</v>
      </c>
      <c r="AE53" s="1">
        <f t="shared" si="17"/>
        <v>0</v>
      </c>
    </row>
    <row r="54" spans="1:31" x14ac:dyDescent="0.25">
      <c r="A54" s="3" t="s">
        <v>19</v>
      </c>
      <c r="B54" s="1">
        <f t="shared" si="1"/>
        <v>0</v>
      </c>
      <c r="C54" s="1">
        <f t="shared" ref="C54:AE54" si="18">IF(C20&gt;$C$35,1,0)</f>
        <v>1</v>
      </c>
      <c r="D54" s="1">
        <f t="shared" si="18"/>
        <v>1</v>
      </c>
      <c r="E54" s="1">
        <f t="shared" si="18"/>
        <v>1</v>
      </c>
      <c r="F54" s="1">
        <f t="shared" si="18"/>
        <v>1</v>
      </c>
      <c r="G54" s="1">
        <f t="shared" si="18"/>
        <v>0</v>
      </c>
      <c r="H54" s="1">
        <f t="shared" si="18"/>
        <v>0</v>
      </c>
      <c r="I54" s="1">
        <f t="shared" si="18"/>
        <v>0</v>
      </c>
      <c r="J54" s="1">
        <f t="shared" si="18"/>
        <v>1</v>
      </c>
      <c r="K54" s="1">
        <f t="shared" si="18"/>
        <v>0</v>
      </c>
      <c r="L54" s="1">
        <f t="shared" si="18"/>
        <v>0</v>
      </c>
      <c r="M54" s="1">
        <f t="shared" si="18"/>
        <v>0</v>
      </c>
      <c r="N54" s="1">
        <f t="shared" si="18"/>
        <v>1</v>
      </c>
      <c r="O54" s="1">
        <f t="shared" si="18"/>
        <v>1</v>
      </c>
      <c r="P54" s="1">
        <f t="shared" si="18"/>
        <v>1</v>
      </c>
      <c r="Q54" s="1">
        <f t="shared" si="18"/>
        <v>1</v>
      </c>
      <c r="R54" s="1">
        <f t="shared" si="18"/>
        <v>1</v>
      </c>
      <c r="S54" s="1">
        <f t="shared" si="18"/>
        <v>0</v>
      </c>
      <c r="T54" s="1">
        <f t="shared" si="18"/>
        <v>0</v>
      </c>
      <c r="U54" s="1">
        <f t="shared" si="18"/>
        <v>0</v>
      </c>
      <c r="V54" s="1">
        <f t="shared" si="18"/>
        <v>1</v>
      </c>
      <c r="W54" s="1">
        <f t="shared" si="18"/>
        <v>1</v>
      </c>
      <c r="X54" s="1">
        <f t="shared" si="18"/>
        <v>1</v>
      </c>
      <c r="Y54" s="1">
        <f t="shared" si="18"/>
        <v>0</v>
      </c>
      <c r="Z54" s="1">
        <f t="shared" si="18"/>
        <v>0</v>
      </c>
      <c r="AA54" s="1">
        <f t="shared" si="18"/>
        <v>1</v>
      </c>
      <c r="AB54" s="1">
        <f t="shared" si="18"/>
        <v>1</v>
      </c>
      <c r="AC54" s="1">
        <f t="shared" si="18"/>
        <v>1</v>
      </c>
      <c r="AD54" s="1">
        <f t="shared" si="18"/>
        <v>1</v>
      </c>
      <c r="AE54" s="1">
        <f t="shared" si="18"/>
        <v>1</v>
      </c>
    </row>
    <row r="55" spans="1:31" x14ac:dyDescent="0.25">
      <c r="A55" s="3" t="s">
        <v>20</v>
      </c>
      <c r="B55" s="1">
        <f t="shared" si="1"/>
        <v>0</v>
      </c>
      <c r="C55" s="1">
        <f t="shared" ref="C55:AE55" si="19">IF(C21&gt;$C$35,1,0)</f>
        <v>1</v>
      </c>
      <c r="D55" s="1">
        <f t="shared" si="19"/>
        <v>1</v>
      </c>
      <c r="E55" s="1">
        <f t="shared" si="19"/>
        <v>1</v>
      </c>
      <c r="F55" s="1">
        <f t="shared" si="19"/>
        <v>1</v>
      </c>
      <c r="G55" s="1">
        <f t="shared" si="19"/>
        <v>0</v>
      </c>
      <c r="H55" s="1">
        <f t="shared" si="19"/>
        <v>1</v>
      </c>
      <c r="I55" s="1">
        <f t="shared" si="19"/>
        <v>0</v>
      </c>
      <c r="J55" s="1">
        <f t="shared" si="19"/>
        <v>1</v>
      </c>
      <c r="K55" s="1">
        <f t="shared" si="19"/>
        <v>0</v>
      </c>
      <c r="L55" s="1">
        <f t="shared" si="19"/>
        <v>0</v>
      </c>
      <c r="M55" s="1">
        <f t="shared" si="19"/>
        <v>1</v>
      </c>
      <c r="N55" s="1">
        <f t="shared" si="19"/>
        <v>1</v>
      </c>
      <c r="O55" s="1">
        <f t="shared" si="19"/>
        <v>1</v>
      </c>
      <c r="P55" s="1">
        <f t="shared" si="19"/>
        <v>1</v>
      </c>
      <c r="Q55" s="1">
        <f t="shared" si="19"/>
        <v>1</v>
      </c>
      <c r="R55" s="1">
        <f t="shared" si="19"/>
        <v>1</v>
      </c>
      <c r="S55" s="1">
        <f t="shared" si="19"/>
        <v>0</v>
      </c>
      <c r="T55" s="1">
        <f t="shared" si="19"/>
        <v>0</v>
      </c>
      <c r="U55" s="1">
        <f t="shared" si="19"/>
        <v>0</v>
      </c>
      <c r="V55" s="1">
        <f t="shared" si="19"/>
        <v>1</v>
      </c>
      <c r="W55" s="1">
        <f t="shared" si="19"/>
        <v>1</v>
      </c>
      <c r="X55" s="1">
        <f t="shared" si="19"/>
        <v>1</v>
      </c>
      <c r="Y55" s="1">
        <f t="shared" si="19"/>
        <v>0</v>
      </c>
      <c r="Z55" s="1">
        <f t="shared" si="19"/>
        <v>1</v>
      </c>
      <c r="AA55" s="1">
        <f t="shared" si="19"/>
        <v>1</v>
      </c>
      <c r="AB55" s="1">
        <f t="shared" si="19"/>
        <v>1</v>
      </c>
      <c r="AC55" s="1">
        <f t="shared" si="19"/>
        <v>1</v>
      </c>
      <c r="AD55" s="1">
        <f t="shared" si="19"/>
        <v>1</v>
      </c>
      <c r="AE55" s="1">
        <f t="shared" si="19"/>
        <v>1</v>
      </c>
    </row>
    <row r="56" spans="1:31" x14ac:dyDescent="0.25">
      <c r="A56" s="3" t="s">
        <v>21</v>
      </c>
      <c r="B56" s="1">
        <f t="shared" si="1"/>
        <v>0</v>
      </c>
      <c r="C56" s="1">
        <f t="shared" ref="C56:AE56" si="20">IF(C22&gt;$C$35,1,0)</f>
        <v>1</v>
      </c>
      <c r="D56" s="1">
        <f t="shared" si="20"/>
        <v>1</v>
      </c>
      <c r="E56" s="1">
        <f t="shared" si="20"/>
        <v>1</v>
      </c>
      <c r="F56" s="1">
        <f t="shared" si="20"/>
        <v>1</v>
      </c>
      <c r="G56" s="1">
        <f t="shared" si="20"/>
        <v>0</v>
      </c>
      <c r="H56" s="1">
        <f t="shared" si="20"/>
        <v>1</v>
      </c>
      <c r="I56" s="1">
        <f t="shared" si="20"/>
        <v>0</v>
      </c>
      <c r="J56" s="1">
        <f t="shared" si="20"/>
        <v>1</v>
      </c>
      <c r="K56" s="1">
        <f t="shared" si="20"/>
        <v>0</v>
      </c>
      <c r="L56" s="1">
        <f t="shared" si="20"/>
        <v>0</v>
      </c>
      <c r="M56" s="1">
        <f t="shared" si="20"/>
        <v>1</v>
      </c>
      <c r="N56" s="1">
        <f t="shared" si="20"/>
        <v>1</v>
      </c>
      <c r="O56" s="1">
        <f t="shared" si="20"/>
        <v>1</v>
      </c>
      <c r="P56" s="1">
        <f t="shared" si="20"/>
        <v>1</v>
      </c>
      <c r="Q56" s="1">
        <f t="shared" si="20"/>
        <v>1</v>
      </c>
      <c r="R56" s="1">
        <f t="shared" si="20"/>
        <v>1</v>
      </c>
      <c r="S56" s="1">
        <f t="shared" si="20"/>
        <v>0</v>
      </c>
      <c r="T56" s="1">
        <f t="shared" si="20"/>
        <v>0</v>
      </c>
      <c r="U56" s="1">
        <f t="shared" si="20"/>
        <v>0</v>
      </c>
      <c r="V56" s="1">
        <f t="shared" si="20"/>
        <v>1</v>
      </c>
      <c r="W56" s="1">
        <f t="shared" si="20"/>
        <v>1</v>
      </c>
      <c r="X56" s="1">
        <f t="shared" si="20"/>
        <v>1</v>
      </c>
      <c r="Y56" s="1">
        <f t="shared" si="20"/>
        <v>0</v>
      </c>
      <c r="Z56" s="1">
        <f t="shared" si="20"/>
        <v>1</v>
      </c>
      <c r="AA56" s="1">
        <f t="shared" si="20"/>
        <v>1</v>
      </c>
      <c r="AB56" s="1">
        <f t="shared" si="20"/>
        <v>1</v>
      </c>
      <c r="AC56" s="1">
        <f t="shared" si="20"/>
        <v>1</v>
      </c>
      <c r="AD56" s="1">
        <f t="shared" si="20"/>
        <v>1</v>
      </c>
      <c r="AE56" s="1">
        <f t="shared" si="20"/>
        <v>1</v>
      </c>
    </row>
    <row r="57" spans="1:31" x14ac:dyDescent="0.25">
      <c r="A57" s="3" t="s">
        <v>22</v>
      </c>
      <c r="B57" s="1">
        <f t="shared" si="1"/>
        <v>1</v>
      </c>
      <c r="C57" s="1">
        <f t="shared" ref="C57:AE57" si="21">IF(C23&gt;$C$35,1,0)</f>
        <v>0</v>
      </c>
      <c r="D57" s="1">
        <f t="shared" si="21"/>
        <v>0</v>
      </c>
      <c r="E57" s="1">
        <f t="shared" si="21"/>
        <v>0</v>
      </c>
      <c r="F57" s="1">
        <f t="shared" si="21"/>
        <v>0</v>
      </c>
      <c r="G57" s="1">
        <f t="shared" si="21"/>
        <v>1</v>
      </c>
      <c r="H57" s="1">
        <f t="shared" si="21"/>
        <v>0</v>
      </c>
      <c r="I57" s="1">
        <f t="shared" si="21"/>
        <v>1</v>
      </c>
      <c r="J57" s="1">
        <f t="shared" si="21"/>
        <v>0</v>
      </c>
      <c r="K57" s="1">
        <f t="shared" si="21"/>
        <v>1</v>
      </c>
      <c r="L57" s="1">
        <f t="shared" si="21"/>
        <v>0</v>
      </c>
      <c r="M57" s="1">
        <f t="shared" si="21"/>
        <v>0</v>
      </c>
      <c r="N57" s="1">
        <f t="shared" si="21"/>
        <v>0</v>
      </c>
      <c r="O57" s="1">
        <f t="shared" si="21"/>
        <v>0</v>
      </c>
      <c r="P57" s="1">
        <f t="shared" si="21"/>
        <v>0</v>
      </c>
      <c r="Q57" s="1">
        <f t="shared" si="21"/>
        <v>0</v>
      </c>
      <c r="R57" s="1">
        <f t="shared" si="21"/>
        <v>0</v>
      </c>
      <c r="S57" s="1">
        <f t="shared" si="21"/>
        <v>1</v>
      </c>
      <c r="T57" s="1">
        <f t="shared" si="21"/>
        <v>1</v>
      </c>
      <c r="U57" s="1">
        <f t="shared" si="21"/>
        <v>1</v>
      </c>
      <c r="V57" s="1">
        <f t="shared" si="21"/>
        <v>0</v>
      </c>
      <c r="W57" s="1">
        <f t="shared" si="21"/>
        <v>0</v>
      </c>
      <c r="X57" s="1">
        <f t="shared" si="21"/>
        <v>1</v>
      </c>
      <c r="Y57" s="1">
        <f t="shared" si="21"/>
        <v>0</v>
      </c>
      <c r="Z57" s="1">
        <f t="shared" si="21"/>
        <v>0</v>
      </c>
      <c r="AA57" s="1">
        <f t="shared" si="21"/>
        <v>0</v>
      </c>
      <c r="AB57" s="1">
        <f t="shared" si="21"/>
        <v>0</v>
      </c>
      <c r="AC57" s="1">
        <f t="shared" si="21"/>
        <v>0</v>
      </c>
      <c r="AD57" s="1">
        <f t="shared" si="21"/>
        <v>0</v>
      </c>
      <c r="AE57" s="1">
        <f t="shared" si="21"/>
        <v>0</v>
      </c>
    </row>
    <row r="58" spans="1:31" x14ac:dyDescent="0.25">
      <c r="A58" s="3" t="s">
        <v>23</v>
      </c>
      <c r="B58" s="1">
        <f t="shared" si="1"/>
        <v>1</v>
      </c>
      <c r="C58" s="1">
        <f t="shared" ref="C58:AE58" si="22">IF(C24&gt;$C$35,1,0)</f>
        <v>0</v>
      </c>
      <c r="D58" s="1">
        <f t="shared" si="22"/>
        <v>0</v>
      </c>
      <c r="E58" s="1">
        <f t="shared" si="22"/>
        <v>0</v>
      </c>
      <c r="F58" s="1">
        <f t="shared" si="22"/>
        <v>0</v>
      </c>
      <c r="G58" s="1">
        <f t="shared" si="22"/>
        <v>1</v>
      </c>
      <c r="H58" s="1">
        <f t="shared" si="22"/>
        <v>0</v>
      </c>
      <c r="I58" s="1">
        <f t="shared" si="22"/>
        <v>1</v>
      </c>
      <c r="J58" s="1">
        <f t="shared" si="22"/>
        <v>0</v>
      </c>
      <c r="K58" s="1">
        <f t="shared" si="22"/>
        <v>1</v>
      </c>
      <c r="L58" s="1">
        <f t="shared" si="22"/>
        <v>1</v>
      </c>
      <c r="M58" s="1">
        <f t="shared" si="22"/>
        <v>0</v>
      </c>
      <c r="N58" s="1">
        <f t="shared" si="22"/>
        <v>0</v>
      </c>
      <c r="O58" s="1">
        <f t="shared" si="22"/>
        <v>0</v>
      </c>
      <c r="P58" s="1">
        <f t="shared" si="22"/>
        <v>0</v>
      </c>
      <c r="Q58" s="1">
        <f t="shared" si="22"/>
        <v>0</v>
      </c>
      <c r="R58" s="1">
        <f t="shared" si="22"/>
        <v>0</v>
      </c>
      <c r="S58" s="1">
        <f t="shared" si="22"/>
        <v>1</v>
      </c>
      <c r="T58" s="1">
        <f t="shared" si="22"/>
        <v>1</v>
      </c>
      <c r="U58" s="1">
        <f t="shared" si="22"/>
        <v>1</v>
      </c>
      <c r="V58" s="1">
        <f t="shared" si="22"/>
        <v>0</v>
      </c>
      <c r="W58" s="1">
        <f t="shared" si="22"/>
        <v>0</v>
      </c>
      <c r="X58" s="1">
        <f t="shared" si="22"/>
        <v>0</v>
      </c>
      <c r="Y58" s="1">
        <f t="shared" si="22"/>
        <v>1</v>
      </c>
      <c r="Z58" s="1">
        <f t="shared" si="22"/>
        <v>0</v>
      </c>
      <c r="AA58" s="1">
        <f t="shared" si="22"/>
        <v>0</v>
      </c>
      <c r="AB58" s="1">
        <f t="shared" si="22"/>
        <v>0</v>
      </c>
      <c r="AC58" s="1">
        <f t="shared" si="22"/>
        <v>0</v>
      </c>
      <c r="AD58" s="1">
        <f t="shared" si="22"/>
        <v>0</v>
      </c>
      <c r="AE58" s="1">
        <f t="shared" si="22"/>
        <v>0</v>
      </c>
    </row>
    <row r="59" spans="1:31" x14ac:dyDescent="0.25">
      <c r="A59" s="3" t="s">
        <v>24</v>
      </c>
      <c r="B59" s="1">
        <f t="shared" si="1"/>
        <v>1</v>
      </c>
      <c r="C59" s="1">
        <f t="shared" ref="C59:AE59" si="23">IF(C25&gt;$C$35,1,0)</f>
        <v>1</v>
      </c>
      <c r="D59" s="1">
        <f t="shared" si="23"/>
        <v>0</v>
      </c>
      <c r="E59" s="1">
        <f t="shared" si="23"/>
        <v>0</v>
      </c>
      <c r="F59" s="1">
        <f t="shared" si="23"/>
        <v>1</v>
      </c>
      <c r="G59" s="1">
        <f t="shared" si="23"/>
        <v>1</v>
      </c>
      <c r="H59" s="1">
        <f t="shared" si="23"/>
        <v>1</v>
      </c>
      <c r="I59" s="1">
        <f t="shared" si="23"/>
        <v>1</v>
      </c>
      <c r="J59" s="1">
        <f t="shared" si="23"/>
        <v>0</v>
      </c>
      <c r="K59" s="1">
        <f t="shared" si="23"/>
        <v>1</v>
      </c>
      <c r="L59" s="1">
        <f t="shared" si="23"/>
        <v>1</v>
      </c>
      <c r="M59" s="1">
        <f t="shared" si="23"/>
        <v>1</v>
      </c>
      <c r="N59" s="1">
        <f t="shared" si="23"/>
        <v>1</v>
      </c>
      <c r="O59" s="1">
        <f t="shared" si="23"/>
        <v>0</v>
      </c>
      <c r="P59" s="1">
        <f t="shared" si="23"/>
        <v>1</v>
      </c>
      <c r="Q59" s="1">
        <f t="shared" si="23"/>
        <v>0</v>
      </c>
      <c r="R59" s="1">
        <f t="shared" si="23"/>
        <v>0</v>
      </c>
      <c r="S59" s="1">
        <f t="shared" si="23"/>
        <v>1</v>
      </c>
      <c r="T59" s="1">
        <f t="shared" si="23"/>
        <v>1</v>
      </c>
      <c r="U59" s="1">
        <f t="shared" si="23"/>
        <v>1</v>
      </c>
      <c r="V59" s="1">
        <f t="shared" si="23"/>
        <v>1</v>
      </c>
      <c r="W59" s="1">
        <f t="shared" si="23"/>
        <v>0</v>
      </c>
      <c r="X59" s="1">
        <f t="shared" si="23"/>
        <v>0</v>
      </c>
      <c r="Y59" s="1">
        <f t="shared" si="23"/>
        <v>1</v>
      </c>
      <c r="Z59" s="1">
        <f t="shared" si="23"/>
        <v>1</v>
      </c>
      <c r="AA59" s="1">
        <f t="shared" si="23"/>
        <v>0</v>
      </c>
      <c r="AB59" s="1">
        <f t="shared" si="23"/>
        <v>0</v>
      </c>
      <c r="AC59" s="1">
        <f t="shared" si="23"/>
        <v>0</v>
      </c>
      <c r="AD59" s="1">
        <f t="shared" si="23"/>
        <v>1</v>
      </c>
      <c r="AE59" s="1">
        <f t="shared" si="23"/>
        <v>0</v>
      </c>
    </row>
    <row r="60" spans="1:31" x14ac:dyDescent="0.25">
      <c r="A60" s="3" t="s">
        <v>25</v>
      </c>
      <c r="B60" s="1">
        <f t="shared" si="1"/>
        <v>0</v>
      </c>
      <c r="C60" s="1">
        <f t="shared" ref="C60:AE60" si="24">IF(C26&gt;$C$35,1,0)</f>
        <v>0</v>
      </c>
      <c r="D60" s="1">
        <f t="shared" si="24"/>
        <v>1</v>
      </c>
      <c r="E60" s="1">
        <f t="shared" si="24"/>
        <v>1</v>
      </c>
      <c r="F60" s="1">
        <f t="shared" si="24"/>
        <v>0</v>
      </c>
      <c r="G60" s="1">
        <f t="shared" si="24"/>
        <v>0</v>
      </c>
      <c r="H60" s="1">
        <f t="shared" si="24"/>
        <v>0</v>
      </c>
      <c r="I60" s="1">
        <f t="shared" si="24"/>
        <v>0</v>
      </c>
      <c r="J60" s="1">
        <f t="shared" si="24"/>
        <v>1</v>
      </c>
      <c r="K60" s="1">
        <f t="shared" si="24"/>
        <v>0</v>
      </c>
      <c r="L60" s="1">
        <f t="shared" si="24"/>
        <v>0</v>
      </c>
      <c r="M60" s="1">
        <f t="shared" si="24"/>
        <v>0</v>
      </c>
      <c r="N60" s="1">
        <f t="shared" si="24"/>
        <v>0</v>
      </c>
      <c r="O60" s="1">
        <f t="shared" si="24"/>
        <v>1</v>
      </c>
      <c r="P60" s="1">
        <f t="shared" si="24"/>
        <v>0</v>
      </c>
      <c r="Q60" s="1">
        <f t="shared" si="24"/>
        <v>0</v>
      </c>
      <c r="R60" s="1">
        <f t="shared" si="24"/>
        <v>0</v>
      </c>
      <c r="S60" s="1">
        <f t="shared" si="24"/>
        <v>0</v>
      </c>
      <c r="T60" s="1">
        <f t="shared" si="24"/>
        <v>0</v>
      </c>
      <c r="U60" s="1">
        <f t="shared" si="24"/>
        <v>0</v>
      </c>
      <c r="V60" s="1">
        <f t="shared" si="24"/>
        <v>0</v>
      </c>
      <c r="W60" s="1">
        <f t="shared" si="24"/>
        <v>1</v>
      </c>
      <c r="X60" s="1">
        <f t="shared" si="24"/>
        <v>1</v>
      </c>
      <c r="Y60" s="1">
        <f t="shared" si="24"/>
        <v>0</v>
      </c>
      <c r="Z60" s="1">
        <f t="shared" si="24"/>
        <v>0</v>
      </c>
      <c r="AA60" s="1">
        <f t="shared" si="24"/>
        <v>1</v>
      </c>
      <c r="AB60" s="1">
        <f t="shared" si="24"/>
        <v>1</v>
      </c>
      <c r="AC60" s="1">
        <f t="shared" si="24"/>
        <v>1</v>
      </c>
      <c r="AD60" s="1">
        <f t="shared" si="24"/>
        <v>0</v>
      </c>
      <c r="AE60" s="1">
        <f t="shared" si="24"/>
        <v>1</v>
      </c>
    </row>
    <row r="61" spans="1:31" x14ac:dyDescent="0.25">
      <c r="A61" s="3" t="s">
        <v>26</v>
      </c>
      <c r="B61" s="1">
        <f t="shared" si="1"/>
        <v>0</v>
      </c>
      <c r="C61" s="1">
        <f t="shared" ref="C61:AE61" si="25">IF(C27&gt;$C$35,1,0)</f>
        <v>0</v>
      </c>
      <c r="D61" s="1">
        <f t="shared" si="25"/>
        <v>1</v>
      </c>
      <c r="E61" s="1">
        <f t="shared" si="25"/>
        <v>0</v>
      </c>
      <c r="F61" s="1">
        <f t="shared" si="25"/>
        <v>0</v>
      </c>
      <c r="G61" s="1">
        <f t="shared" si="25"/>
        <v>0</v>
      </c>
      <c r="H61" s="1">
        <f t="shared" si="25"/>
        <v>0</v>
      </c>
      <c r="I61" s="1">
        <f t="shared" si="25"/>
        <v>0</v>
      </c>
      <c r="J61" s="1">
        <f t="shared" si="25"/>
        <v>0</v>
      </c>
      <c r="K61" s="1">
        <f t="shared" si="25"/>
        <v>0</v>
      </c>
      <c r="L61" s="1">
        <f t="shared" si="25"/>
        <v>0</v>
      </c>
      <c r="M61" s="1">
        <f t="shared" si="25"/>
        <v>0</v>
      </c>
      <c r="N61" s="1">
        <f t="shared" si="25"/>
        <v>0</v>
      </c>
      <c r="O61" s="1">
        <f t="shared" si="25"/>
        <v>1</v>
      </c>
      <c r="P61" s="1">
        <f t="shared" si="25"/>
        <v>0</v>
      </c>
      <c r="Q61" s="1">
        <f t="shared" si="25"/>
        <v>0</v>
      </c>
      <c r="R61" s="1">
        <f t="shared" si="25"/>
        <v>0</v>
      </c>
      <c r="S61" s="1">
        <f t="shared" si="25"/>
        <v>0</v>
      </c>
      <c r="T61" s="1">
        <f t="shared" si="25"/>
        <v>1</v>
      </c>
      <c r="U61" s="1">
        <f t="shared" si="25"/>
        <v>1</v>
      </c>
      <c r="V61" s="1">
        <f t="shared" si="25"/>
        <v>0</v>
      </c>
      <c r="W61" s="1">
        <f t="shared" si="25"/>
        <v>0</v>
      </c>
      <c r="X61" s="1">
        <f t="shared" si="25"/>
        <v>1</v>
      </c>
      <c r="Y61" s="1">
        <f t="shared" si="25"/>
        <v>0</v>
      </c>
      <c r="Z61" s="1">
        <f t="shared" si="25"/>
        <v>0</v>
      </c>
      <c r="AA61" s="1">
        <f t="shared" si="25"/>
        <v>1</v>
      </c>
      <c r="AB61" s="1">
        <f t="shared" si="25"/>
        <v>0</v>
      </c>
      <c r="AC61" s="1">
        <f t="shared" si="25"/>
        <v>1</v>
      </c>
      <c r="AD61" s="1">
        <f t="shared" si="25"/>
        <v>0</v>
      </c>
      <c r="AE61" s="1">
        <f t="shared" si="25"/>
        <v>1</v>
      </c>
    </row>
    <row r="62" spans="1:31" x14ac:dyDescent="0.25">
      <c r="A62" s="3" t="s">
        <v>27</v>
      </c>
      <c r="B62" s="1">
        <f t="shared" si="1"/>
        <v>1</v>
      </c>
      <c r="C62" s="1">
        <f t="shared" ref="C62:AE62" si="26">IF(C28&gt;$C$35,1,0)</f>
        <v>0</v>
      </c>
      <c r="D62" s="1">
        <f t="shared" si="26"/>
        <v>0</v>
      </c>
      <c r="E62" s="1">
        <f t="shared" si="26"/>
        <v>0</v>
      </c>
      <c r="F62" s="1">
        <f t="shared" si="26"/>
        <v>0</v>
      </c>
      <c r="G62" s="1">
        <f t="shared" si="26"/>
        <v>1</v>
      </c>
      <c r="H62" s="1">
        <f t="shared" si="26"/>
        <v>1</v>
      </c>
      <c r="I62" s="1">
        <f t="shared" si="26"/>
        <v>1</v>
      </c>
      <c r="J62" s="1">
        <f t="shared" si="26"/>
        <v>0</v>
      </c>
      <c r="K62" s="1">
        <f t="shared" si="26"/>
        <v>1</v>
      </c>
      <c r="L62" s="1">
        <f t="shared" si="26"/>
        <v>1</v>
      </c>
      <c r="M62" s="1">
        <f t="shared" si="26"/>
        <v>1</v>
      </c>
      <c r="N62" s="1">
        <f t="shared" si="26"/>
        <v>0</v>
      </c>
      <c r="O62" s="1">
        <f t="shared" si="26"/>
        <v>0</v>
      </c>
      <c r="P62" s="1">
        <f t="shared" si="26"/>
        <v>1</v>
      </c>
      <c r="Q62" s="1">
        <f t="shared" si="26"/>
        <v>0</v>
      </c>
      <c r="R62" s="1">
        <f t="shared" si="26"/>
        <v>0</v>
      </c>
      <c r="S62" s="1">
        <f t="shared" si="26"/>
        <v>1</v>
      </c>
      <c r="T62" s="1">
        <f t="shared" si="26"/>
        <v>1</v>
      </c>
      <c r="U62" s="1">
        <f t="shared" si="26"/>
        <v>1</v>
      </c>
      <c r="V62" s="1">
        <f t="shared" si="26"/>
        <v>0</v>
      </c>
      <c r="W62" s="1">
        <f t="shared" si="26"/>
        <v>0</v>
      </c>
      <c r="X62" s="1">
        <f t="shared" si="26"/>
        <v>0</v>
      </c>
      <c r="Y62" s="1">
        <f t="shared" si="26"/>
        <v>1</v>
      </c>
      <c r="Z62" s="1">
        <f t="shared" si="26"/>
        <v>1</v>
      </c>
      <c r="AA62" s="1">
        <f t="shared" si="26"/>
        <v>0</v>
      </c>
      <c r="AB62" s="1">
        <f t="shared" si="26"/>
        <v>0</v>
      </c>
      <c r="AC62" s="1">
        <f t="shared" si="26"/>
        <v>0</v>
      </c>
      <c r="AD62" s="1">
        <f t="shared" si="26"/>
        <v>0</v>
      </c>
      <c r="AE62" s="1">
        <f t="shared" si="26"/>
        <v>0</v>
      </c>
    </row>
    <row r="63" spans="1:31" x14ac:dyDescent="0.25">
      <c r="A63" s="3" t="s">
        <v>28</v>
      </c>
      <c r="B63" s="1">
        <f t="shared" si="1"/>
        <v>1</v>
      </c>
      <c r="C63" s="1">
        <f t="shared" ref="C63:AE63" si="27">IF(C29&gt;$C$35,1,0)</f>
        <v>0</v>
      </c>
      <c r="D63" s="1">
        <f t="shared" si="27"/>
        <v>0</v>
      </c>
      <c r="E63" s="1">
        <f t="shared" si="27"/>
        <v>0</v>
      </c>
      <c r="F63" s="1">
        <f t="shared" si="27"/>
        <v>0</v>
      </c>
      <c r="G63" s="1">
        <f t="shared" si="27"/>
        <v>1</v>
      </c>
      <c r="H63" s="1">
        <f t="shared" si="27"/>
        <v>0</v>
      </c>
      <c r="I63" s="1">
        <f t="shared" si="27"/>
        <v>1</v>
      </c>
      <c r="J63" s="1">
        <f t="shared" si="27"/>
        <v>0</v>
      </c>
      <c r="K63" s="1">
        <f t="shared" si="27"/>
        <v>1</v>
      </c>
      <c r="L63" s="1">
        <f t="shared" si="27"/>
        <v>1</v>
      </c>
      <c r="M63" s="1">
        <f t="shared" si="27"/>
        <v>0</v>
      </c>
      <c r="N63" s="1">
        <f t="shared" si="27"/>
        <v>0</v>
      </c>
      <c r="O63" s="1">
        <f t="shared" si="27"/>
        <v>0</v>
      </c>
      <c r="P63" s="1">
        <f t="shared" si="27"/>
        <v>0</v>
      </c>
      <c r="Q63" s="1">
        <f t="shared" si="27"/>
        <v>0</v>
      </c>
      <c r="R63" s="1">
        <f t="shared" si="27"/>
        <v>0</v>
      </c>
      <c r="S63" s="1">
        <f t="shared" si="27"/>
        <v>1</v>
      </c>
      <c r="T63" s="1">
        <f t="shared" si="27"/>
        <v>1</v>
      </c>
      <c r="U63" s="1">
        <f t="shared" si="27"/>
        <v>1</v>
      </c>
      <c r="V63" s="1">
        <f t="shared" si="27"/>
        <v>0</v>
      </c>
      <c r="W63" s="1">
        <f t="shared" si="27"/>
        <v>0</v>
      </c>
      <c r="X63" s="1">
        <f t="shared" si="27"/>
        <v>0</v>
      </c>
      <c r="Y63" s="1">
        <f t="shared" si="27"/>
        <v>1</v>
      </c>
      <c r="Z63" s="1">
        <f t="shared" si="27"/>
        <v>0</v>
      </c>
      <c r="AA63" s="1">
        <f t="shared" si="27"/>
        <v>0</v>
      </c>
      <c r="AB63" s="1">
        <f t="shared" si="27"/>
        <v>0</v>
      </c>
      <c r="AC63" s="1">
        <f t="shared" si="27"/>
        <v>0</v>
      </c>
      <c r="AD63" s="1">
        <f t="shared" si="27"/>
        <v>0</v>
      </c>
      <c r="AE63" s="1">
        <f t="shared" si="27"/>
        <v>0</v>
      </c>
    </row>
    <row r="64" spans="1:31" x14ac:dyDescent="0.25">
      <c r="A64" s="3" t="s">
        <v>29</v>
      </c>
      <c r="B64" s="1">
        <f t="shared" si="1"/>
        <v>1</v>
      </c>
      <c r="C64" s="1">
        <f t="shared" ref="C64:AE64" si="28">IF(C30&gt;$C$35,1,0)</f>
        <v>0</v>
      </c>
      <c r="D64" s="1">
        <f t="shared" si="28"/>
        <v>0</v>
      </c>
      <c r="E64" s="1">
        <f t="shared" si="28"/>
        <v>0</v>
      </c>
      <c r="F64" s="1">
        <f t="shared" si="28"/>
        <v>0</v>
      </c>
      <c r="G64" s="1">
        <f t="shared" si="28"/>
        <v>1</v>
      </c>
      <c r="H64" s="1">
        <f t="shared" si="28"/>
        <v>1</v>
      </c>
      <c r="I64" s="1">
        <f t="shared" si="28"/>
        <v>1</v>
      </c>
      <c r="J64" s="1">
        <f t="shared" si="28"/>
        <v>0</v>
      </c>
      <c r="K64" s="1">
        <f t="shared" si="28"/>
        <v>1</v>
      </c>
      <c r="L64" s="1">
        <f t="shared" si="28"/>
        <v>1</v>
      </c>
      <c r="M64" s="1">
        <f t="shared" si="28"/>
        <v>1</v>
      </c>
      <c r="N64" s="1">
        <f t="shared" si="28"/>
        <v>0</v>
      </c>
      <c r="O64" s="1">
        <f t="shared" si="28"/>
        <v>0</v>
      </c>
      <c r="P64" s="1">
        <f t="shared" si="28"/>
        <v>1</v>
      </c>
      <c r="Q64" s="1">
        <f t="shared" si="28"/>
        <v>0</v>
      </c>
      <c r="R64" s="1">
        <f t="shared" si="28"/>
        <v>0</v>
      </c>
      <c r="S64" s="1">
        <f t="shared" si="28"/>
        <v>1</v>
      </c>
      <c r="T64" s="1">
        <f t="shared" si="28"/>
        <v>1</v>
      </c>
      <c r="U64" s="1">
        <f t="shared" si="28"/>
        <v>1</v>
      </c>
      <c r="V64" s="1">
        <f t="shared" si="28"/>
        <v>0</v>
      </c>
      <c r="W64" s="1">
        <f t="shared" si="28"/>
        <v>0</v>
      </c>
      <c r="X64" s="1">
        <f t="shared" si="28"/>
        <v>0</v>
      </c>
      <c r="Y64" s="1">
        <f t="shared" si="28"/>
        <v>1</v>
      </c>
      <c r="Z64" s="1">
        <f t="shared" si="28"/>
        <v>1</v>
      </c>
      <c r="AA64" s="1">
        <f t="shared" si="28"/>
        <v>0</v>
      </c>
      <c r="AB64" s="1">
        <f t="shared" si="28"/>
        <v>0</v>
      </c>
      <c r="AC64" s="1">
        <f t="shared" si="28"/>
        <v>0</v>
      </c>
      <c r="AD64" s="1">
        <f t="shared" si="28"/>
        <v>0</v>
      </c>
      <c r="AE64" s="1">
        <f t="shared" si="28"/>
        <v>0</v>
      </c>
    </row>
    <row r="65" spans="1:32" x14ac:dyDescent="0.25">
      <c r="A65" s="3" t="s">
        <v>30</v>
      </c>
      <c r="B65" s="1">
        <f t="shared" si="1"/>
        <v>1</v>
      </c>
      <c r="C65" s="1">
        <f t="shared" ref="C65:AE65" si="29">IF(C31&gt;$C$35,1,0)</f>
        <v>0</v>
      </c>
      <c r="D65" s="1">
        <f t="shared" si="29"/>
        <v>0</v>
      </c>
      <c r="E65" s="1">
        <f t="shared" si="29"/>
        <v>0</v>
      </c>
      <c r="F65" s="1">
        <f t="shared" si="29"/>
        <v>0</v>
      </c>
      <c r="G65" s="1">
        <f t="shared" si="29"/>
        <v>1</v>
      </c>
      <c r="H65" s="1">
        <f t="shared" si="29"/>
        <v>0</v>
      </c>
      <c r="I65" s="1">
        <f t="shared" si="29"/>
        <v>1</v>
      </c>
      <c r="J65" s="1">
        <f t="shared" si="29"/>
        <v>0</v>
      </c>
      <c r="K65" s="1">
        <f t="shared" si="29"/>
        <v>1</v>
      </c>
      <c r="L65" s="1">
        <f t="shared" si="29"/>
        <v>0</v>
      </c>
      <c r="M65" s="1">
        <f t="shared" si="29"/>
        <v>0</v>
      </c>
      <c r="N65" s="1">
        <f t="shared" si="29"/>
        <v>0</v>
      </c>
      <c r="O65" s="1">
        <f t="shared" si="29"/>
        <v>0</v>
      </c>
      <c r="P65" s="1">
        <f t="shared" si="29"/>
        <v>0</v>
      </c>
      <c r="Q65" s="1">
        <f t="shared" si="29"/>
        <v>0</v>
      </c>
      <c r="R65" s="1">
        <f t="shared" si="29"/>
        <v>0</v>
      </c>
      <c r="S65" s="1">
        <f t="shared" si="29"/>
        <v>1</v>
      </c>
      <c r="T65" s="1">
        <f t="shared" si="29"/>
        <v>1</v>
      </c>
      <c r="U65" s="1">
        <f t="shared" si="29"/>
        <v>1</v>
      </c>
      <c r="V65" s="1">
        <f t="shared" si="29"/>
        <v>0</v>
      </c>
      <c r="W65" s="1">
        <f t="shared" si="29"/>
        <v>0</v>
      </c>
      <c r="X65" s="1">
        <f t="shared" si="29"/>
        <v>1</v>
      </c>
      <c r="Y65" s="1">
        <f t="shared" si="29"/>
        <v>0</v>
      </c>
      <c r="Z65" s="1">
        <f t="shared" si="29"/>
        <v>0</v>
      </c>
      <c r="AA65" s="1">
        <f t="shared" si="29"/>
        <v>0</v>
      </c>
      <c r="AB65" s="1">
        <f t="shared" si="29"/>
        <v>0</v>
      </c>
      <c r="AC65" s="1">
        <f t="shared" si="29"/>
        <v>0</v>
      </c>
      <c r="AD65" s="1">
        <f t="shared" si="29"/>
        <v>0</v>
      </c>
      <c r="AE65" s="1">
        <f t="shared" si="29"/>
        <v>0</v>
      </c>
    </row>
    <row r="66" spans="1:32" x14ac:dyDescent="0.25">
      <c r="A66" s="3" t="s">
        <v>31</v>
      </c>
      <c r="B66" s="1">
        <f t="shared" si="1"/>
        <v>1</v>
      </c>
      <c r="C66" s="1">
        <f t="shared" ref="C66:AE66" si="30">IF(C32&gt;$C$35,1,0)</f>
        <v>1</v>
      </c>
      <c r="D66" s="1">
        <f t="shared" si="30"/>
        <v>0</v>
      </c>
      <c r="E66" s="1">
        <f t="shared" si="30"/>
        <v>0</v>
      </c>
      <c r="F66" s="1">
        <f t="shared" si="30"/>
        <v>1</v>
      </c>
      <c r="G66" s="1">
        <f t="shared" si="30"/>
        <v>1</v>
      </c>
      <c r="H66" s="1">
        <f t="shared" si="30"/>
        <v>1</v>
      </c>
      <c r="I66" s="1">
        <f t="shared" si="30"/>
        <v>1</v>
      </c>
      <c r="J66" s="1">
        <f t="shared" si="30"/>
        <v>0</v>
      </c>
      <c r="K66" s="1">
        <f t="shared" si="30"/>
        <v>1</v>
      </c>
      <c r="L66" s="1">
        <f t="shared" si="30"/>
        <v>1</v>
      </c>
      <c r="M66" s="1">
        <f t="shared" si="30"/>
        <v>1</v>
      </c>
      <c r="N66" s="1">
        <f t="shared" si="30"/>
        <v>0</v>
      </c>
      <c r="O66" s="1">
        <f t="shared" si="30"/>
        <v>0</v>
      </c>
      <c r="P66" s="1">
        <f t="shared" si="30"/>
        <v>1</v>
      </c>
      <c r="Q66" s="1">
        <f t="shared" si="30"/>
        <v>0</v>
      </c>
      <c r="R66" s="1">
        <f t="shared" si="30"/>
        <v>0</v>
      </c>
      <c r="S66" s="1">
        <f t="shared" si="30"/>
        <v>1</v>
      </c>
      <c r="T66" s="1">
        <f t="shared" si="30"/>
        <v>1</v>
      </c>
      <c r="U66" s="1">
        <f t="shared" si="30"/>
        <v>1</v>
      </c>
      <c r="V66" s="1">
        <f t="shared" si="30"/>
        <v>0</v>
      </c>
      <c r="W66" s="1">
        <f t="shared" si="30"/>
        <v>0</v>
      </c>
      <c r="X66" s="1">
        <f t="shared" si="30"/>
        <v>0</v>
      </c>
      <c r="Y66" s="1">
        <f t="shared" si="30"/>
        <v>1</v>
      </c>
      <c r="Z66" s="1">
        <f t="shared" si="30"/>
        <v>1</v>
      </c>
      <c r="AA66" s="1">
        <f t="shared" si="30"/>
        <v>0</v>
      </c>
      <c r="AB66" s="1">
        <f t="shared" si="30"/>
        <v>0</v>
      </c>
      <c r="AC66" s="1">
        <f t="shared" si="30"/>
        <v>0</v>
      </c>
      <c r="AD66" s="1">
        <f t="shared" si="30"/>
        <v>0</v>
      </c>
      <c r="AE66" s="1">
        <f t="shared" si="30"/>
        <v>0</v>
      </c>
    </row>
    <row r="73" spans="1:32" x14ac:dyDescent="0.25">
      <c r="C73" s="3" t="s">
        <v>2</v>
      </c>
      <c r="D73" s="3" t="s">
        <v>3</v>
      </c>
      <c r="E73" s="3" t="s">
        <v>4</v>
      </c>
      <c r="F73" s="3" t="s">
        <v>5</v>
      </c>
      <c r="G73" s="3" t="s">
        <v>6</v>
      </c>
      <c r="H73" s="3" t="s">
        <v>7</v>
      </c>
      <c r="I73" s="3" t="s">
        <v>8</v>
      </c>
      <c r="J73" s="3" t="s">
        <v>9</v>
      </c>
      <c r="K73" s="3" t="s">
        <v>10</v>
      </c>
      <c r="L73" s="3" t="s">
        <v>11</v>
      </c>
      <c r="M73" s="3" t="s">
        <v>12</v>
      </c>
      <c r="N73" s="3" t="s">
        <v>13</v>
      </c>
      <c r="O73" s="3" t="s">
        <v>14</v>
      </c>
      <c r="P73" s="3" t="s">
        <v>15</v>
      </c>
      <c r="Q73" s="3" t="s">
        <v>16</v>
      </c>
      <c r="R73" s="3" t="s">
        <v>17</v>
      </c>
      <c r="S73" s="3" t="s">
        <v>18</v>
      </c>
      <c r="T73" s="3" t="s">
        <v>19</v>
      </c>
      <c r="U73" s="3" t="s">
        <v>20</v>
      </c>
      <c r="V73" s="3" t="s">
        <v>21</v>
      </c>
      <c r="W73" s="3" t="s">
        <v>22</v>
      </c>
      <c r="X73" s="3" t="s">
        <v>23</v>
      </c>
      <c r="Y73" s="3" t="s">
        <v>24</v>
      </c>
      <c r="Z73" s="3" t="s">
        <v>25</v>
      </c>
      <c r="AA73" s="3" t="s">
        <v>26</v>
      </c>
      <c r="AB73" s="3" t="s">
        <v>27</v>
      </c>
      <c r="AC73" s="3" t="s">
        <v>28</v>
      </c>
      <c r="AD73" s="3" t="s">
        <v>29</v>
      </c>
      <c r="AE73" s="3" t="s">
        <v>30</v>
      </c>
      <c r="AF73" s="3" t="s">
        <v>31</v>
      </c>
    </row>
    <row r="74" spans="1:32" x14ac:dyDescent="0.25">
      <c r="A74" s="3" t="s">
        <v>2</v>
      </c>
      <c r="B74" s="1">
        <v>1.7305117641599601</v>
      </c>
    </row>
    <row r="75" spans="1:32" x14ac:dyDescent="0.25">
      <c r="A75" s="3" t="s">
        <v>3</v>
      </c>
      <c r="B75" s="1">
        <v>2.07339439990995</v>
      </c>
      <c r="C75" s="1">
        <f>ABS($B$74-B75)</f>
        <v>0.34288263574999001</v>
      </c>
    </row>
    <row r="76" spans="1:32" x14ac:dyDescent="0.25">
      <c r="A76" s="3" t="s">
        <v>4</v>
      </c>
      <c r="B76" s="1">
        <v>2.4705819466978598</v>
      </c>
      <c r="C76" s="1">
        <f t="shared" ref="C76:C94" si="31">ABS($B$74-B76)</f>
        <v>0.74007018253790002</v>
      </c>
      <c r="D76" s="1">
        <f>ABS($B$75-B76)</f>
        <v>0.39718754678791002</v>
      </c>
    </row>
    <row r="77" spans="1:32" x14ac:dyDescent="0.25">
      <c r="A77" s="3" t="s">
        <v>5</v>
      </c>
      <c r="B77" s="1">
        <v>2.2388007871281399</v>
      </c>
      <c r="C77" s="1">
        <f t="shared" si="31"/>
        <v>0.50828902296818002</v>
      </c>
      <c r="D77" s="1">
        <f t="shared" ref="D77:D103" si="32">ABS($B$75-B77)</f>
        <v>0.16540638721819001</v>
      </c>
      <c r="E77" s="1">
        <f>ABS($B$76-B77)</f>
        <v>0.23178115956972001</v>
      </c>
    </row>
    <row r="78" spans="1:32" x14ac:dyDescent="0.25">
      <c r="A78" s="3" t="s">
        <v>6</v>
      </c>
      <c r="B78" s="1">
        <v>2.0795481289715201</v>
      </c>
      <c r="C78" s="1">
        <f t="shared" si="31"/>
        <v>0.34903636481155997</v>
      </c>
      <c r="D78" s="1">
        <f t="shared" si="32"/>
        <v>6.1537290615700799E-3</v>
      </c>
      <c r="E78" s="1">
        <f t="shared" ref="E78:E103" si="33">ABS($B$76-B78)</f>
        <v>0.39103381772633999</v>
      </c>
      <c r="F78" s="1">
        <f>ABS($B$77-B78)</f>
        <v>0.15925265815661999</v>
      </c>
    </row>
    <row r="79" spans="1:32" x14ac:dyDescent="0.25">
      <c r="A79" s="3" t="s">
        <v>7</v>
      </c>
      <c r="B79" s="1">
        <v>1.7078087958799999</v>
      </c>
      <c r="C79" s="1">
        <f t="shared" si="31"/>
        <v>2.2702968279960201E-2</v>
      </c>
      <c r="D79" s="1">
        <f t="shared" si="32"/>
        <v>0.36558560402995</v>
      </c>
      <c r="E79" s="1">
        <f t="shared" si="33"/>
        <v>0.76277315081786001</v>
      </c>
      <c r="F79" s="1">
        <f t="shared" ref="F79:F103" si="34">ABS($B$77-B79)</f>
        <v>0.53099199124814001</v>
      </c>
      <c r="G79" s="1">
        <f>ABS($B$78-B79)</f>
        <v>0.37173933309152002</v>
      </c>
    </row>
    <row r="80" spans="1:32" x14ac:dyDescent="0.25">
      <c r="A80" s="3" t="s">
        <v>8</v>
      </c>
      <c r="B80" s="1">
        <v>1.95160090204563</v>
      </c>
      <c r="C80" s="1">
        <f t="shared" si="31"/>
        <v>0.22108913788567</v>
      </c>
      <c r="D80" s="1">
        <f t="shared" si="32"/>
        <v>0.12179349786432001</v>
      </c>
      <c r="E80" s="1">
        <f t="shared" si="33"/>
        <v>0.51898104465223005</v>
      </c>
      <c r="F80" s="1">
        <f t="shared" si="34"/>
        <v>0.28719988508250999</v>
      </c>
      <c r="G80" s="1">
        <f t="shared" ref="G80:G103" si="35">ABS($B$78-B80)</f>
        <v>0.12794722692589</v>
      </c>
      <c r="H80" s="1">
        <f>ABS($B$79-B80)</f>
        <v>0.24379210616562999</v>
      </c>
    </row>
    <row r="81" spans="1:24" x14ac:dyDescent="0.25">
      <c r="A81" s="3" t="s">
        <v>9</v>
      </c>
      <c r="B81" s="1">
        <v>1.6750098107362501</v>
      </c>
      <c r="C81" s="1">
        <f t="shared" si="31"/>
        <v>5.5501953423709997E-2</v>
      </c>
      <c r="D81" s="1">
        <f t="shared" si="32"/>
        <v>0.39838458917370001</v>
      </c>
      <c r="E81" s="1">
        <f t="shared" si="33"/>
        <v>0.79557213596161003</v>
      </c>
      <c r="F81" s="1">
        <f t="shared" si="34"/>
        <v>0.56379097639189002</v>
      </c>
      <c r="G81" s="1">
        <f t="shared" si="35"/>
        <v>0.40453831823526998</v>
      </c>
      <c r="H81" s="1">
        <f t="shared" ref="H81:H103" si="36">ABS($B$79-B81)</f>
        <v>3.27989851437498E-2</v>
      </c>
      <c r="I81" s="1">
        <f>ABS($B$80-B81)</f>
        <v>0.27659109130937998</v>
      </c>
    </row>
    <row r="82" spans="1:24" x14ac:dyDescent="0.25">
      <c r="A82" s="3" t="s">
        <v>10</v>
      </c>
      <c r="B82" s="1">
        <v>2.2608810448111298</v>
      </c>
      <c r="C82" s="1">
        <f t="shared" si="31"/>
        <v>0.53036928065116995</v>
      </c>
      <c r="D82" s="1">
        <f t="shared" si="32"/>
        <v>0.18748664490118</v>
      </c>
      <c r="E82" s="1">
        <f t="shared" si="33"/>
        <v>0.20970090188672999</v>
      </c>
      <c r="F82" s="1">
        <f t="shared" si="34"/>
        <v>2.20802576829899E-2</v>
      </c>
      <c r="G82" s="1">
        <f t="shared" si="35"/>
        <v>0.18133291583961</v>
      </c>
      <c r="H82" s="1">
        <f t="shared" si="36"/>
        <v>0.55307224893113005</v>
      </c>
      <c r="I82" s="1">
        <f t="shared" ref="I82:I103" si="37">ABS($B$80-B82)</f>
        <v>0.30928014276549998</v>
      </c>
      <c r="J82" s="1">
        <f>ABS($B$81-B82)</f>
        <v>0.58587123407487995</v>
      </c>
    </row>
    <row r="83" spans="1:24" x14ac:dyDescent="0.25">
      <c r="A83" s="3" t="s">
        <v>11</v>
      </c>
      <c r="B83" s="1">
        <v>1.77216981850102</v>
      </c>
      <c r="C83" s="1">
        <f t="shared" si="31"/>
        <v>4.1658054341059798E-2</v>
      </c>
      <c r="D83" s="1">
        <f t="shared" si="32"/>
        <v>0.30122458140892999</v>
      </c>
      <c r="E83" s="1">
        <f t="shared" si="33"/>
        <v>0.69841212819683995</v>
      </c>
      <c r="F83" s="1">
        <f t="shared" si="34"/>
        <v>0.46663096862712</v>
      </c>
      <c r="G83" s="1">
        <f t="shared" si="35"/>
        <v>0.30737831047050002</v>
      </c>
      <c r="H83" s="1">
        <f t="shared" si="36"/>
        <v>6.43610226210201E-2</v>
      </c>
      <c r="I83" s="1">
        <f t="shared" si="37"/>
        <v>0.17943108354460999</v>
      </c>
      <c r="J83" s="1">
        <f t="shared" ref="J83:J103" si="38">ABS($B$81-B83)</f>
        <v>9.7160007764769907E-2</v>
      </c>
      <c r="K83" s="1">
        <f>ABS($B$82-B83)</f>
        <v>0.48871122631010999</v>
      </c>
    </row>
    <row r="84" spans="1:24" x14ac:dyDescent="0.25">
      <c r="A84" s="3" t="s">
        <v>12</v>
      </c>
      <c r="B84" s="1">
        <v>1.89044755438548</v>
      </c>
      <c r="C84" s="1">
        <f t="shared" si="31"/>
        <v>0.15993579022552001</v>
      </c>
      <c r="D84" s="1">
        <f t="shared" si="32"/>
        <v>0.18294684552446999</v>
      </c>
      <c r="E84" s="1">
        <f t="shared" si="33"/>
        <v>0.58013439231237995</v>
      </c>
      <c r="F84" s="1">
        <f t="shared" si="34"/>
        <v>0.34835323274266</v>
      </c>
      <c r="G84" s="1">
        <f t="shared" si="35"/>
        <v>0.18910057458603999</v>
      </c>
      <c r="H84" s="1">
        <f t="shared" si="36"/>
        <v>0.18263875850548</v>
      </c>
      <c r="I84" s="1">
        <f t="shared" si="37"/>
        <v>6.1153347660150001E-2</v>
      </c>
      <c r="J84" s="1">
        <f t="shared" si="38"/>
        <v>0.21543774364922999</v>
      </c>
      <c r="K84" s="1">
        <f t="shared" ref="K84:K103" si="39">ABS($B$82-B84)</f>
        <v>0.37043349042564999</v>
      </c>
      <c r="L84" s="1">
        <f>ABS($B$83-B84)</f>
        <v>0.11827773588446</v>
      </c>
    </row>
    <row r="85" spans="1:24" x14ac:dyDescent="0.25">
      <c r="A85" s="3" t="s">
        <v>13</v>
      </c>
      <c r="B85" s="1">
        <v>1.9587455197132599</v>
      </c>
      <c r="C85" s="1">
        <f t="shared" si="31"/>
        <v>0.2282337555533</v>
      </c>
      <c r="D85" s="1">
        <f t="shared" si="32"/>
        <v>0.11464888019669001</v>
      </c>
      <c r="E85" s="1">
        <f t="shared" si="33"/>
        <v>0.51183642698459997</v>
      </c>
      <c r="F85" s="1">
        <f t="shared" si="34"/>
        <v>0.28005526741488002</v>
      </c>
      <c r="G85" s="1">
        <f t="shared" si="35"/>
        <v>0.12080260925826</v>
      </c>
      <c r="H85" s="1">
        <f t="shared" si="36"/>
        <v>0.25093672383325999</v>
      </c>
      <c r="I85" s="1">
        <f t="shared" si="37"/>
        <v>7.1446176676299702E-3</v>
      </c>
      <c r="J85" s="1">
        <f t="shared" si="38"/>
        <v>0.28373570897701</v>
      </c>
      <c r="K85" s="1">
        <f t="shared" si="39"/>
        <v>0.30213552509787001</v>
      </c>
      <c r="L85" s="1">
        <f t="shared" ref="L85:L103" si="40">ABS($B$83-B85)</f>
        <v>0.18657570121224001</v>
      </c>
      <c r="M85" s="1">
        <f>ABS($B$84-B85)</f>
        <v>6.829796532778E-2</v>
      </c>
    </row>
    <row r="86" spans="1:24" x14ac:dyDescent="0.25">
      <c r="A86" s="3" t="s">
        <v>14</v>
      </c>
      <c r="B86" s="1">
        <v>2.10742137345804</v>
      </c>
      <c r="C86" s="1">
        <f t="shared" si="31"/>
        <v>0.37690960929807998</v>
      </c>
      <c r="D86" s="1">
        <f t="shared" si="32"/>
        <v>3.4026973548089999E-2</v>
      </c>
      <c r="E86" s="1">
        <f t="shared" si="33"/>
        <v>0.36316057323981998</v>
      </c>
      <c r="F86" s="1">
        <f t="shared" si="34"/>
        <v>0.1313794136701</v>
      </c>
      <c r="G86" s="1">
        <f t="shared" si="35"/>
        <v>2.787324448652E-2</v>
      </c>
      <c r="H86" s="1">
        <f t="shared" si="36"/>
        <v>0.39961257757803997</v>
      </c>
      <c r="I86" s="1">
        <f t="shared" si="37"/>
        <v>0.15582047141241001</v>
      </c>
      <c r="J86" s="1">
        <f t="shared" si="38"/>
        <v>0.43241156272178999</v>
      </c>
      <c r="K86" s="1">
        <f t="shared" si="39"/>
        <v>0.15345967135308999</v>
      </c>
      <c r="L86" s="1">
        <f t="shared" si="40"/>
        <v>0.33525155495702003</v>
      </c>
      <c r="M86" s="1">
        <f t="shared" ref="M86:M103" si="41">ABS($B$84-B86)</f>
        <v>0.21697381907256</v>
      </c>
      <c r="N86" s="1">
        <f>ABS($B$85-B86)</f>
        <v>0.14867585374478001</v>
      </c>
    </row>
    <row r="87" spans="1:24" x14ac:dyDescent="0.25">
      <c r="A87" s="3" t="s">
        <v>15</v>
      </c>
      <c r="B87" s="1">
        <v>2.4147415307495002</v>
      </c>
      <c r="C87" s="1">
        <f t="shared" si="31"/>
        <v>0.68422976658954004</v>
      </c>
      <c r="D87" s="1">
        <f t="shared" si="32"/>
        <v>0.34134713083954998</v>
      </c>
      <c r="E87" s="1">
        <f t="shared" si="33"/>
        <v>5.5840415948359597E-2</v>
      </c>
      <c r="F87" s="1">
        <f t="shared" si="34"/>
        <v>0.17594074362136</v>
      </c>
      <c r="G87" s="1">
        <f t="shared" si="35"/>
        <v>0.33519340177798002</v>
      </c>
      <c r="H87" s="1">
        <f t="shared" si="36"/>
        <v>0.70693273486950003</v>
      </c>
      <c r="I87" s="1">
        <f t="shared" si="37"/>
        <v>0.46314062870387002</v>
      </c>
      <c r="J87" s="1">
        <f t="shared" si="38"/>
        <v>0.73973172001325005</v>
      </c>
      <c r="K87" s="1">
        <f t="shared" si="39"/>
        <v>0.15386048593837001</v>
      </c>
      <c r="L87" s="1">
        <f t="shared" si="40"/>
        <v>0.64257171224847998</v>
      </c>
      <c r="M87" s="1">
        <f t="shared" si="41"/>
        <v>0.52429397636401998</v>
      </c>
      <c r="N87" s="1">
        <f t="shared" ref="N87:N103" si="42">ABS($B$85-B87)</f>
        <v>0.45599601103623999</v>
      </c>
      <c r="O87" s="1">
        <f>ABS($B$86-B87)</f>
        <v>0.30732015729146001</v>
      </c>
    </row>
    <row r="88" spans="1:24" x14ac:dyDescent="0.25">
      <c r="A88" s="3" t="s">
        <v>16</v>
      </c>
      <c r="B88" s="1">
        <v>2.0602995733634701</v>
      </c>
      <c r="C88" s="1">
        <f t="shared" si="31"/>
        <v>0.32978780920350997</v>
      </c>
      <c r="D88" s="1">
        <f t="shared" si="32"/>
        <v>1.30948265464799E-2</v>
      </c>
      <c r="E88" s="1">
        <f t="shared" si="33"/>
        <v>0.41028237333438999</v>
      </c>
      <c r="F88" s="1">
        <f t="shared" si="34"/>
        <v>0.17850121376467001</v>
      </c>
      <c r="G88" s="1">
        <f t="shared" si="35"/>
        <v>1.9248555608049899E-2</v>
      </c>
      <c r="H88" s="1">
        <f t="shared" si="36"/>
        <v>0.35249077748347002</v>
      </c>
      <c r="I88" s="1">
        <f t="shared" si="37"/>
        <v>0.10869867131784</v>
      </c>
      <c r="J88" s="1">
        <f t="shared" si="38"/>
        <v>0.38528976262721998</v>
      </c>
      <c r="K88" s="1">
        <f t="shared" si="39"/>
        <v>0.20058147144766</v>
      </c>
      <c r="L88" s="1">
        <f t="shared" si="40"/>
        <v>0.28812975486245002</v>
      </c>
      <c r="M88" s="1">
        <f t="shared" si="41"/>
        <v>0.16985201897798999</v>
      </c>
      <c r="N88" s="1">
        <f t="shared" si="42"/>
        <v>0.10155405365021</v>
      </c>
      <c r="O88" s="1">
        <f t="shared" ref="O88:O103" si="43">ABS($B$86-B88)</f>
        <v>4.7121800094569899E-2</v>
      </c>
      <c r="P88" s="1">
        <f>ABS($B$87-B88)</f>
        <v>0.35444195738603002</v>
      </c>
    </row>
    <row r="89" spans="1:24" x14ac:dyDescent="0.25">
      <c r="A89" s="3" t="s">
        <v>17</v>
      </c>
      <c r="B89" s="1">
        <v>2.2288666321747699</v>
      </c>
      <c r="C89" s="1">
        <f t="shared" si="31"/>
        <v>0.49835486801480999</v>
      </c>
      <c r="D89" s="1">
        <f t="shared" si="32"/>
        <v>0.15547223226481999</v>
      </c>
      <c r="E89" s="1">
        <f t="shared" si="33"/>
        <v>0.24171531452309</v>
      </c>
      <c r="F89" s="1">
        <f t="shared" si="34"/>
        <v>9.9341549533700207E-3</v>
      </c>
      <c r="G89" s="1">
        <f t="shared" si="35"/>
        <v>0.14931850320324999</v>
      </c>
      <c r="H89" s="1">
        <f t="shared" si="36"/>
        <v>0.52105783629476998</v>
      </c>
      <c r="I89" s="1">
        <f t="shared" si="37"/>
        <v>0.27726573012914002</v>
      </c>
      <c r="J89" s="1">
        <f t="shared" si="38"/>
        <v>0.55385682143852</v>
      </c>
      <c r="K89" s="1">
        <f t="shared" si="39"/>
        <v>3.2014412636359998E-2</v>
      </c>
      <c r="L89" s="1">
        <f t="shared" si="40"/>
        <v>0.45669681367374998</v>
      </c>
      <c r="M89" s="1">
        <f t="shared" si="41"/>
        <v>0.33841907778928998</v>
      </c>
      <c r="N89" s="1">
        <f t="shared" si="42"/>
        <v>0.27012111246150999</v>
      </c>
      <c r="O89" s="1">
        <f t="shared" si="43"/>
        <v>0.12144525871673</v>
      </c>
      <c r="P89" s="1">
        <f t="shared" ref="P89:P103" si="44">ABS($B$87-B89)</f>
        <v>0.18587489857473</v>
      </c>
      <c r="Q89" s="1">
        <f>ABS($B$88-B89)</f>
        <v>0.16856705881129999</v>
      </c>
    </row>
    <row r="90" spans="1:24" x14ac:dyDescent="0.25">
      <c r="A90" s="3" t="s">
        <v>18</v>
      </c>
      <c r="B90" s="1">
        <v>2.2236974002091401</v>
      </c>
      <c r="C90" s="1">
        <f t="shared" si="31"/>
        <v>0.49318563604917998</v>
      </c>
      <c r="D90" s="1">
        <f t="shared" si="32"/>
        <v>0.15030300029919</v>
      </c>
      <c r="E90" s="1">
        <f t="shared" si="33"/>
        <v>0.24688454648871999</v>
      </c>
      <c r="F90" s="1">
        <f t="shared" si="34"/>
        <v>1.51033869189998E-2</v>
      </c>
      <c r="G90" s="1">
        <f t="shared" si="35"/>
        <v>0.14414927123762</v>
      </c>
      <c r="H90" s="1">
        <f t="shared" si="36"/>
        <v>0.51588860432913997</v>
      </c>
      <c r="I90" s="1">
        <f t="shared" si="37"/>
        <v>0.27209649816351</v>
      </c>
      <c r="J90" s="1">
        <f t="shared" si="38"/>
        <v>0.54868758947288998</v>
      </c>
      <c r="K90" s="1">
        <f t="shared" si="39"/>
        <v>3.71836446019898E-2</v>
      </c>
      <c r="L90" s="1">
        <f t="shared" si="40"/>
        <v>0.45152758170812002</v>
      </c>
      <c r="M90" s="1">
        <f t="shared" si="41"/>
        <v>0.33324984582366002</v>
      </c>
      <c r="N90" s="1">
        <f t="shared" si="42"/>
        <v>0.26495188049587998</v>
      </c>
      <c r="O90" s="1">
        <f t="shared" si="43"/>
        <v>0.11627602675110001</v>
      </c>
      <c r="P90" s="1">
        <f t="shared" si="44"/>
        <v>0.19104413054036001</v>
      </c>
      <c r="Q90" s="1">
        <f t="shared" ref="Q90:Q103" si="45">ABS($B$88-B90)</f>
        <v>0.16339782684567</v>
      </c>
      <c r="R90" s="1">
        <f>ABS($B$89-B90)</f>
        <v>5.1692319656297904E-3</v>
      </c>
    </row>
    <row r="91" spans="1:24" x14ac:dyDescent="0.25">
      <c r="A91" s="3" t="s">
        <v>19</v>
      </c>
      <c r="B91" s="1">
        <v>1.71543858937766</v>
      </c>
      <c r="C91" s="1">
        <f t="shared" si="31"/>
        <v>1.50731747823001E-2</v>
      </c>
      <c r="D91" s="1">
        <f t="shared" si="32"/>
        <v>0.35795581053228998</v>
      </c>
      <c r="E91" s="1">
        <f t="shared" si="33"/>
        <v>0.75514335732019999</v>
      </c>
      <c r="F91" s="1">
        <f t="shared" si="34"/>
        <v>0.52336219775047998</v>
      </c>
      <c r="G91" s="1">
        <f t="shared" si="35"/>
        <v>0.36410953959386</v>
      </c>
      <c r="H91" s="1">
        <f t="shared" si="36"/>
        <v>7.6297934976601303E-3</v>
      </c>
      <c r="I91" s="1">
        <f t="shared" si="37"/>
        <v>0.23616231266797</v>
      </c>
      <c r="J91" s="1">
        <f t="shared" si="38"/>
        <v>4.0428778641409903E-2</v>
      </c>
      <c r="K91" s="1">
        <f t="shared" si="39"/>
        <v>0.54544245543347003</v>
      </c>
      <c r="L91" s="1">
        <f t="shared" si="40"/>
        <v>5.67312291233599E-2</v>
      </c>
      <c r="M91" s="1">
        <f t="shared" si="41"/>
        <v>0.17500896500782001</v>
      </c>
      <c r="N91" s="1">
        <f t="shared" si="42"/>
        <v>0.2433069303356</v>
      </c>
      <c r="O91" s="1">
        <f t="shared" si="43"/>
        <v>0.39198278408038001</v>
      </c>
      <c r="P91" s="1">
        <f t="shared" si="44"/>
        <v>0.69930294137184001</v>
      </c>
      <c r="Q91" s="1">
        <f t="shared" si="45"/>
        <v>0.34486098398581</v>
      </c>
      <c r="R91" s="1">
        <f t="shared" ref="R91:R103" si="46">ABS($B$89-B91)</f>
        <v>0.51342804279710996</v>
      </c>
      <c r="S91" s="1">
        <f>ABS($B$90-B91)</f>
        <v>0.50825881083147995</v>
      </c>
    </row>
    <row r="92" spans="1:24" x14ac:dyDescent="0.25">
      <c r="A92" s="3" t="s">
        <v>20</v>
      </c>
      <c r="B92" s="1">
        <v>1.5908452118048599</v>
      </c>
      <c r="C92" s="1">
        <f t="shared" si="31"/>
        <v>0.1396665523551</v>
      </c>
      <c r="D92" s="1">
        <f t="shared" si="32"/>
        <v>0.48254918810509001</v>
      </c>
      <c r="E92" s="1">
        <f t="shared" si="33"/>
        <v>0.87973673489299997</v>
      </c>
      <c r="F92" s="1">
        <f t="shared" si="34"/>
        <v>0.64795557532327996</v>
      </c>
      <c r="G92" s="1">
        <f t="shared" si="35"/>
        <v>0.48870291716665998</v>
      </c>
      <c r="H92" s="1">
        <f t="shared" si="36"/>
        <v>0.11696358407514</v>
      </c>
      <c r="I92" s="1">
        <f t="shared" si="37"/>
        <v>0.36075569024076998</v>
      </c>
      <c r="J92" s="1">
        <f t="shared" si="38"/>
        <v>8.4164598931390194E-2</v>
      </c>
      <c r="K92" s="1">
        <f t="shared" si="39"/>
        <v>0.67003583300627001</v>
      </c>
      <c r="L92" s="1">
        <f t="shared" si="40"/>
        <v>0.18132460669615999</v>
      </c>
      <c r="M92" s="1">
        <f t="shared" si="41"/>
        <v>0.29960234258062002</v>
      </c>
      <c r="N92" s="1">
        <f t="shared" si="42"/>
        <v>0.3679003079084</v>
      </c>
      <c r="O92" s="1">
        <f t="shared" si="43"/>
        <v>0.51657616165317999</v>
      </c>
      <c r="P92" s="1">
        <f t="shared" si="44"/>
        <v>0.82389631894463999</v>
      </c>
      <c r="Q92" s="1">
        <f t="shared" si="45"/>
        <v>0.46945436155860998</v>
      </c>
      <c r="R92" s="1">
        <f t="shared" si="46"/>
        <v>0.63802142036991005</v>
      </c>
      <c r="S92" s="1">
        <f t="shared" ref="S92:S103" si="47">ABS($B$90-B92)</f>
        <v>0.63285218840428004</v>
      </c>
      <c r="T92" s="1">
        <f>ABS($B$91-B92)</f>
        <v>0.12459337757279999</v>
      </c>
    </row>
    <row r="93" spans="1:24" x14ac:dyDescent="0.25">
      <c r="A93" s="3" t="s">
        <v>21</v>
      </c>
      <c r="B93" s="1">
        <v>1.5939720511605899</v>
      </c>
      <c r="C93" s="1">
        <f t="shared" si="31"/>
        <v>0.13653971299937001</v>
      </c>
      <c r="D93" s="1">
        <f t="shared" si="32"/>
        <v>0.47942234874936002</v>
      </c>
      <c r="E93" s="1">
        <f t="shared" si="33"/>
        <v>0.87660989553726998</v>
      </c>
      <c r="F93" s="1">
        <f t="shared" si="34"/>
        <v>0.64482873596754997</v>
      </c>
      <c r="G93" s="1">
        <f t="shared" si="35"/>
        <v>0.48557607781092998</v>
      </c>
      <c r="H93" s="1">
        <f t="shared" si="36"/>
        <v>0.11383674471940999</v>
      </c>
      <c r="I93" s="1">
        <f t="shared" si="37"/>
        <v>0.35762885088503998</v>
      </c>
      <c r="J93" s="1">
        <f t="shared" si="38"/>
        <v>8.1037759575660201E-2</v>
      </c>
      <c r="K93" s="1">
        <f t="shared" si="39"/>
        <v>0.66690899365054002</v>
      </c>
      <c r="L93" s="1">
        <f t="shared" si="40"/>
        <v>0.17819776734043</v>
      </c>
      <c r="M93" s="1">
        <f t="shared" si="41"/>
        <v>0.29647550322489002</v>
      </c>
      <c r="N93" s="1">
        <f t="shared" si="42"/>
        <v>0.36477346855267001</v>
      </c>
      <c r="O93" s="1">
        <f t="shared" si="43"/>
        <v>0.51344932229744999</v>
      </c>
      <c r="P93" s="1">
        <f t="shared" si="44"/>
        <v>0.82076947958891</v>
      </c>
      <c r="Q93" s="1">
        <f t="shared" si="45"/>
        <v>0.46632752220287998</v>
      </c>
      <c r="R93" s="1">
        <f t="shared" si="46"/>
        <v>0.63489458101417995</v>
      </c>
      <c r="S93" s="1">
        <f t="shared" si="47"/>
        <v>0.62972534904855004</v>
      </c>
      <c r="T93" s="1">
        <f t="shared" ref="T93:T103" si="48">ABS($B$91-B93)</f>
        <v>0.12146653821707</v>
      </c>
      <c r="U93" s="1">
        <f>ABS($B$92-B93)</f>
        <v>3.1268393557299899E-3</v>
      </c>
    </row>
    <row r="94" spans="1:24" x14ac:dyDescent="0.25">
      <c r="A94" s="3" t="s">
        <v>22</v>
      </c>
      <c r="B94" s="1">
        <v>2.2055490904636499</v>
      </c>
      <c r="C94" s="1">
        <f t="shared" si="31"/>
        <v>0.47503732630369</v>
      </c>
      <c r="D94" s="1">
        <f t="shared" si="32"/>
        <v>0.13215469055369999</v>
      </c>
      <c r="E94" s="1">
        <f t="shared" si="33"/>
        <v>0.26503285623421002</v>
      </c>
      <c r="F94" s="1">
        <f t="shared" si="34"/>
        <v>3.3251696664490002E-2</v>
      </c>
      <c r="G94" s="1">
        <f t="shared" si="35"/>
        <v>0.12600096149213</v>
      </c>
      <c r="H94" s="1">
        <f t="shared" si="36"/>
        <v>0.49774029458364999</v>
      </c>
      <c r="I94" s="1">
        <f t="shared" si="37"/>
        <v>0.25394818841802003</v>
      </c>
      <c r="J94" s="1">
        <f t="shared" si="38"/>
        <v>0.5305392797274</v>
      </c>
      <c r="K94" s="1">
        <f t="shared" si="39"/>
        <v>5.5331954347479999E-2</v>
      </c>
      <c r="L94" s="1">
        <f t="shared" si="40"/>
        <v>0.43337927196262999</v>
      </c>
      <c r="M94" s="1">
        <f t="shared" si="41"/>
        <v>0.31510153607816999</v>
      </c>
      <c r="N94" s="1">
        <f t="shared" si="42"/>
        <v>0.24680357075039</v>
      </c>
      <c r="O94" s="1">
        <f t="shared" si="43"/>
        <v>9.8127717005609794E-2</v>
      </c>
      <c r="P94" s="1">
        <f t="shared" si="44"/>
        <v>0.20919244028584999</v>
      </c>
      <c r="Q94" s="1">
        <f t="shared" si="45"/>
        <v>0.14524951710018</v>
      </c>
      <c r="R94" s="1">
        <f t="shared" si="46"/>
        <v>2.331754171112E-2</v>
      </c>
      <c r="S94" s="1">
        <f t="shared" si="47"/>
        <v>1.8148309745490199E-2</v>
      </c>
      <c r="T94" s="1">
        <f t="shared" si="48"/>
        <v>0.49011050108599002</v>
      </c>
      <c r="U94" s="1">
        <f t="shared" ref="U94:U103" si="49">ABS($B$92-B94)</f>
        <v>0.61470387865878995</v>
      </c>
      <c r="V94" s="1">
        <f>ABS($B$93-B94)</f>
        <v>0.61157703930305995</v>
      </c>
    </row>
    <row r="95" spans="1:24" x14ac:dyDescent="0.25">
      <c r="A95" s="3" t="s">
        <v>23</v>
      </c>
      <c r="B95" s="1">
        <v>2.26305547233923</v>
      </c>
      <c r="C95" s="1">
        <f t="shared" ref="C95:C103" si="50">ABS($B$74-B95)</f>
        <v>0.53254370817926999</v>
      </c>
      <c r="D95" s="1">
        <f t="shared" si="32"/>
        <v>0.18966107242927999</v>
      </c>
      <c r="E95" s="1">
        <f t="shared" si="33"/>
        <v>0.20752647435863</v>
      </c>
      <c r="F95" s="1">
        <f t="shared" si="34"/>
        <v>2.4254685211090098E-2</v>
      </c>
      <c r="G95" s="1">
        <f t="shared" si="35"/>
        <v>0.18350734336770999</v>
      </c>
      <c r="H95" s="1">
        <f t="shared" si="36"/>
        <v>0.55524667645922998</v>
      </c>
      <c r="I95" s="1">
        <f t="shared" si="37"/>
        <v>0.31145457029360002</v>
      </c>
      <c r="J95" s="1">
        <f t="shared" si="38"/>
        <v>0.58804566160298</v>
      </c>
      <c r="K95" s="1">
        <f t="shared" si="39"/>
        <v>2.17442752810015E-3</v>
      </c>
      <c r="L95" s="1">
        <f t="shared" si="40"/>
        <v>0.49088565383820998</v>
      </c>
      <c r="M95" s="1">
        <f t="shared" si="41"/>
        <v>0.37260791795374998</v>
      </c>
      <c r="N95" s="1">
        <f t="shared" si="42"/>
        <v>0.30430995262596999</v>
      </c>
      <c r="O95" s="1">
        <f t="shared" si="43"/>
        <v>0.15563409888119001</v>
      </c>
      <c r="P95" s="1">
        <f t="shared" si="44"/>
        <v>0.15168605841027</v>
      </c>
      <c r="Q95" s="1">
        <f t="shared" si="45"/>
        <v>0.20275589897575999</v>
      </c>
      <c r="R95" s="1">
        <f t="shared" si="46"/>
        <v>3.4188840164460103E-2</v>
      </c>
      <c r="S95" s="1">
        <f t="shared" si="47"/>
        <v>3.9358072130089898E-2</v>
      </c>
      <c r="T95" s="1">
        <f t="shared" si="48"/>
        <v>0.54761688296156996</v>
      </c>
      <c r="U95" s="1">
        <f t="shared" si="49"/>
        <v>0.67221026053437005</v>
      </c>
      <c r="V95" s="1">
        <f t="shared" ref="V95:V103" si="51">ABS($B$93-B95)</f>
        <v>0.66908342117863995</v>
      </c>
      <c r="W95" s="1">
        <f>ABS($B$94-B95)</f>
        <v>5.7506381875580097E-2</v>
      </c>
    </row>
    <row r="96" spans="1:24" x14ac:dyDescent="0.25">
      <c r="A96" s="3" t="s">
        <v>24</v>
      </c>
      <c r="B96" s="1">
        <v>2.52784166967544</v>
      </c>
      <c r="C96" s="1">
        <f t="shared" si="50"/>
        <v>0.79732990551548</v>
      </c>
      <c r="D96" s="1">
        <f t="shared" si="32"/>
        <v>0.45444726976548999</v>
      </c>
      <c r="E96" s="1">
        <f t="shared" si="33"/>
        <v>5.7259722977580203E-2</v>
      </c>
      <c r="F96" s="1">
        <f t="shared" si="34"/>
        <v>0.28904088254729998</v>
      </c>
      <c r="G96" s="1">
        <f t="shared" si="35"/>
        <v>0.44829354070392002</v>
      </c>
      <c r="H96" s="1">
        <f t="shared" si="36"/>
        <v>0.82003287379543999</v>
      </c>
      <c r="I96" s="1">
        <f t="shared" si="37"/>
        <v>0.57624076762981002</v>
      </c>
      <c r="J96" s="1">
        <f t="shared" si="38"/>
        <v>0.85283185893919</v>
      </c>
      <c r="K96" s="1">
        <f t="shared" si="39"/>
        <v>0.26696062486430999</v>
      </c>
      <c r="L96" s="1">
        <f t="shared" si="40"/>
        <v>0.75567185117442004</v>
      </c>
      <c r="M96" s="1">
        <f t="shared" si="41"/>
        <v>0.63739411528996004</v>
      </c>
      <c r="N96" s="1">
        <f t="shared" si="42"/>
        <v>0.56909614996218005</v>
      </c>
      <c r="O96" s="1">
        <f t="shared" si="43"/>
        <v>0.42042029621740001</v>
      </c>
      <c r="P96" s="1">
        <f t="shared" si="44"/>
        <v>0.11310013892593999</v>
      </c>
      <c r="Q96" s="1">
        <f t="shared" si="45"/>
        <v>0.46754209631197002</v>
      </c>
      <c r="R96" s="1">
        <f t="shared" si="46"/>
        <v>0.29897503750067</v>
      </c>
      <c r="S96" s="1">
        <f t="shared" si="47"/>
        <v>0.30414426946630002</v>
      </c>
      <c r="T96" s="1">
        <f t="shared" si="48"/>
        <v>0.81240308029777997</v>
      </c>
      <c r="U96" s="1">
        <f t="shared" si="49"/>
        <v>0.93699645787057995</v>
      </c>
      <c r="V96" s="1">
        <f t="shared" si="51"/>
        <v>0.93386961851484995</v>
      </c>
      <c r="W96" s="1">
        <f t="shared" ref="W96:W103" si="52">ABS($B$94-B96)</f>
        <v>0.32229257921179</v>
      </c>
      <c r="X96" s="1">
        <f>ABS($B$95-B96)</f>
        <v>0.26478619733621001</v>
      </c>
    </row>
    <row r="97" spans="1:31" x14ac:dyDescent="0.25">
      <c r="A97" s="3" t="s">
        <v>25</v>
      </c>
      <c r="B97" s="1">
        <v>1.9109301437841999</v>
      </c>
      <c r="C97" s="1">
        <f t="shared" si="50"/>
        <v>0.18041837962424001</v>
      </c>
      <c r="D97" s="1">
        <f t="shared" si="32"/>
        <v>0.16246425612575</v>
      </c>
      <c r="E97" s="1">
        <f t="shared" si="33"/>
        <v>0.55965180291366001</v>
      </c>
      <c r="F97" s="1">
        <f t="shared" si="34"/>
        <v>0.32787064334394</v>
      </c>
      <c r="G97" s="1">
        <f t="shared" si="35"/>
        <v>0.16861798518731999</v>
      </c>
      <c r="H97" s="1">
        <f t="shared" si="36"/>
        <v>0.2031213479042</v>
      </c>
      <c r="I97" s="1">
        <f t="shared" si="37"/>
        <v>4.0670758261430101E-2</v>
      </c>
      <c r="J97" s="1">
        <f t="shared" si="38"/>
        <v>0.23592033304794999</v>
      </c>
      <c r="K97" s="1">
        <f t="shared" si="39"/>
        <v>0.34995090102692999</v>
      </c>
      <c r="L97" s="1">
        <f t="shared" si="40"/>
        <v>0.13876032528318</v>
      </c>
      <c r="M97" s="1">
        <f t="shared" si="41"/>
        <v>2.04825893987199E-2</v>
      </c>
      <c r="N97" s="1">
        <f t="shared" si="42"/>
        <v>4.7815375929060003E-2</v>
      </c>
      <c r="O97" s="1">
        <f t="shared" si="43"/>
        <v>0.19649122967384</v>
      </c>
      <c r="P97" s="1">
        <f t="shared" si="44"/>
        <v>0.50381138696530003</v>
      </c>
      <c r="Q97" s="1">
        <f t="shared" si="45"/>
        <v>0.14936942957926999</v>
      </c>
      <c r="R97" s="1">
        <f t="shared" si="46"/>
        <v>0.31793648839056998</v>
      </c>
      <c r="S97" s="1">
        <f t="shared" si="47"/>
        <v>0.31276725642494002</v>
      </c>
      <c r="T97" s="1">
        <f t="shared" si="48"/>
        <v>0.19549155440654001</v>
      </c>
      <c r="U97" s="1">
        <f t="shared" si="49"/>
        <v>0.32008493197934001</v>
      </c>
      <c r="V97" s="1">
        <f t="shared" si="51"/>
        <v>0.31695809262361002</v>
      </c>
      <c r="W97" s="1">
        <f t="shared" si="52"/>
        <v>0.29461894667944999</v>
      </c>
      <c r="X97" s="1">
        <f t="shared" ref="X97:X103" si="53">ABS($B$95-B97)</f>
        <v>0.35212532855502998</v>
      </c>
      <c r="Y97" s="1">
        <f>ABS($B$96-B97)</f>
        <v>0.61691152589123999</v>
      </c>
    </row>
    <row r="98" spans="1:31" x14ac:dyDescent="0.25">
      <c r="A98" s="3" t="s">
        <v>26</v>
      </c>
      <c r="B98" s="1">
        <v>1.9438008870060199</v>
      </c>
      <c r="C98" s="1">
        <f t="shared" si="50"/>
        <v>0.21328912284606</v>
      </c>
      <c r="D98" s="1">
        <f t="shared" si="32"/>
        <v>0.12959351290393001</v>
      </c>
      <c r="E98" s="1">
        <f t="shared" si="33"/>
        <v>0.52678105969183997</v>
      </c>
      <c r="F98" s="1">
        <f t="shared" si="34"/>
        <v>0.29499990012212002</v>
      </c>
      <c r="G98" s="1">
        <f t="shared" si="35"/>
        <v>0.1357472419655</v>
      </c>
      <c r="H98" s="1">
        <f t="shared" si="36"/>
        <v>0.23599209112601999</v>
      </c>
      <c r="I98" s="1">
        <f t="shared" si="37"/>
        <v>7.8000150396100301E-3</v>
      </c>
      <c r="J98" s="1">
        <f t="shared" si="38"/>
        <v>0.26879107626977</v>
      </c>
      <c r="K98" s="1">
        <f t="shared" si="39"/>
        <v>0.31708015780511001</v>
      </c>
      <c r="L98" s="1">
        <f t="shared" si="40"/>
        <v>0.17163106850500001</v>
      </c>
      <c r="M98" s="1">
        <f t="shared" si="41"/>
        <v>5.3353332620539998E-2</v>
      </c>
      <c r="N98" s="1">
        <f t="shared" si="42"/>
        <v>1.494463270724E-2</v>
      </c>
      <c r="O98" s="1">
        <f t="shared" si="43"/>
        <v>0.16362048645201999</v>
      </c>
      <c r="P98" s="1">
        <f t="shared" si="44"/>
        <v>0.47094064374347999</v>
      </c>
      <c r="Q98" s="1">
        <f t="shared" si="45"/>
        <v>0.11649868635745</v>
      </c>
      <c r="R98" s="1">
        <f t="shared" si="46"/>
        <v>0.28506574516875</v>
      </c>
      <c r="S98" s="1">
        <f t="shared" si="47"/>
        <v>0.27989651320311998</v>
      </c>
      <c r="T98" s="1">
        <f t="shared" si="48"/>
        <v>0.22836229762835999</v>
      </c>
      <c r="U98" s="1">
        <f t="shared" si="49"/>
        <v>0.35295567520116</v>
      </c>
      <c r="V98" s="1">
        <f t="shared" si="51"/>
        <v>0.34982883584543001</v>
      </c>
      <c r="W98" s="1">
        <f t="shared" si="52"/>
        <v>0.26174820345763</v>
      </c>
      <c r="X98" s="1">
        <f t="shared" si="53"/>
        <v>0.31925458533320999</v>
      </c>
      <c r="Y98" s="1">
        <f t="shared" ref="Y98:Y103" si="54">ABS($B$96-B98)</f>
        <v>0.58404078266942006</v>
      </c>
      <c r="Z98" s="1">
        <f t="shared" ref="Z98:Z103" si="55">ABS($B$97-B98)</f>
        <v>3.2870743221820001E-2</v>
      </c>
    </row>
    <row r="99" spans="1:31" x14ac:dyDescent="0.25">
      <c r="A99" s="3" t="s">
        <v>27</v>
      </c>
      <c r="B99" s="1">
        <v>2.3936856706134302</v>
      </c>
      <c r="C99" s="1">
        <f t="shared" si="50"/>
        <v>0.66317390645346996</v>
      </c>
      <c r="D99" s="1">
        <f t="shared" si="32"/>
        <v>0.32029127070348001</v>
      </c>
      <c r="E99" s="1">
        <f t="shared" si="33"/>
        <v>7.6896276084429602E-2</v>
      </c>
      <c r="F99" s="1">
        <f t="shared" si="34"/>
        <v>0.15488488348529</v>
      </c>
      <c r="G99" s="1">
        <f t="shared" si="35"/>
        <v>0.31413754164190999</v>
      </c>
      <c r="H99" s="1">
        <f t="shared" si="36"/>
        <v>0.68587687473342995</v>
      </c>
      <c r="I99" s="1">
        <f t="shared" si="37"/>
        <v>0.44208476856779999</v>
      </c>
      <c r="J99" s="1">
        <f t="shared" si="38"/>
        <v>0.71867585987717997</v>
      </c>
      <c r="K99" s="1">
        <f t="shared" si="39"/>
        <v>0.13280462580230001</v>
      </c>
      <c r="L99" s="1">
        <f t="shared" si="40"/>
        <v>0.62151585211241001</v>
      </c>
      <c r="M99" s="1">
        <f t="shared" si="41"/>
        <v>0.50323811622795001</v>
      </c>
      <c r="N99" s="1">
        <f t="shared" si="42"/>
        <v>0.43494015090017002</v>
      </c>
      <c r="O99" s="1">
        <f t="shared" si="43"/>
        <v>0.28626429715538998</v>
      </c>
      <c r="P99" s="1">
        <f t="shared" si="44"/>
        <v>2.1055860136070002E-2</v>
      </c>
      <c r="Q99" s="1">
        <f t="shared" si="45"/>
        <v>0.33338609724995999</v>
      </c>
      <c r="R99" s="1">
        <f t="shared" si="46"/>
        <v>0.16481903843866</v>
      </c>
      <c r="S99" s="1">
        <f t="shared" si="47"/>
        <v>0.16998827040428999</v>
      </c>
      <c r="T99" s="1">
        <f t="shared" si="48"/>
        <v>0.67824708123577004</v>
      </c>
      <c r="U99" s="1">
        <f t="shared" si="49"/>
        <v>0.80284045880857002</v>
      </c>
      <c r="V99" s="1">
        <f t="shared" si="51"/>
        <v>0.79971361945284003</v>
      </c>
      <c r="W99" s="1">
        <f t="shared" si="52"/>
        <v>0.18813658014977999</v>
      </c>
      <c r="X99" s="1">
        <f t="shared" si="53"/>
        <v>0.1306301982742</v>
      </c>
      <c r="Y99" s="1">
        <f t="shared" si="54"/>
        <v>0.13415599906201001</v>
      </c>
      <c r="Z99" s="1">
        <f t="shared" si="55"/>
        <v>0.48275552682923001</v>
      </c>
      <c r="AA99" s="1">
        <f>ABS($B$98-B99)</f>
        <v>0.44988478360741002</v>
      </c>
    </row>
    <row r="100" spans="1:31" x14ac:dyDescent="0.25">
      <c r="A100" s="3" t="s">
        <v>28</v>
      </c>
      <c r="B100" s="1">
        <v>2.23362722979462</v>
      </c>
      <c r="C100" s="1">
        <f t="shared" si="50"/>
        <v>0.50311546563466003</v>
      </c>
      <c r="D100" s="1">
        <f t="shared" si="32"/>
        <v>0.16023282988467</v>
      </c>
      <c r="E100" s="1">
        <f t="shared" si="33"/>
        <v>0.23695471690323999</v>
      </c>
      <c r="F100" s="1">
        <f t="shared" si="34"/>
        <v>5.1735573335198702E-3</v>
      </c>
      <c r="G100" s="1">
        <f t="shared" si="35"/>
        <v>0.1540791008231</v>
      </c>
      <c r="H100" s="1">
        <f t="shared" si="36"/>
        <v>0.52581843391462002</v>
      </c>
      <c r="I100" s="1">
        <f t="shared" si="37"/>
        <v>0.28202632774899</v>
      </c>
      <c r="J100" s="1">
        <f t="shared" si="38"/>
        <v>0.55861741905837003</v>
      </c>
      <c r="K100" s="1">
        <f t="shared" si="39"/>
        <v>2.7253815016509801E-2</v>
      </c>
      <c r="L100" s="1">
        <f t="shared" si="40"/>
        <v>0.46145741129360002</v>
      </c>
      <c r="M100" s="1">
        <f t="shared" si="41"/>
        <v>0.34317967540914002</v>
      </c>
      <c r="N100" s="1">
        <f t="shared" si="42"/>
        <v>0.27488171008135998</v>
      </c>
      <c r="O100" s="1">
        <f t="shared" si="43"/>
        <v>0.12620585633657999</v>
      </c>
      <c r="P100" s="1">
        <f t="shared" si="44"/>
        <v>0.18111430095487999</v>
      </c>
      <c r="Q100" s="1">
        <f t="shared" si="45"/>
        <v>0.17332765643115</v>
      </c>
      <c r="R100" s="1">
        <f t="shared" si="46"/>
        <v>4.7605976198501496E-3</v>
      </c>
      <c r="S100" s="1">
        <f t="shared" si="47"/>
        <v>9.92982958547994E-3</v>
      </c>
      <c r="T100" s="1">
        <f t="shared" si="48"/>
        <v>0.51818864041696</v>
      </c>
      <c r="U100" s="1">
        <f t="shared" si="49"/>
        <v>0.64278201798975998</v>
      </c>
      <c r="V100" s="1">
        <f t="shared" si="51"/>
        <v>0.63965517863402999</v>
      </c>
      <c r="W100" s="1">
        <f t="shared" si="52"/>
        <v>2.8078139330970101E-2</v>
      </c>
      <c r="X100" s="1">
        <f t="shared" si="53"/>
        <v>2.942824254461E-2</v>
      </c>
      <c r="Y100" s="1">
        <f t="shared" si="54"/>
        <v>0.29421443988082002</v>
      </c>
      <c r="Z100" s="1">
        <f t="shared" si="55"/>
        <v>0.32269708601042002</v>
      </c>
      <c r="AA100" s="1">
        <f>ABS($B$98-B100)</f>
        <v>0.28982634278859998</v>
      </c>
      <c r="AB100" s="1">
        <f>ABS($B$99-B100)</f>
        <v>0.16005844081880999</v>
      </c>
    </row>
    <row r="101" spans="1:31" x14ac:dyDescent="0.25">
      <c r="A101" s="3" t="s">
        <v>29</v>
      </c>
      <c r="B101" s="1">
        <v>2.3922403032708099</v>
      </c>
      <c r="C101" s="1">
        <f t="shared" si="50"/>
        <v>0.66172853911084994</v>
      </c>
      <c r="D101" s="1">
        <f t="shared" si="32"/>
        <v>0.31884590336085999</v>
      </c>
      <c r="E101" s="1">
        <f t="shared" si="33"/>
        <v>7.8341643427049898E-2</v>
      </c>
      <c r="F101" s="1">
        <f t="shared" si="34"/>
        <v>0.15343951614267001</v>
      </c>
      <c r="G101" s="1">
        <f t="shared" si="35"/>
        <v>0.31269217429929003</v>
      </c>
      <c r="H101" s="1">
        <f t="shared" si="36"/>
        <v>0.68443150739081005</v>
      </c>
      <c r="I101" s="1">
        <f t="shared" si="37"/>
        <v>0.44063940122518003</v>
      </c>
      <c r="J101" s="1">
        <f t="shared" si="38"/>
        <v>0.71723049253455995</v>
      </c>
      <c r="K101" s="1">
        <f t="shared" si="39"/>
        <v>0.13135925845968</v>
      </c>
      <c r="L101" s="1">
        <f t="shared" si="40"/>
        <v>0.62007048476978999</v>
      </c>
      <c r="M101" s="1">
        <f t="shared" si="41"/>
        <v>0.50179274888532999</v>
      </c>
      <c r="N101" s="1">
        <f t="shared" si="42"/>
        <v>0.43349478355755</v>
      </c>
      <c r="O101" s="1">
        <f t="shared" si="43"/>
        <v>0.28481892981277002</v>
      </c>
      <c r="P101" s="1">
        <f t="shared" si="44"/>
        <v>2.2501227478690201E-2</v>
      </c>
      <c r="Q101" s="1">
        <f t="shared" si="45"/>
        <v>0.33194072990734003</v>
      </c>
      <c r="R101" s="1">
        <f t="shared" si="46"/>
        <v>0.16337367109604001</v>
      </c>
      <c r="S101" s="1">
        <f t="shared" si="47"/>
        <v>0.16854290306167</v>
      </c>
      <c r="T101" s="1">
        <f t="shared" si="48"/>
        <v>0.67680171389315003</v>
      </c>
      <c r="U101" s="1">
        <f t="shared" si="49"/>
        <v>0.80139509146595</v>
      </c>
      <c r="V101" s="1">
        <f t="shared" si="51"/>
        <v>0.79826825211022001</v>
      </c>
      <c r="W101" s="1">
        <f t="shared" si="52"/>
        <v>0.18669121280716</v>
      </c>
      <c r="X101" s="1">
        <f t="shared" si="53"/>
        <v>0.12918483093158001</v>
      </c>
      <c r="Y101" s="1">
        <f t="shared" si="54"/>
        <v>0.13560136640463</v>
      </c>
      <c r="Z101" s="1">
        <f t="shared" si="55"/>
        <v>0.48131015948660999</v>
      </c>
      <c r="AA101" s="1">
        <f>ABS($B$98-B101)</f>
        <v>0.44843941626479</v>
      </c>
      <c r="AB101" s="1">
        <f>ABS($B$99-B101)</f>
        <v>1.44536734262024E-3</v>
      </c>
      <c r="AC101" s="1">
        <f>ABS($B$100-B101)</f>
        <v>0.15861307347619</v>
      </c>
    </row>
    <row r="102" spans="1:31" x14ac:dyDescent="0.25">
      <c r="A102" s="3" t="s">
        <v>30</v>
      </c>
      <c r="B102" s="1">
        <v>2.1712042991843399</v>
      </c>
      <c r="C102" s="1">
        <f t="shared" si="50"/>
        <v>0.44069253502437999</v>
      </c>
      <c r="D102" s="1">
        <f t="shared" si="32"/>
        <v>9.7809899274389905E-2</v>
      </c>
      <c r="E102" s="1">
        <f t="shared" si="33"/>
        <v>0.29937764751351997</v>
      </c>
      <c r="F102" s="1">
        <f t="shared" si="34"/>
        <v>6.7596487943799993E-2</v>
      </c>
      <c r="G102" s="1">
        <f t="shared" si="35"/>
        <v>9.1656170212819799E-2</v>
      </c>
      <c r="H102" s="1">
        <f t="shared" si="36"/>
        <v>0.46339550330433998</v>
      </c>
      <c r="I102" s="1">
        <f t="shared" si="37"/>
        <v>0.21960339713870999</v>
      </c>
      <c r="J102" s="1">
        <f t="shared" si="38"/>
        <v>0.49619448844809</v>
      </c>
      <c r="K102" s="1">
        <f t="shared" si="39"/>
        <v>8.9676745626789997E-2</v>
      </c>
      <c r="L102" s="1">
        <f t="shared" si="40"/>
        <v>0.39903448068331998</v>
      </c>
      <c r="M102" s="1">
        <f t="shared" si="41"/>
        <v>0.28075674479885998</v>
      </c>
      <c r="N102" s="1">
        <f t="shared" si="42"/>
        <v>0.21245877947107999</v>
      </c>
      <c r="O102" s="1">
        <f t="shared" si="43"/>
        <v>6.3782925726299802E-2</v>
      </c>
      <c r="P102" s="1">
        <f t="shared" si="44"/>
        <v>0.24353723156516</v>
      </c>
      <c r="Q102" s="1">
        <f t="shared" si="45"/>
        <v>0.11090472582087001</v>
      </c>
      <c r="R102" s="1">
        <f t="shared" si="46"/>
        <v>5.7662332990429999E-2</v>
      </c>
      <c r="S102" s="1">
        <f t="shared" si="47"/>
        <v>5.2493101024800197E-2</v>
      </c>
      <c r="T102" s="1">
        <f t="shared" si="48"/>
        <v>0.45576570980668002</v>
      </c>
      <c r="U102" s="1">
        <f t="shared" si="49"/>
        <v>0.58035908737948005</v>
      </c>
      <c r="V102" s="1">
        <f t="shared" si="51"/>
        <v>0.57723224802374995</v>
      </c>
      <c r="W102" s="1">
        <f t="shared" si="52"/>
        <v>3.4344791279309998E-2</v>
      </c>
      <c r="X102" s="1">
        <f t="shared" si="53"/>
        <v>9.1851173154890095E-2</v>
      </c>
      <c r="Y102" s="1">
        <f t="shared" si="54"/>
        <v>0.3566373704911</v>
      </c>
      <c r="Z102" s="1">
        <f t="shared" si="55"/>
        <v>0.26027415540013998</v>
      </c>
      <c r="AA102" s="1">
        <f>ABS($B$98-B102)</f>
        <v>0.22740341217832</v>
      </c>
      <c r="AB102" s="1">
        <f>ABS($B$99-B102)</f>
        <v>0.22248137142909</v>
      </c>
      <c r="AC102" s="1">
        <f>ABS($B$100-B102)</f>
        <v>6.2422930610280099E-2</v>
      </c>
      <c r="AD102" s="1">
        <f>ABS($B$101-B102)</f>
        <v>0.22103600408647001</v>
      </c>
    </row>
    <row r="103" spans="1:31" x14ac:dyDescent="0.25">
      <c r="A103" s="3" t="s">
        <v>31</v>
      </c>
      <c r="B103" s="1">
        <v>2.42443143827255</v>
      </c>
      <c r="C103" s="1">
        <f t="shared" si="50"/>
        <v>0.69391967411259003</v>
      </c>
      <c r="D103" s="1">
        <f t="shared" si="32"/>
        <v>0.35103703836259997</v>
      </c>
      <c r="E103" s="1">
        <f t="shared" si="33"/>
        <v>4.6150508425309801E-2</v>
      </c>
      <c r="F103" s="1">
        <f t="shared" si="34"/>
        <v>0.18563065114440999</v>
      </c>
      <c r="G103" s="1">
        <f t="shared" si="35"/>
        <v>0.34488330930103001</v>
      </c>
      <c r="H103" s="1">
        <f t="shared" si="36"/>
        <v>0.71662264239255002</v>
      </c>
      <c r="I103" s="1">
        <f t="shared" si="37"/>
        <v>0.47283053622692001</v>
      </c>
      <c r="J103" s="1">
        <f t="shared" si="38"/>
        <v>0.74942162753630004</v>
      </c>
      <c r="K103" s="1">
        <f t="shared" si="39"/>
        <v>0.16355039346142</v>
      </c>
      <c r="L103" s="1">
        <f t="shared" si="40"/>
        <v>0.65226161977152997</v>
      </c>
      <c r="M103" s="1">
        <f t="shared" si="41"/>
        <v>0.53398388388706997</v>
      </c>
      <c r="N103" s="1">
        <f t="shared" si="42"/>
        <v>0.46568591855928998</v>
      </c>
      <c r="O103" s="1">
        <f t="shared" si="43"/>
        <v>0.31701006481451</v>
      </c>
      <c r="P103" s="1">
        <f t="shared" si="44"/>
        <v>9.6899075230498805E-3</v>
      </c>
      <c r="Q103" s="1">
        <f t="shared" si="45"/>
        <v>0.36413186490908001</v>
      </c>
      <c r="R103" s="1">
        <f t="shared" si="46"/>
        <v>0.19556480609777999</v>
      </c>
      <c r="S103" s="1">
        <f t="shared" si="47"/>
        <v>0.20073403806341</v>
      </c>
      <c r="T103" s="1">
        <f t="shared" si="48"/>
        <v>0.70899284889489</v>
      </c>
      <c r="U103" s="1">
        <f t="shared" si="49"/>
        <v>0.83358622646768998</v>
      </c>
      <c r="V103" s="1">
        <f t="shared" si="51"/>
        <v>0.83045938711195999</v>
      </c>
      <c r="W103" s="1">
        <f t="shared" si="52"/>
        <v>0.21888234780890001</v>
      </c>
      <c r="X103" s="1">
        <f t="shared" si="53"/>
        <v>0.16137596593331999</v>
      </c>
      <c r="Y103" s="1">
        <f t="shared" si="54"/>
        <v>0.10341023140289</v>
      </c>
      <c r="Z103" s="1">
        <f t="shared" si="55"/>
        <v>0.51350129448835002</v>
      </c>
      <c r="AA103" s="1">
        <f>ABS($B$98-B103)</f>
        <v>0.48063055126652998</v>
      </c>
      <c r="AB103" s="1">
        <f>ABS($B$99-B103)</f>
        <v>3.0745767659119801E-2</v>
      </c>
      <c r="AC103" s="1">
        <f>ABS($B$100-B103)</f>
        <v>0.19080420847793</v>
      </c>
      <c r="AD103" s="1">
        <f>ABS($B$101-B103)</f>
        <v>3.2191135001740097E-2</v>
      </c>
      <c r="AE103" s="1">
        <f>ABS(B102-B103)</f>
        <v>0.25322713908820998</v>
      </c>
    </row>
  </sheetData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3"/>
  <sheetViews>
    <sheetView topLeftCell="A5" zoomScale="85" zoomScaleNormal="85" workbookViewId="0">
      <selection activeCell="A3" sqref="A3:A32"/>
    </sheetView>
  </sheetViews>
  <sheetFormatPr defaultColWidth="9" defaultRowHeight="14.4" x14ac:dyDescent="0.25"/>
  <cols>
    <col min="1" max="1" width="9" style="1"/>
    <col min="2" max="2" width="12.109375" style="1" customWidth="1"/>
    <col min="3" max="31" width="6.88671875" style="1" customWidth="1"/>
  </cols>
  <sheetData>
    <row r="1" spans="1:31" ht="64.05" customHeight="1" x14ac:dyDescent="0.25">
      <c r="A1" s="5" t="s">
        <v>83</v>
      </c>
      <c r="B1" s="6" t="s">
        <v>84</v>
      </c>
    </row>
    <row r="2" spans="1:31" x14ac:dyDescent="0.2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spans="1:31" x14ac:dyDescent="0.25">
      <c r="A3" s="3" t="s">
        <v>2</v>
      </c>
      <c r="B3" s="7"/>
      <c r="C3" s="1">
        <v>3.8315660705379E-2</v>
      </c>
      <c r="D3" s="1">
        <v>8.9552351948009902E-3</v>
      </c>
      <c r="E3" s="1">
        <v>2.2855149395119002E-2</v>
      </c>
      <c r="F3" s="1">
        <v>4.4092340164445E-2</v>
      </c>
      <c r="G3" s="1">
        <v>1.5856958180099998E-2</v>
      </c>
      <c r="H3" s="1">
        <v>1.366870888477E-2</v>
      </c>
      <c r="I3" s="1">
        <v>7.9546892761670207E-3</v>
      </c>
      <c r="J3" s="1">
        <v>7.2762009192674004E-2</v>
      </c>
      <c r="K3" s="1">
        <v>3.7778328794135001E-2</v>
      </c>
      <c r="L3" s="1">
        <v>4.7170470238860097E-3</v>
      </c>
      <c r="M3" s="1">
        <v>4.3493054030005002E-2</v>
      </c>
      <c r="N3" s="1">
        <v>4.6327949353527999E-2</v>
      </c>
      <c r="O3" s="1">
        <v>4.8659476449956003E-2</v>
      </c>
      <c r="P3" s="1">
        <v>7.4428413200381002E-2</v>
      </c>
      <c r="Q3" s="1">
        <v>6.7734774066182002E-2</v>
      </c>
      <c r="R3" s="1">
        <v>7.552005189713E-2</v>
      </c>
      <c r="S3" s="1">
        <v>2.7676894790725999E-2</v>
      </c>
      <c r="T3" s="1">
        <v>0.13435115465005301</v>
      </c>
      <c r="U3" s="1">
        <v>7.3713429617180998E-2</v>
      </c>
      <c r="V3" s="1">
        <v>8.7992015381031005E-2</v>
      </c>
      <c r="W3" s="1">
        <v>5.5887659050177001E-2</v>
      </c>
      <c r="X3" s="1">
        <v>0.110794248752681</v>
      </c>
      <c r="Y3" s="1">
        <v>5.7819427293056003E-2</v>
      </c>
      <c r="Z3" s="1">
        <v>3.7677921018184998E-2</v>
      </c>
      <c r="AA3" s="1">
        <v>2.0898113034092999E-2</v>
      </c>
      <c r="AB3" s="1">
        <v>7.3166452565933002E-2</v>
      </c>
      <c r="AC3" s="1">
        <v>9.4341359438457006E-2</v>
      </c>
      <c r="AD3" s="1">
        <v>1.3184445759020001E-2</v>
      </c>
      <c r="AE3" s="1">
        <v>9.6011264837196006E-2</v>
      </c>
    </row>
    <row r="4" spans="1:31" x14ac:dyDescent="0.25">
      <c r="A4" s="3" t="s">
        <v>3</v>
      </c>
      <c r="B4" s="1">
        <v>3.8315660705379E-2</v>
      </c>
      <c r="C4" s="7"/>
      <c r="D4" s="1">
        <v>4.727089590018E-2</v>
      </c>
      <c r="E4" s="1">
        <v>1.546051131026E-2</v>
      </c>
      <c r="F4" s="1">
        <v>5.7766794590660099E-3</v>
      </c>
      <c r="G4" s="1">
        <v>2.2458702525279001E-2</v>
      </c>
      <c r="H4" s="1">
        <v>2.4646951820609001E-2</v>
      </c>
      <c r="I4" s="1">
        <v>3.0360971429212E-2</v>
      </c>
      <c r="J4" s="1">
        <v>3.4446348487294998E-2</v>
      </c>
      <c r="K4" s="1">
        <v>7.6093989499514E-2</v>
      </c>
      <c r="L4" s="1">
        <v>3.3598613681493E-2</v>
      </c>
      <c r="M4" s="1">
        <v>5.1773933246260003E-3</v>
      </c>
      <c r="N4" s="1">
        <v>8.0122886481490095E-3</v>
      </c>
      <c r="O4" s="1">
        <v>1.0343815744577E-2</v>
      </c>
      <c r="P4" s="1">
        <v>3.6112752495002003E-2</v>
      </c>
      <c r="Q4" s="1">
        <v>2.9419113360802999E-2</v>
      </c>
      <c r="R4" s="1">
        <v>3.7204391191751E-2</v>
      </c>
      <c r="S4" s="1">
        <v>6.5992555496104999E-2</v>
      </c>
      <c r="T4" s="1">
        <v>9.6035493944674005E-2</v>
      </c>
      <c r="U4" s="1">
        <v>3.5397768911801998E-2</v>
      </c>
      <c r="V4" s="1">
        <v>4.9676354675651999E-2</v>
      </c>
      <c r="W4" s="1">
        <v>1.7571998344798001E-2</v>
      </c>
      <c r="X4" s="1">
        <v>7.2478588047302006E-2</v>
      </c>
      <c r="Y4" s="1">
        <v>1.9503766587677E-2</v>
      </c>
      <c r="Z4" s="1">
        <v>6.37739687193994E-4</v>
      </c>
      <c r="AA4" s="1">
        <v>1.7417547671286001E-2</v>
      </c>
      <c r="AB4" s="1">
        <v>3.4850791860554002E-2</v>
      </c>
      <c r="AC4" s="1">
        <v>5.6025698733078E-2</v>
      </c>
      <c r="AD4" s="1">
        <v>2.5131214946359001E-2</v>
      </c>
      <c r="AE4" s="1">
        <v>5.7695604131816999E-2</v>
      </c>
    </row>
    <row r="5" spans="1:31" x14ac:dyDescent="0.25">
      <c r="A5" s="3" t="s">
        <v>4</v>
      </c>
      <c r="B5" s="1">
        <v>8.9552351948009902E-3</v>
      </c>
      <c r="C5" s="1">
        <v>4.727089590018E-2</v>
      </c>
      <c r="D5" s="7"/>
      <c r="E5" s="1">
        <v>3.1810384589919999E-2</v>
      </c>
      <c r="F5" s="1">
        <v>5.3047575359246001E-2</v>
      </c>
      <c r="G5" s="1">
        <v>2.4812193374900999E-2</v>
      </c>
      <c r="H5" s="1">
        <v>2.2623944079570999E-2</v>
      </c>
      <c r="I5" s="1">
        <v>1.6909924470968E-2</v>
      </c>
      <c r="J5" s="1">
        <v>8.1717244387475005E-2</v>
      </c>
      <c r="K5" s="1">
        <v>2.8823093599334E-2</v>
      </c>
      <c r="L5" s="1">
        <v>1.3672282218687E-2</v>
      </c>
      <c r="M5" s="1">
        <v>5.2448289224806002E-2</v>
      </c>
      <c r="N5" s="1">
        <v>5.5283184548328999E-2</v>
      </c>
      <c r="O5" s="1">
        <v>5.7614711644756997E-2</v>
      </c>
      <c r="P5" s="1">
        <v>8.3383648395182003E-2</v>
      </c>
      <c r="Q5" s="1">
        <v>7.6690009260983003E-2</v>
      </c>
      <c r="R5" s="1">
        <v>8.4475287091931001E-2</v>
      </c>
      <c r="S5" s="1">
        <v>1.8721659595924998E-2</v>
      </c>
      <c r="T5" s="1">
        <v>0.143306389844854</v>
      </c>
      <c r="U5" s="1">
        <v>8.2668664811981998E-2</v>
      </c>
      <c r="V5" s="1">
        <v>9.6947250575832006E-2</v>
      </c>
      <c r="W5" s="1">
        <v>6.4842894244977994E-2</v>
      </c>
      <c r="X5" s="1">
        <v>0.119749483947482</v>
      </c>
      <c r="Y5" s="1">
        <v>6.6774662487857003E-2</v>
      </c>
      <c r="Z5" s="1">
        <v>4.6633156212985999E-2</v>
      </c>
      <c r="AA5" s="1">
        <v>2.9853348228893999E-2</v>
      </c>
      <c r="AB5" s="1">
        <v>8.2121687760734002E-2</v>
      </c>
      <c r="AC5" s="1">
        <v>0.10329659463325799</v>
      </c>
      <c r="AD5" s="1">
        <v>2.2139680953821E-2</v>
      </c>
      <c r="AE5" s="1">
        <v>0.10496650003199701</v>
      </c>
    </row>
    <row r="6" spans="1:31" x14ac:dyDescent="0.25">
      <c r="A6" s="3" t="s">
        <v>5</v>
      </c>
      <c r="B6" s="1">
        <v>2.2855149395119002E-2</v>
      </c>
      <c r="C6" s="1">
        <v>1.546051131026E-2</v>
      </c>
      <c r="D6" s="1">
        <v>3.1810384589919999E-2</v>
      </c>
      <c r="E6" s="7"/>
      <c r="F6" s="1">
        <v>2.1237190769325998E-2</v>
      </c>
      <c r="G6" s="1">
        <v>6.9981912150189904E-3</v>
      </c>
      <c r="H6" s="1">
        <v>9.1864405103489997E-3</v>
      </c>
      <c r="I6" s="1">
        <v>1.4900460118952E-2</v>
      </c>
      <c r="J6" s="1">
        <v>4.9906859797554999E-2</v>
      </c>
      <c r="K6" s="1">
        <v>6.0633478189253999E-2</v>
      </c>
      <c r="L6" s="1">
        <v>1.8138102371232999E-2</v>
      </c>
      <c r="M6" s="1">
        <v>2.0637904634886E-2</v>
      </c>
      <c r="N6" s="1">
        <v>2.3472799958409001E-2</v>
      </c>
      <c r="O6" s="1">
        <v>2.5804327054837001E-2</v>
      </c>
      <c r="P6" s="1">
        <v>5.1573263805261997E-2</v>
      </c>
      <c r="Q6" s="1">
        <v>4.4879624671062997E-2</v>
      </c>
      <c r="R6" s="1">
        <v>5.2664902502011002E-2</v>
      </c>
      <c r="S6" s="1">
        <v>5.0532044185844997E-2</v>
      </c>
      <c r="T6" s="1">
        <v>0.111496005254934</v>
      </c>
      <c r="U6" s="1">
        <v>5.0858280222061999E-2</v>
      </c>
      <c r="V6" s="1">
        <v>6.5136865985912007E-2</v>
      </c>
      <c r="W6" s="1">
        <v>3.3032509655058002E-2</v>
      </c>
      <c r="X6" s="1">
        <v>8.7939099357562001E-2</v>
      </c>
      <c r="Y6" s="1">
        <v>3.4964277897936998E-2</v>
      </c>
      <c r="Z6" s="1">
        <v>1.4822771623066E-2</v>
      </c>
      <c r="AA6" s="1">
        <v>1.95703636102601E-3</v>
      </c>
      <c r="AB6" s="1">
        <v>5.0311303170813997E-2</v>
      </c>
      <c r="AC6" s="1">
        <v>7.1486210043337994E-2</v>
      </c>
      <c r="AD6" s="1">
        <v>9.6707036360990095E-3</v>
      </c>
      <c r="AE6" s="1">
        <v>7.3156115442076994E-2</v>
      </c>
    </row>
    <row r="7" spans="1:31" x14ac:dyDescent="0.25">
      <c r="A7" s="3" t="s">
        <v>6</v>
      </c>
      <c r="B7" s="1">
        <v>4.4092340164445E-2</v>
      </c>
      <c r="C7" s="1">
        <v>5.7766794590660099E-3</v>
      </c>
      <c r="D7" s="1">
        <v>5.3047575359246001E-2</v>
      </c>
      <c r="E7" s="1">
        <v>2.1237190769325998E-2</v>
      </c>
      <c r="F7" s="7"/>
      <c r="G7" s="1">
        <v>2.8235381984345002E-2</v>
      </c>
      <c r="H7" s="1">
        <v>3.0423631279675001E-2</v>
      </c>
      <c r="I7" s="1">
        <v>3.6137650888278E-2</v>
      </c>
      <c r="J7" s="1">
        <v>2.8669669028229001E-2</v>
      </c>
      <c r="K7" s="1">
        <v>8.1870668958580001E-2</v>
      </c>
      <c r="L7" s="1">
        <v>3.9375293140559001E-2</v>
      </c>
      <c r="M7" s="1">
        <v>5.9928613444001899E-4</v>
      </c>
      <c r="N7" s="1">
        <v>2.2356091890830001E-3</v>
      </c>
      <c r="O7" s="1">
        <v>4.5671362855109797E-3</v>
      </c>
      <c r="P7" s="1">
        <v>3.0336073035935999E-2</v>
      </c>
      <c r="Q7" s="1">
        <v>2.3642433901736998E-2</v>
      </c>
      <c r="R7" s="1">
        <v>3.1427711732685E-2</v>
      </c>
      <c r="S7" s="1">
        <v>7.1769234955170999E-2</v>
      </c>
      <c r="T7" s="1">
        <v>9.0258814485608005E-2</v>
      </c>
      <c r="U7" s="1">
        <v>2.9621089452736001E-2</v>
      </c>
      <c r="V7" s="1">
        <v>4.3899675216585998E-2</v>
      </c>
      <c r="W7" s="1">
        <v>1.1795318885732001E-2</v>
      </c>
      <c r="X7" s="1">
        <v>6.6701908588236006E-2</v>
      </c>
      <c r="Y7" s="1">
        <v>1.3727087128610999E-2</v>
      </c>
      <c r="Z7" s="1">
        <v>6.4144191462600104E-3</v>
      </c>
      <c r="AA7" s="1">
        <v>2.3194227130352001E-2</v>
      </c>
      <c r="AB7" s="1">
        <v>2.9074112401487998E-2</v>
      </c>
      <c r="AC7" s="1">
        <v>5.0249019274012E-2</v>
      </c>
      <c r="AD7" s="1">
        <v>3.0907894405425001E-2</v>
      </c>
      <c r="AE7" s="1">
        <v>5.1918924672750999E-2</v>
      </c>
    </row>
    <row r="8" spans="1:31" x14ac:dyDescent="0.25">
      <c r="A8" s="3" t="s">
        <v>7</v>
      </c>
      <c r="B8" s="1">
        <v>1.5856958180099998E-2</v>
      </c>
      <c r="C8" s="1">
        <v>2.2458702525279001E-2</v>
      </c>
      <c r="D8" s="1">
        <v>2.4812193374900999E-2</v>
      </c>
      <c r="E8" s="1">
        <v>6.9981912150189904E-3</v>
      </c>
      <c r="F8" s="1">
        <v>2.8235381984345002E-2</v>
      </c>
      <c r="G8" s="7"/>
      <c r="H8" s="1">
        <v>2.1882492953300102E-3</v>
      </c>
      <c r="I8" s="1">
        <v>7.9022689039330001E-3</v>
      </c>
      <c r="J8" s="1">
        <v>5.6905051012574003E-2</v>
      </c>
      <c r="K8" s="1">
        <v>5.3635286974235002E-2</v>
      </c>
      <c r="L8" s="1">
        <v>1.1139911156214001E-2</v>
      </c>
      <c r="M8" s="1">
        <v>2.7636095849905E-2</v>
      </c>
      <c r="N8" s="1">
        <v>3.0470991173428E-2</v>
      </c>
      <c r="O8" s="1">
        <v>3.2802518269856001E-2</v>
      </c>
      <c r="P8" s="1">
        <v>5.8571455020281001E-2</v>
      </c>
      <c r="Q8" s="1">
        <v>5.1877815886082E-2</v>
      </c>
      <c r="R8" s="1">
        <v>5.9663093717029998E-2</v>
      </c>
      <c r="S8" s="1">
        <v>4.3533852970826001E-2</v>
      </c>
      <c r="T8" s="1">
        <v>0.118494196469953</v>
      </c>
      <c r="U8" s="1">
        <v>5.7856471437081003E-2</v>
      </c>
      <c r="V8" s="1">
        <v>7.2135057200930996E-2</v>
      </c>
      <c r="W8" s="1">
        <v>4.0030700870076999E-2</v>
      </c>
      <c r="X8" s="1">
        <v>9.4937290572581004E-2</v>
      </c>
      <c r="Y8" s="1">
        <v>4.1962469112956001E-2</v>
      </c>
      <c r="Z8" s="1">
        <v>2.1820962838085E-2</v>
      </c>
      <c r="AA8" s="1">
        <v>5.0411548539929796E-3</v>
      </c>
      <c r="AB8" s="1">
        <v>5.7309494385833E-2</v>
      </c>
      <c r="AC8" s="1">
        <v>7.8484401258356998E-2</v>
      </c>
      <c r="AD8" s="1">
        <v>2.67251242108002E-3</v>
      </c>
      <c r="AE8" s="1">
        <v>8.0154306657095997E-2</v>
      </c>
    </row>
    <row r="9" spans="1:31" x14ac:dyDescent="0.25">
      <c r="A9" s="3" t="s">
        <v>8</v>
      </c>
      <c r="B9" s="1">
        <v>1.366870888477E-2</v>
      </c>
      <c r="C9" s="1">
        <v>2.4646951820609001E-2</v>
      </c>
      <c r="D9" s="1">
        <v>2.2623944079570999E-2</v>
      </c>
      <c r="E9" s="1">
        <v>9.1864405103489997E-3</v>
      </c>
      <c r="F9" s="1">
        <v>3.0423631279675001E-2</v>
      </c>
      <c r="G9" s="1">
        <v>2.1882492953300102E-3</v>
      </c>
      <c r="H9" s="7"/>
      <c r="I9" s="1">
        <v>5.7140196086029899E-3</v>
      </c>
      <c r="J9" s="1">
        <v>5.9093300307904002E-2</v>
      </c>
      <c r="K9" s="1">
        <v>5.1447037678905003E-2</v>
      </c>
      <c r="L9" s="1">
        <v>8.9516618608839991E-3</v>
      </c>
      <c r="M9" s="1">
        <v>2.9824345145235E-2</v>
      </c>
      <c r="N9" s="1">
        <v>3.2659240468757997E-2</v>
      </c>
      <c r="O9" s="1">
        <v>3.4990767565186001E-2</v>
      </c>
      <c r="P9" s="1">
        <v>6.0759704315611E-2</v>
      </c>
      <c r="Q9" s="1">
        <v>5.4066065181412E-2</v>
      </c>
      <c r="R9" s="1">
        <v>6.1851343012359998E-2</v>
      </c>
      <c r="S9" s="1">
        <v>4.1345603675496001E-2</v>
      </c>
      <c r="T9" s="1">
        <v>0.120682445765283</v>
      </c>
      <c r="U9" s="1">
        <v>6.0044720732411003E-2</v>
      </c>
      <c r="V9" s="1">
        <v>7.4323306496260996E-2</v>
      </c>
      <c r="W9" s="1">
        <v>4.2218950165406999E-2</v>
      </c>
      <c r="X9" s="1">
        <v>9.7125539867911004E-2</v>
      </c>
      <c r="Y9" s="1">
        <v>4.4150718408286001E-2</v>
      </c>
      <c r="Z9" s="1">
        <v>2.4009212133415E-2</v>
      </c>
      <c r="AA9" s="1">
        <v>7.2294041493229898E-3</v>
      </c>
      <c r="AB9" s="1">
        <v>5.9497743681163E-2</v>
      </c>
      <c r="AC9" s="1">
        <v>8.0672650553686998E-2</v>
      </c>
      <c r="AD9" s="1">
        <v>4.8426312575000602E-4</v>
      </c>
      <c r="AE9" s="1">
        <v>8.2342555952425997E-2</v>
      </c>
    </row>
    <row r="10" spans="1:31" x14ac:dyDescent="0.25">
      <c r="A10" s="3" t="s">
        <v>9</v>
      </c>
      <c r="B10" s="1">
        <v>7.9546892761670207E-3</v>
      </c>
      <c r="C10" s="1">
        <v>3.0360971429212E-2</v>
      </c>
      <c r="D10" s="1">
        <v>1.6909924470968E-2</v>
      </c>
      <c r="E10" s="1">
        <v>1.4900460118952E-2</v>
      </c>
      <c r="F10" s="1">
        <v>3.6137650888278E-2</v>
      </c>
      <c r="G10" s="1">
        <v>7.9022689039330001E-3</v>
      </c>
      <c r="H10" s="1">
        <v>5.7140196086029899E-3</v>
      </c>
      <c r="I10" s="7"/>
      <c r="J10" s="1">
        <v>6.4807319916506997E-2</v>
      </c>
      <c r="K10" s="1">
        <v>4.5733018070302001E-2</v>
      </c>
      <c r="L10" s="1">
        <v>3.2376422522810101E-3</v>
      </c>
      <c r="M10" s="1">
        <v>3.5538364753838002E-2</v>
      </c>
      <c r="N10" s="1">
        <v>3.8373260077360999E-2</v>
      </c>
      <c r="O10" s="1">
        <v>4.0704787173789003E-2</v>
      </c>
      <c r="P10" s="1">
        <v>6.6473723924213995E-2</v>
      </c>
      <c r="Q10" s="1">
        <v>5.9780084790015002E-2</v>
      </c>
      <c r="R10" s="1">
        <v>6.7565362620962993E-2</v>
      </c>
      <c r="S10" s="1">
        <v>3.5631584066892999E-2</v>
      </c>
      <c r="T10" s="1">
        <v>0.12639646537388599</v>
      </c>
      <c r="U10" s="1">
        <v>6.5758740341014005E-2</v>
      </c>
      <c r="V10" s="1">
        <v>8.0037326104863998E-2</v>
      </c>
      <c r="W10" s="1">
        <v>4.7932969774010001E-2</v>
      </c>
      <c r="X10" s="1">
        <v>0.10283955947651401</v>
      </c>
      <c r="Y10" s="1">
        <v>4.9864738016889003E-2</v>
      </c>
      <c r="Z10" s="1">
        <v>2.9723231742017998E-2</v>
      </c>
      <c r="AA10" s="1">
        <v>1.2943423757926001E-2</v>
      </c>
      <c r="AB10" s="1">
        <v>6.5211763289765995E-2</v>
      </c>
      <c r="AC10" s="1">
        <v>8.638667016229E-2</v>
      </c>
      <c r="AD10" s="1">
        <v>5.2297564828529802E-3</v>
      </c>
      <c r="AE10" s="1">
        <v>8.8056575561028999E-2</v>
      </c>
    </row>
    <row r="11" spans="1:31" x14ac:dyDescent="0.25">
      <c r="A11" s="3" t="s">
        <v>10</v>
      </c>
      <c r="B11" s="1">
        <v>7.2762009192674004E-2</v>
      </c>
      <c r="C11" s="1">
        <v>3.4446348487294998E-2</v>
      </c>
      <c r="D11" s="1">
        <v>8.1717244387475005E-2</v>
      </c>
      <c r="E11" s="1">
        <v>4.9906859797554999E-2</v>
      </c>
      <c r="F11" s="1">
        <v>2.8669669028229001E-2</v>
      </c>
      <c r="G11" s="1">
        <v>5.6905051012574003E-2</v>
      </c>
      <c r="H11" s="1">
        <v>5.9093300307904002E-2</v>
      </c>
      <c r="I11" s="1">
        <v>6.4807319916506997E-2</v>
      </c>
      <c r="J11" s="7"/>
      <c r="K11" s="1">
        <v>0.110540337986809</v>
      </c>
      <c r="L11" s="1">
        <v>6.8044962168787998E-2</v>
      </c>
      <c r="M11" s="1">
        <v>2.9268955162668999E-2</v>
      </c>
      <c r="N11" s="1">
        <v>2.6434059839145999E-2</v>
      </c>
      <c r="O11" s="1">
        <v>2.4102532742718001E-2</v>
      </c>
      <c r="P11" s="1">
        <v>1.66640400770701E-3</v>
      </c>
      <c r="Q11" s="1">
        <v>5.0272351264919997E-3</v>
      </c>
      <c r="R11" s="1">
        <v>2.7580427044560101E-3</v>
      </c>
      <c r="S11" s="1">
        <v>0.1004389039834</v>
      </c>
      <c r="T11" s="1">
        <v>6.1589145457379001E-2</v>
      </c>
      <c r="U11" s="1">
        <v>9.5142042450699295E-4</v>
      </c>
      <c r="V11" s="1">
        <v>1.5230006188356999E-2</v>
      </c>
      <c r="W11" s="1">
        <v>1.6874350142497E-2</v>
      </c>
      <c r="X11" s="1">
        <v>3.8032239560007002E-2</v>
      </c>
      <c r="Y11" s="1">
        <v>1.4942581899618E-2</v>
      </c>
      <c r="Z11" s="1">
        <v>3.5084088174488999E-2</v>
      </c>
      <c r="AA11" s="1">
        <v>5.1863896158581002E-2</v>
      </c>
      <c r="AB11" s="1">
        <v>4.0444337325901098E-4</v>
      </c>
      <c r="AC11" s="1">
        <v>2.1579350245782999E-2</v>
      </c>
      <c r="AD11" s="1">
        <v>5.9577563433654002E-2</v>
      </c>
      <c r="AE11" s="1">
        <v>2.3249255644522002E-2</v>
      </c>
    </row>
    <row r="12" spans="1:31" x14ac:dyDescent="0.25">
      <c r="A12" s="3" t="s">
        <v>11</v>
      </c>
      <c r="B12" s="1">
        <v>3.7778328794135001E-2</v>
      </c>
      <c r="C12" s="1">
        <v>7.6093989499514E-2</v>
      </c>
      <c r="D12" s="1">
        <v>2.8823093599334E-2</v>
      </c>
      <c r="E12" s="1">
        <v>6.0633478189253999E-2</v>
      </c>
      <c r="F12" s="1">
        <v>8.1870668958580001E-2</v>
      </c>
      <c r="G12" s="1">
        <v>5.3635286974235002E-2</v>
      </c>
      <c r="H12" s="1">
        <v>5.1447037678905003E-2</v>
      </c>
      <c r="I12" s="1">
        <v>4.5733018070302001E-2</v>
      </c>
      <c r="J12" s="1">
        <v>0.110540337986809</v>
      </c>
      <c r="K12" s="7"/>
      <c r="L12" s="1">
        <v>4.2495375818021E-2</v>
      </c>
      <c r="M12" s="1">
        <v>8.1271382824139995E-2</v>
      </c>
      <c r="N12" s="1">
        <v>8.4106278147662999E-2</v>
      </c>
      <c r="O12" s="1">
        <v>8.6437805244091004E-2</v>
      </c>
      <c r="P12" s="1">
        <v>0.112206741994516</v>
      </c>
      <c r="Q12" s="1">
        <v>0.105513102860317</v>
      </c>
      <c r="R12" s="1">
        <v>0.11329838069126499</v>
      </c>
      <c r="S12" s="1">
        <v>1.0101434003409E-2</v>
      </c>
      <c r="T12" s="1">
        <v>0.17212948344418799</v>
      </c>
      <c r="U12" s="1">
        <v>0.11149175841131601</v>
      </c>
      <c r="V12" s="1">
        <v>0.125770344175166</v>
      </c>
      <c r="W12" s="1">
        <v>9.3665987844312001E-2</v>
      </c>
      <c r="X12" s="1">
        <v>0.14857257754681599</v>
      </c>
      <c r="Y12" s="1">
        <v>9.5597756087190996E-2</v>
      </c>
      <c r="Z12" s="1">
        <v>7.5456249812320006E-2</v>
      </c>
      <c r="AA12" s="1">
        <v>5.8676441828228003E-2</v>
      </c>
      <c r="AB12" s="1">
        <v>0.110944781360068</v>
      </c>
      <c r="AC12" s="1">
        <v>0.13211968823259199</v>
      </c>
      <c r="AD12" s="1">
        <v>5.0962774553155003E-2</v>
      </c>
      <c r="AE12" s="1">
        <v>0.133789593631331</v>
      </c>
    </row>
    <row r="13" spans="1:31" x14ac:dyDescent="0.25">
      <c r="A13" s="3" t="s">
        <v>12</v>
      </c>
      <c r="B13" s="1">
        <v>4.7170470238860097E-3</v>
      </c>
      <c r="C13" s="1">
        <v>3.3598613681493E-2</v>
      </c>
      <c r="D13" s="1">
        <v>1.3672282218687E-2</v>
      </c>
      <c r="E13" s="1">
        <v>1.8138102371232999E-2</v>
      </c>
      <c r="F13" s="1">
        <v>3.9375293140559001E-2</v>
      </c>
      <c r="G13" s="1">
        <v>1.1139911156214001E-2</v>
      </c>
      <c r="H13" s="1">
        <v>8.9516618608839991E-3</v>
      </c>
      <c r="I13" s="1">
        <v>3.2376422522810101E-3</v>
      </c>
      <c r="J13" s="1">
        <v>6.8044962168787998E-2</v>
      </c>
      <c r="K13" s="1">
        <v>4.2495375818021E-2</v>
      </c>
      <c r="L13" s="7"/>
      <c r="M13" s="1">
        <v>3.8776007006119002E-2</v>
      </c>
      <c r="N13" s="1">
        <v>4.1610902329641999E-2</v>
      </c>
      <c r="O13" s="1">
        <v>4.3942429426069997E-2</v>
      </c>
      <c r="P13" s="1">
        <v>6.9711366176494996E-2</v>
      </c>
      <c r="Q13" s="1">
        <v>6.3017727042295996E-2</v>
      </c>
      <c r="R13" s="1">
        <v>7.0803004873243994E-2</v>
      </c>
      <c r="S13" s="1">
        <v>3.2393941814611998E-2</v>
      </c>
      <c r="T13" s="1">
        <v>0.12963410762616701</v>
      </c>
      <c r="U13" s="1">
        <v>6.8996382593295005E-2</v>
      </c>
      <c r="V13" s="1">
        <v>8.3274968357144999E-2</v>
      </c>
      <c r="W13" s="1">
        <v>5.1170612026291001E-2</v>
      </c>
      <c r="X13" s="1">
        <v>0.10607720172879501</v>
      </c>
      <c r="Y13" s="1">
        <v>5.3102380269170003E-2</v>
      </c>
      <c r="Z13" s="1">
        <v>3.2960873994298999E-2</v>
      </c>
      <c r="AA13" s="1">
        <v>1.6181066010206999E-2</v>
      </c>
      <c r="AB13" s="1">
        <v>6.8449405542046995E-2</v>
      </c>
      <c r="AC13" s="1">
        <v>8.9624312414571E-2</v>
      </c>
      <c r="AD13" s="1">
        <v>8.4673987351339998E-3</v>
      </c>
      <c r="AE13" s="1">
        <v>9.129421781331E-2</v>
      </c>
    </row>
    <row r="14" spans="1:31" x14ac:dyDescent="0.25">
      <c r="A14" s="3" t="s">
        <v>13</v>
      </c>
      <c r="B14" s="1">
        <v>4.3493054030005002E-2</v>
      </c>
      <c r="C14" s="1">
        <v>5.1773933246260003E-3</v>
      </c>
      <c r="D14" s="1">
        <v>5.2448289224806002E-2</v>
      </c>
      <c r="E14" s="1">
        <v>2.0637904634886E-2</v>
      </c>
      <c r="F14" s="1">
        <v>5.9928613444001899E-4</v>
      </c>
      <c r="G14" s="1">
        <v>2.7636095849905E-2</v>
      </c>
      <c r="H14" s="1">
        <v>2.9824345145235E-2</v>
      </c>
      <c r="I14" s="1">
        <v>3.5538364753838002E-2</v>
      </c>
      <c r="J14" s="1">
        <v>2.9268955162668999E-2</v>
      </c>
      <c r="K14" s="1">
        <v>8.1271382824139995E-2</v>
      </c>
      <c r="L14" s="1">
        <v>3.8776007006119002E-2</v>
      </c>
      <c r="M14" s="7"/>
      <c r="N14" s="1">
        <v>2.83489532352302E-3</v>
      </c>
      <c r="O14" s="1">
        <v>5.1664224199509902E-3</v>
      </c>
      <c r="P14" s="1">
        <v>3.0935359170376001E-2</v>
      </c>
      <c r="Q14" s="1">
        <v>2.4241720036177E-2</v>
      </c>
      <c r="R14" s="1">
        <v>3.2026997867124998E-2</v>
      </c>
      <c r="S14" s="1">
        <v>7.1169948820730994E-2</v>
      </c>
      <c r="T14" s="1">
        <v>9.0858100620047996E-2</v>
      </c>
      <c r="U14" s="1">
        <v>3.0220375587176E-2</v>
      </c>
      <c r="V14" s="1">
        <v>4.4498961351025997E-2</v>
      </c>
      <c r="W14" s="1">
        <v>1.2394605020172001E-2</v>
      </c>
      <c r="X14" s="1">
        <v>6.7301194722675997E-2</v>
      </c>
      <c r="Y14" s="1">
        <v>1.4326373263050999E-2</v>
      </c>
      <c r="Z14" s="1">
        <v>5.8151330118199904E-3</v>
      </c>
      <c r="AA14" s="1">
        <v>2.2594940995912E-2</v>
      </c>
      <c r="AB14" s="1">
        <v>2.9673398535928E-2</v>
      </c>
      <c r="AC14" s="1">
        <v>5.0848305408451998E-2</v>
      </c>
      <c r="AD14" s="1">
        <v>3.0308608270984999E-2</v>
      </c>
      <c r="AE14" s="1">
        <v>5.2518210807190997E-2</v>
      </c>
    </row>
    <row r="15" spans="1:31" x14ac:dyDescent="0.25">
      <c r="A15" s="3" t="s">
        <v>14</v>
      </c>
      <c r="B15" s="1">
        <v>4.6327949353527999E-2</v>
      </c>
      <c r="C15" s="1">
        <v>8.0122886481490095E-3</v>
      </c>
      <c r="D15" s="1">
        <v>5.5283184548328999E-2</v>
      </c>
      <c r="E15" s="1">
        <v>2.3472799958409001E-2</v>
      </c>
      <c r="F15" s="1">
        <v>2.2356091890830001E-3</v>
      </c>
      <c r="G15" s="1">
        <v>3.0470991173428E-2</v>
      </c>
      <c r="H15" s="1">
        <v>3.2659240468757997E-2</v>
      </c>
      <c r="I15" s="1">
        <v>3.8373260077360999E-2</v>
      </c>
      <c r="J15" s="1">
        <v>2.6434059839145999E-2</v>
      </c>
      <c r="K15" s="1">
        <v>8.4106278147662999E-2</v>
      </c>
      <c r="L15" s="1">
        <v>4.1610902329641999E-2</v>
      </c>
      <c r="M15" s="1">
        <v>2.83489532352302E-3</v>
      </c>
      <c r="N15" s="7"/>
      <c r="O15" s="1">
        <v>2.3315270964279801E-3</v>
      </c>
      <c r="P15" s="1">
        <v>2.8100463846853E-2</v>
      </c>
      <c r="Q15" s="1">
        <v>2.1406824712654E-2</v>
      </c>
      <c r="R15" s="1">
        <v>2.9192102543602001E-2</v>
      </c>
      <c r="S15" s="1">
        <v>7.4004844144253998E-2</v>
      </c>
      <c r="T15" s="1">
        <v>8.8023205296525006E-2</v>
      </c>
      <c r="U15" s="1">
        <v>2.7385480263652999E-2</v>
      </c>
      <c r="V15" s="1">
        <v>4.1664066027502999E-2</v>
      </c>
      <c r="W15" s="1">
        <v>9.5597096966489898E-3</v>
      </c>
      <c r="X15" s="1">
        <v>6.4466299399152993E-2</v>
      </c>
      <c r="Y15" s="1">
        <v>1.1491477939528E-2</v>
      </c>
      <c r="Z15" s="1">
        <v>8.6500283353430091E-3</v>
      </c>
      <c r="AA15" s="1">
        <v>2.5429836319435E-2</v>
      </c>
      <c r="AB15" s="1">
        <v>2.6838503212405E-2</v>
      </c>
      <c r="AC15" s="1">
        <v>4.8013410084929001E-2</v>
      </c>
      <c r="AD15" s="1">
        <v>3.3143503594508003E-2</v>
      </c>
      <c r="AE15" s="1">
        <v>4.9683315483668E-2</v>
      </c>
    </row>
    <row r="16" spans="1:31" x14ac:dyDescent="0.25">
      <c r="A16" s="3" t="s">
        <v>15</v>
      </c>
      <c r="B16" s="1">
        <v>4.8659476449956003E-2</v>
      </c>
      <c r="C16" s="1">
        <v>1.0343815744577E-2</v>
      </c>
      <c r="D16" s="1">
        <v>5.7614711644756997E-2</v>
      </c>
      <c r="E16" s="1">
        <v>2.5804327054837001E-2</v>
      </c>
      <c r="F16" s="1">
        <v>4.5671362855109797E-3</v>
      </c>
      <c r="G16" s="1">
        <v>3.2802518269856001E-2</v>
      </c>
      <c r="H16" s="1">
        <v>3.4990767565186001E-2</v>
      </c>
      <c r="I16" s="1">
        <v>4.0704787173789003E-2</v>
      </c>
      <c r="J16" s="1">
        <v>2.4102532742718001E-2</v>
      </c>
      <c r="K16" s="1">
        <v>8.6437805244091004E-2</v>
      </c>
      <c r="L16" s="1">
        <v>4.3942429426069997E-2</v>
      </c>
      <c r="M16" s="1">
        <v>5.1664224199509902E-3</v>
      </c>
      <c r="N16" s="1">
        <v>2.3315270964279801E-3</v>
      </c>
      <c r="O16" s="7"/>
      <c r="P16" s="1">
        <v>2.5768936750424999E-2</v>
      </c>
      <c r="Q16" s="1">
        <v>1.9075297616225999E-2</v>
      </c>
      <c r="R16" s="1">
        <v>2.6860575447174E-2</v>
      </c>
      <c r="S16" s="1">
        <v>7.6336371240682002E-2</v>
      </c>
      <c r="T16" s="1">
        <v>8.5691678200097002E-2</v>
      </c>
      <c r="U16" s="1">
        <v>2.5053953167225002E-2</v>
      </c>
      <c r="V16" s="1">
        <v>3.9332538931075002E-2</v>
      </c>
      <c r="W16" s="1">
        <v>7.2281826002210097E-3</v>
      </c>
      <c r="X16" s="1">
        <v>6.2134772302725003E-2</v>
      </c>
      <c r="Y16" s="1">
        <v>9.15995084310001E-3</v>
      </c>
      <c r="Z16" s="1">
        <v>1.0981555431771E-2</v>
      </c>
      <c r="AA16" s="1">
        <v>2.7761363415863001E-2</v>
      </c>
      <c r="AB16" s="1">
        <v>2.4506976115976999E-2</v>
      </c>
      <c r="AC16" s="1">
        <v>4.5681882988501003E-2</v>
      </c>
      <c r="AD16" s="1">
        <v>3.5475030690936001E-2</v>
      </c>
      <c r="AE16" s="1">
        <v>4.7351788387240003E-2</v>
      </c>
    </row>
    <row r="17" spans="1:31" x14ac:dyDescent="0.25">
      <c r="A17" s="3" t="s">
        <v>16</v>
      </c>
      <c r="B17" s="1">
        <v>7.4428413200381002E-2</v>
      </c>
      <c r="C17" s="1">
        <v>3.6112752495002003E-2</v>
      </c>
      <c r="D17" s="1">
        <v>8.3383648395182003E-2</v>
      </c>
      <c r="E17" s="1">
        <v>5.1573263805261997E-2</v>
      </c>
      <c r="F17" s="1">
        <v>3.0336073035935999E-2</v>
      </c>
      <c r="G17" s="1">
        <v>5.8571455020281001E-2</v>
      </c>
      <c r="H17" s="1">
        <v>6.0759704315611E-2</v>
      </c>
      <c r="I17" s="1">
        <v>6.6473723924213995E-2</v>
      </c>
      <c r="J17" s="1">
        <v>1.66640400770701E-3</v>
      </c>
      <c r="K17" s="1">
        <v>0.112206741994516</v>
      </c>
      <c r="L17" s="1">
        <v>6.9711366176494996E-2</v>
      </c>
      <c r="M17" s="1">
        <v>3.0935359170376001E-2</v>
      </c>
      <c r="N17" s="1">
        <v>2.8100463846853E-2</v>
      </c>
      <c r="O17" s="1">
        <v>2.5768936750424999E-2</v>
      </c>
      <c r="P17" s="7"/>
      <c r="Q17" s="1">
        <v>6.6936391341990099E-3</v>
      </c>
      <c r="R17" s="1">
        <v>1.0916386967490001E-3</v>
      </c>
      <c r="S17" s="1">
        <v>0.10210530799110699</v>
      </c>
      <c r="T17" s="1">
        <v>5.9922741449672003E-2</v>
      </c>
      <c r="U17" s="1">
        <v>7.1498358320001799E-4</v>
      </c>
      <c r="V17" s="1">
        <v>1.3563602180649999E-2</v>
      </c>
      <c r="W17" s="1">
        <v>1.8540754150204002E-2</v>
      </c>
      <c r="X17" s="1">
        <v>3.6365835552299997E-2</v>
      </c>
      <c r="Y17" s="1">
        <v>1.6608985907325E-2</v>
      </c>
      <c r="Z17" s="1">
        <v>3.6750492182195997E-2</v>
      </c>
      <c r="AA17" s="1">
        <v>5.3530300166288E-2</v>
      </c>
      <c r="AB17" s="1">
        <v>1.2619606344479999E-3</v>
      </c>
      <c r="AC17" s="1">
        <v>1.9912946238076001E-2</v>
      </c>
      <c r="AD17" s="1">
        <v>6.1243967441361E-2</v>
      </c>
      <c r="AE17" s="1">
        <v>2.1582851636815E-2</v>
      </c>
    </row>
    <row r="18" spans="1:31" x14ac:dyDescent="0.25">
      <c r="A18" s="3" t="s">
        <v>17</v>
      </c>
      <c r="B18" s="1">
        <v>6.7734774066182002E-2</v>
      </c>
      <c r="C18" s="1">
        <v>2.9419113360802999E-2</v>
      </c>
      <c r="D18" s="1">
        <v>7.6690009260983003E-2</v>
      </c>
      <c r="E18" s="1">
        <v>4.4879624671062997E-2</v>
      </c>
      <c r="F18" s="1">
        <v>2.3642433901736998E-2</v>
      </c>
      <c r="G18" s="1">
        <v>5.1877815886082E-2</v>
      </c>
      <c r="H18" s="1">
        <v>5.4066065181412E-2</v>
      </c>
      <c r="I18" s="1">
        <v>5.9780084790015002E-2</v>
      </c>
      <c r="J18" s="1">
        <v>5.0272351264919997E-3</v>
      </c>
      <c r="K18" s="1">
        <v>0.105513102860317</v>
      </c>
      <c r="L18" s="1">
        <v>6.3017727042295996E-2</v>
      </c>
      <c r="M18" s="1">
        <v>2.4241720036177E-2</v>
      </c>
      <c r="N18" s="1">
        <v>2.1406824712654E-2</v>
      </c>
      <c r="O18" s="1">
        <v>1.9075297616225999E-2</v>
      </c>
      <c r="P18" s="1">
        <v>6.6936391341990099E-3</v>
      </c>
      <c r="Q18" s="7"/>
      <c r="R18" s="1">
        <v>7.7852778309480102E-3</v>
      </c>
      <c r="S18" s="1">
        <v>9.5411668856907994E-2</v>
      </c>
      <c r="T18" s="1">
        <v>6.6616380583870996E-2</v>
      </c>
      <c r="U18" s="1">
        <v>5.9786555509990002E-3</v>
      </c>
      <c r="V18" s="1">
        <v>2.0257241314849E-2</v>
      </c>
      <c r="W18" s="1">
        <v>1.1847115016004999E-2</v>
      </c>
      <c r="X18" s="1">
        <v>4.3059474686498997E-2</v>
      </c>
      <c r="Y18" s="1">
        <v>9.9153467731259992E-3</v>
      </c>
      <c r="Z18" s="1">
        <v>3.0056853047997E-2</v>
      </c>
      <c r="AA18" s="1">
        <v>4.6836661032089E-2</v>
      </c>
      <c r="AB18" s="1">
        <v>5.4316784997510102E-3</v>
      </c>
      <c r="AC18" s="1">
        <v>2.6606585372275001E-2</v>
      </c>
      <c r="AD18" s="1">
        <v>5.4550328307161999E-2</v>
      </c>
      <c r="AE18" s="1">
        <v>2.8276490771014001E-2</v>
      </c>
    </row>
    <row r="19" spans="1:31" x14ac:dyDescent="0.25">
      <c r="A19" s="3" t="s">
        <v>18</v>
      </c>
      <c r="B19" s="1">
        <v>7.552005189713E-2</v>
      </c>
      <c r="C19" s="1">
        <v>3.7204391191751E-2</v>
      </c>
      <c r="D19" s="1">
        <v>8.4475287091931001E-2</v>
      </c>
      <c r="E19" s="1">
        <v>5.2664902502011002E-2</v>
      </c>
      <c r="F19" s="1">
        <v>3.1427711732685E-2</v>
      </c>
      <c r="G19" s="1">
        <v>5.9663093717029998E-2</v>
      </c>
      <c r="H19" s="1">
        <v>6.1851343012359998E-2</v>
      </c>
      <c r="I19" s="1">
        <v>6.7565362620962993E-2</v>
      </c>
      <c r="J19" s="1">
        <v>2.7580427044560101E-3</v>
      </c>
      <c r="K19" s="1">
        <v>0.11329838069126499</v>
      </c>
      <c r="L19" s="1">
        <v>7.0803004873243994E-2</v>
      </c>
      <c r="M19" s="1">
        <v>3.2026997867124998E-2</v>
      </c>
      <c r="N19" s="1">
        <v>2.9192102543602001E-2</v>
      </c>
      <c r="O19" s="1">
        <v>2.6860575447174E-2</v>
      </c>
      <c r="P19" s="1">
        <v>1.0916386967490001E-3</v>
      </c>
      <c r="Q19" s="1">
        <v>7.7852778309480102E-3</v>
      </c>
      <c r="R19" s="7"/>
      <c r="S19" s="1">
        <v>0.10319694668785601</v>
      </c>
      <c r="T19" s="1">
        <v>5.8831102752922998E-2</v>
      </c>
      <c r="U19" s="1">
        <v>1.80662227994902E-3</v>
      </c>
      <c r="V19" s="1">
        <v>1.2471963483901E-2</v>
      </c>
      <c r="W19" s="1">
        <v>1.9632392846952999E-2</v>
      </c>
      <c r="X19" s="1">
        <v>3.5274196855550999E-2</v>
      </c>
      <c r="Y19" s="1">
        <v>1.7700624604074001E-2</v>
      </c>
      <c r="Z19" s="1">
        <v>3.7842130878945002E-2</v>
      </c>
      <c r="AA19" s="1">
        <v>5.4621938863036998E-2</v>
      </c>
      <c r="AB19" s="1">
        <v>2.353599331197E-3</v>
      </c>
      <c r="AC19" s="1">
        <v>1.8821307541327E-2</v>
      </c>
      <c r="AD19" s="1">
        <v>6.2335606138109997E-2</v>
      </c>
      <c r="AE19" s="1">
        <v>2.0491212940065999E-2</v>
      </c>
    </row>
    <row r="20" spans="1:31" x14ac:dyDescent="0.25">
      <c r="A20" s="3" t="s">
        <v>19</v>
      </c>
      <c r="B20" s="1">
        <v>2.7676894790725999E-2</v>
      </c>
      <c r="C20" s="1">
        <v>6.5992555496104999E-2</v>
      </c>
      <c r="D20" s="1">
        <v>1.8721659595924998E-2</v>
      </c>
      <c r="E20" s="1">
        <v>5.0532044185844997E-2</v>
      </c>
      <c r="F20" s="1">
        <v>7.1769234955170999E-2</v>
      </c>
      <c r="G20" s="1">
        <v>4.3533852970826001E-2</v>
      </c>
      <c r="H20" s="1">
        <v>4.1345603675496001E-2</v>
      </c>
      <c r="I20" s="1">
        <v>3.5631584066892999E-2</v>
      </c>
      <c r="J20" s="1">
        <v>0.1004389039834</v>
      </c>
      <c r="K20" s="1">
        <v>1.0101434003409E-2</v>
      </c>
      <c r="L20" s="1">
        <v>3.2393941814611998E-2</v>
      </c>
      <c r="M20" s="1">
        <v>7.1169948820730994E-2</v>
      </c>
      <c r="N20" s="1">
        <v>7.4004844144253998E-2</v>
      </c>
      <c r="O20" s="1">
        <v>7.6336371240682002E-2</v>
      </c>
      <c r="P20" s="1">
        <v>0.10210530799110699</v>
      </c>
      <c r="Q20" s="1">
        <v>9.5411668856907994E-2</v>
      </c>
      <c r="R20" s="1">
        <v>0.10319694668785601</v>
      </c>
      <c r="S20" s="7"/>
      <c r="T20" s="1">
        <v>0.162028049440779</v>
      </c>
      <c r="U20" s="1">
        <v>0.101390324407907</v>
      </c>
      <c r="V20" s="1">
        <v>0.115668910171757</v>
      </c>
      <c r="W20" s="1">
        <v>8.3564553840903E-2</v>
      </c>
      <c r="X20" s="1">
        <v>0.138471143543407</v>
      </c>
      <c r="Y20" s="1">
        <v>8.5496322083781995E-2</v>
      </c>
      <c r="Z20" s="1">
        <v>6.5354815808911004E-2</v>
      </c>
      <c r="AA20" s="1">
        <v>4.8575007824819001E-2</v>
      </c>
      <c r="AB20" s="1">
        <v>0.10084334735665899</v>
      </c>
      <c r="AC20" s="1">
        <v>0.122018254229183</v>
      </c>
      <c r="AD20" s="1">
        <v>4.0861340549746002E-2</v>
      </c>
      <c r="AE20" s="1">
        <v>0.123688159627922</v>
      </c>
    </row>
    <row r="21" spans="1:31" x14ac:dyDescent="0.25">
      <c r="A21" s="3" t="s">
        <v>20</v>
      </c>
      <c r="B21" s="1">
        <v>0.13435115465005301</v>
      </c>
      <c r="C21" s="1">
        <v>9.6035493944674005E-2</v>
      </c>
      <c r="D21" s="1">
        <v>0.143306389844854</v>
      </c>
      <c r="E21" s="1">
        <v>0.111496005254934</v>
      </c>
      <c r="F21" s="1">
        <v>9.0258814485608005E-2</v>
      </c>
      <c r="G21" s="1">
        <v>0.118494196469953</v>
      </c>
      <c r="H21" s="1">
        <v>0.120682445765283</v>
      </c>
      <c r="I21" s="1">
        <v>0.12639646537388599</v>
      </c>
      <c r="J21" s="1">
        <v>6.1589145457379001E-2</v>
      </c>
      <c r="K21" s="1">
        <v>0.17212948344418799</v>
      </c>
      <c r="L21" s="1">
        <v>0.12963410762616701</v>
      </c>
      <c r="M21" s="1">
        <v>9.0858100620047996E-2</v>
      </c>
      <c r="N21" s="1">
        <v>8.8023205296525006E-2</v>
      </c>
      <c r="O21" s="1">
        <v>8.5691678200097002E-2</v>
      </c>
      <c r="P21" s="1">
        <v>5.9922741449672003E-2</v>
      </c>
      <c r="Q21" s="1">
        <v>6.6616380583870996E-2</v>
      </c>
      <c r="R21" s="1">
        <v>5.8831102752922998E-2</v>
      </c>
      <c r="S21" s="1">
        <v>0.162028049440779</v>
      </c>
      <c r="T21" s="7"/>
      <c r="U21" s="1">
        <v>6.0637725032872E-2</v>
      </c>
      <c r="V21" s="1">
        <v>4.6359139269022E-2</v>
      </c>
      <c r="W21" s="1">
        <v>7.8463495599876004E-2</v>
      </c>
      <c r="X21" s="1">
        <v>2.3556905897371999E-2</v>
      </c>
      <c r="Y21" s="1">
        <v>7.6531727356996995E-2</v>
      </c>
      <c r="Z21" s="1">
        <v>9.6673233631868E-2</v>
      </c>
      <c r="AA21" s="1">
        <v>0.11345304161596</v>
      </c>
      <c r="AB21" s="1">
        <v>6.1184702084120003E-2</v>
      </c>
      <c r="AC21" s="1">
        <v>4.0009795211595998E-2</v>
      </c>
      <c r="AD21" s="1">
        <v>0.121166708891033</v>
      </c>
      <c r="AE21" s="1">
        <v>3.8339889812856999E-2</v>
      </c>
    </row>
    <row r="22" spans="1:31" x14ac:dyDescent="0.25">
      <c r="A22" s="3" t="s">
        <v>21</v>
      </c>
      <c r="B22" s="1">
        <v>7.3713429617180998E-2</v>
      </c>
      <c r="C22" s="1">
        <v>3.5397768911801998E-2</v>
      </c>
      <c r="D22" s="1">
        <v>8.2668664811981998E-2</v>
      </c>
      <c r="E22" s="1">
        <v>5.0858280222061999E-2</v>
      </c>
      <c r="F22" s="1">
        <v>2.9621089452736001E-2</v>
      </c>
      <c r="G22" s="1">
        <v>5.7856471437081003E-2</v>
      </c>
      <c r="H22" s="1">
        <v>6.0044720732411003E-2</v>
      </c>
      <c r="I22" s="1">
        <v>6.5758740341014005E-2</v>
      </c>
      <c r="J22" s="1">
        <v>9.5142042450699295E-4</v>
      </c>
      <c r="K22" s="1">
        <v>0.11149175841131601</v>
      </c>
      <c r="L22" s="1">
        <v>6.8996382593295005E-2</v>
      </c>
      <c r="M22" s="1">
        <v>3.0220375587176E-2</v>
      </c>
      <c r="N22" s="1">
        <v>2.7385480263652999E-2</v>
      </c>
      <c r="O22" s="1">
        <v>2.5053953167225002E-2</v>
      </c>
      <c r="P22" s="1">
        <v>7.1498358320001799E-4</v>
      </c>
      <c r="Q22" s="1">
        <v>5.9786555509990002E-3</v>
      </c>
      <c r="R22" s="1">
        <v>1.80662227994902E-3</v>
      </c>
      <c r="S22" s="1">
        <v>0.101390324407907</v>
      </c>
      <c r="T22" s="1">
        <v>6.0637725032872E-2</v>
      </c>
      <c r="U22" s="7"/>
      <c r="V22" s="1">
        <v>1.4278585763850001E-2</v>
      </c>
      <c r="W22" s="1">
        <v>1.7825770567004001E-2</v>
      </c>
      <c r="X22" s="1">
        <v>3.7080819135500001E-2</v>
      </c>
      <c r="Y22" s="1">
        <v>1.5894002324124998E-2</v>
      </c>
      <c r="Z22" s="1">
        <v>3.6035508598995999E-2</v>
      </c>
      <c r="AA22" s="1">
        <v>5.2815316583088003E-2</v>
      </c>
      <c r="AB22" s="1">
        <v>5.4697705124798202E-4</v>
      </c>
      <c r="AC22" s="1">
        <v>2.0627929821275998E-2</v>
      </c>
      <c r="AD22" s="1">
        <v>6.0528983858161002E-2</v>
      </c>
      <c r="AE22" s="1">
        <v>2.2297835220015001E-2</v>
      </c>
    </row>
    <row r="23" spans="1:31" x14ac:dyDescent="0.25">
      <c r="A23" s="3" t="s">
        <v>22</v>
      </c>
      <c r="B23" s="1">
        <v>8.7992015381031005E-2</v>
      </c>
      <c r="C23" s="1">
        <v>4.9676354675651999E-2</v>
      </c>
      <c r="D23" s="1">
        <v>9.6947250575832006E-2</v>
      </c>
      <c r="E23" s="1">
        <v>6.5136865985912007E-2</v>
      </c>
      <c r="F23" s="1">
        <v>4.3899675216585998E-2</v>
      </c>
      <c r="G23" s="1">
        <v>7.2135057200930996E-2</v>
      </c>
      <c r="H23" s="1">
        <v>7.4323306496260996E-2</v>
      </c>
      <c r="I23" s="1">
        <v>8.0037326104863998E-2</v>
      </c>
      <c r="J23" s="1">
        <v>1.5230006188356999E-2</v>
      </c>
      <c r="K23" s="1">
        <v>0.125770344175166</v>
      </c>
      <c r="L23" s="1">
        <v>8.3274968357144999E-2</v>
      </c>
      <c r="M23" s="1">
        <v>4.4498961351025997E-2</v>
      </c>
      <c r="N23" s="1">
        <v>4.1664066027502999E-2</v>
      </c>
      <c r="O23" s="1">
        <v>3.9332538931075002E-2</v>
      </c>
      <c r="P23" s="1">
        <v>1.3563602180649999E-2</v>
      </c>
      <c r="Q23" s="1">
        <v>2.0257241314849E-2</v>
      </c>
      <c r="R23" s="1">
        <v>1.2471963483901E-2</v>
      </c>
      <c r="S23" s="1">
        <v>0.115668910171757</v>
      </c>
      <c r="T23" s="1">
        <v>4.6359139269022E-2</v>
      </c>
      <c r="U23" s="1">
        <v>1.4278585763850001E-2</v>
      </c>
      <c r="V23" s="7"/>
      <c r="W23" s="1">
        <v>3.2104356330853998E-2</v>
      </c>
      <c r="X23" s="1">
        <v>2.2802233371650001E-2</v>
      </c>
      <c r="Y23" s="1">
        <v>3.0172588087974999E-2</v>
      </c>
      <c r="Z23" s="1">
        <v>5.0314094362846E-2</v>
      </c>
      <c r="AA23" s="1">
        <v>6.7093902346938003E-2</v>
      </c>
      <c r="AB23" s="1">
        <v>1.4825562815098E-2</v>
      </c>
      <c r="AC23" s="1">
        <v>6.34934405742599E-3</v>
      </c>
      <c r="AD23" s="1">
        <v>7.4807569622011003E-2</v>
      </c>
      <c r="AE23" s="1">
        <v>8.0192494561650007E-3</v>
      </c>
    </row>
    <row r="24" spans="1:31" x14ac:dyDescent="0.25">
      <c r="A24" s="3" t="s">
        <v>23</v>
      </c>
      <c r="B24" s="1">
        <v>5.5887659050177001E-2</v>
      </c>
      <c r="C24" s="1">
        <v>1.7571998344798001E-2</v>
      </c>
      <c r="D24" s="1">
        <v>6.4842894244977994E-2</v>
      </c>
      <c r="E24" s="1">
        <v>3.3032509655058002E-2</v>
      </c>
      <c r="F24" s="1">
        <v>1.1795318885732001E-2</v>
      </c>
      <c r="G24" s="1">
        <v>4.0030700870076999E-2</v>
      </c>
      <c r="H24" s="1">
        <v>4.2218950165406999E-2</v>
      </c>
      <c r="I24" s="1">
        <v>4.7932969774010001E-2</v>
      </c>
      <c r="J24" s="1">
        <v>1.6874350142497E-2</v>
      </c>
      <c r="K24" s="1">
        <v>9.3665987844312001E-2</v>
      </c>
      <c r="L24" s="1">
        <v>5.1170612026291001E-2</v>
      </c>
      <c r="M24" s="1">
        <v>1.2394605020172001E-2</v>
      </c>
      <c r="N24" s="1">
        <v>9.5597096966489898E-3</v>
      </c>
      <c r="O24" s="1">
        <v>7.2281826002210097E-3</v>
      </c>
      <c r="P24" s="1">
        <v>1.8540754150204002E-2</v>
      </c>
      <c r="Q24" s="1">
        <v>1.1847115016004999E-2</v>
      </c>
      <c r="R24" s="1">
        <v>1.9632392846952999E-2</v>
      </c>
      <c r="S24" s="1">
        <v>8.3564553840903E-2</v>
      </c>
      <c r="T24" s="1">
        <v>7.8463495599876004E-2</v>
      </c>
      <c r="U24" s="1">
        <v>1.7825770567004001E-2</v>
      </c>
      <c r="V24" s="1">
        <v>3.2104356330853998E-2</v>
      </c>
      <c r="W24" s="7"/>
      <c r="X24" s="1">
        <v>5.4906589702503998E-2</v>
      </c>
      <c r="Y24" s="1">
        <v>1.9317682428790001E-3</v>
      </c>
      <c r="Z24" s="1">
        <v>1.8209738031991999E-2</v>
      </c>
      <c r="AA24" s="1">
        <v>3.4989546016083999E-2</v>
      </c>
      <c r="AB24" s="1">
        <v>1.7278793515756001E-2</v>
      </c>
      <c r="AC24" s="1">
        <v>3.8453700388279999E-2</v>
      </c>
      <c r="AD24" s="1">
        <v>4.2703213291156998E-2</v>
      </c>
      <c r="AE24" s="1">
        <v>4.0123605787018998E-2</v>
      </c>
    </row>
    <row r="25" spans="1:31" x14ac:dyDescent="0.25">
      <c r="A25" s="3" t="s">
        <v>24</v>
      </c>
      <c r="B25" s="1">
        <v>0.110794248752681</v>
      </c>
      <c r="C25" s="1">
        <v>7.2478588047302006E-2</v>
      </c>
      <c r="D25" s="1">
        <v>0.119749483947482</v>
      </c>
      <c r="E25" s="1">
        <v>8.7939099357562001E-2</v>
      </c>
      <c r="F25" s="1">
        <v>6.6701908588236006E-2</v>
      </c>
      <c r="G25" s="1">
        <v>9.4937290572581004E-2</v>
      </c>
      <c r="H25" s="1">
        <v>9.7125539867911004E-2</v>
      </c>
      <c r="I25" s="1">
        <v>0.10283955947651401</v>
      </c>
      <c r="J25" s="1">
        <v>3.8032239560007002E-2</v>
      </c>
      <c r="K25" s="1">
        <v>0.14857257754681599</v>
      </c>
      <c r="L25" s="1">
        <v>0.10607720172879501</v>
      </c>
      <c r="M25" s="1">
        <v>6.7301194722675997E-2</v>
      </c>
      <c r="N25" s="1">
        <v>6.4466299399152993E-2</v>
      </c>
      <c r="O25" s="1">
        <v>6.2134772302725003E-2</v>
      </c>
      <c r="P25" s="1">
        <v>3.6365835552299997E-2</v>
      </c>
      <c r="Q25" s="1">
        <v>4.3059474686498997E-2</v>
      </c>
      <c r="R25" s="1">
        <v>3.5274196855550999E-2</v>
      </c>
      <c r="S25" s="1">
        <v>0.138471143543407</v>
      </c>
      <c r="T25" s="1">
        <v>2.3556905897371999E-2</v>
      </c>
      <c r="U25" s="1">
        <v>3.7080819135500001E-2</v>
      </c>
      <c r="V25" s="1">
        <v>2.2802233371650001E-2</v>
      </c>
      <c r="W25" s="1">
        <v>5.4906589702503998E-2</v>
      </c>
      <c r="X25" s="7"/>
      <c r="Y25" s="1">
        <v>5.2974821459625003E-2</v>
      </c>
      <c r="Z25" s="1">
        <v>7.3116327734496001E-2</v>
      </c>
      <c r="AA25" s="1">
        <v>8.9896135718587997E-2</v>
      </c>
      <c r="AB25" s="1">
        <v>3.7627796186747997E-2</v>
      </c>
      <c r="AC25" s="1">
        <v>1.6452889314223999E-2</v>
      </c>
      <c r="AD25" s="1">
        <v>9.7609802993660996E-2</v>
      </c>
      <c r="AE25" s="1">
        <v>1.4782983915485E-2</v>
      </c>
    </row>
    <row r="26" spans="1:31" x14ac:dyDescent="0.25">
      <c r="A26" s="3" t="s">
        <v>25</v>
      </c>
      <c r="B26" s="1">
        <v>5.7819427293056003E-2</v>
      </c>
      <c r="C26" s="1">
        <v>1.9503766587677E-2</v>
      </c>
      <c r="D26" s="1">
        <v>6.6774662487857003E-2</v>
      </c>
      <c r="E26" s="1">
        <v>3.4964277897936998E-2</v>
      </c>
      <c r="F26" s="1">
        <v>1.3727087128610999E-2</v>
      </c>
      <c r="G26" s="1">
        <v>4.1962469112956001E-2</v>
      </c>
      <c r="H26" s="1">
        <v>4.4150718408286001E-2</v>
      </c>
      <c r="I26" s="1">
        <v>4.9864738016889003E-2</v>
      </c>
      <c r="J26" s="1">
        <v>1.4942581899618E-2</v>
      </c>
      <c r="K26" s="1">
        <v>9.5597756087190996E-2</v>
      </c>
      <c r="L26" s="1">
        <v>5.3102380269170003E-2</v>
      </c>
      <c r="M26" s="1">
        <v>1.4326373263050999E-2</v>
      </c>
      <c r="N26" s="1">
        <v>1.1491477939528E-2</v>
      </c>
      <c r="O26" s="1">
        <v>9.15995084310001E-3</v>
      </c>
      <c r="P26" s="1">
        <v>1.6608985907325E-2</v>
      </c>
      <c r="Q26" s="1">
        <v>9.9153467731259992E-3</v>
      </c>
      <c r="R26" s="1">
        <v>1.7700624604074001E-2</v>
      </c>
      <c r="S26" s="1">
        <v>8.5496322083781995E-2</v>
      </c>
      <c r="T26" s="1">
        <v>7.6531727356996995E-2</v>
      </c>
      <c r="U26" s="1">
        <v>1.5894002324124998E-2</v>
      </c>
      <c r="V26" s="1">
        <v>3.0172588087974999E-2</v>
      </c>
      <c r="W26" s="1">
        <v>1.9317682428790001E-3</v>
      </c>
      <c r="X26" s="1">
        <v>5.2974821459625003E-2</v>
      </c>
      <c r="Y26" s="7"/>
      <c r="Z26" s="1">
        <v>2.0141506274871001E-2</v>
      </c>
      <c r="AA26" s="1">
        <v>3.6921314258963001E-2</v>
      </c>
      <c r="AB26" s="1">
        <v>1.5347025272877001E-2</v>
      </c>
      <c r="AC26" s="1">
        <v>3.6521932145400997E-2</v>
      </c>
      <c r="AD26" s="1">
        <v>4.4634981534036E-2</v>
      </c>
      <c r="AE26" s="1">
        <v>3.8191837544140003E-2</v>
      </c>
    </row>
    <row r="27" spans="1:31" x14ac:dyDescent="0.25">
      <c r="A27" s="3" t="s">
        <v>26</v>
      </c>
      <c r="B27" s="1">
        <v>3.7677921018184998E-2</v>
      </c>
      <c r="C27" s="1">
        <v>6.37739687193994E-4</v>
      </c>
      <c r="D27" s="1">
        <v>4.6633156212985999E-2</v>
      </c>
      <c r="E27" s="1">
        <v>1.4822771623066E-2</v>
      </c>
      <c r="F27" s="1">
        <v>6.4144191462600104E-3</v>
      </c>
      <c r="G27" s="1">
        <v>2.1820962838085E-2</v>
      </c>
      <c r="H27" s="1">
        <v>2.4009212133415E-2</v>
      </c>
      <c r="I27" s="1">
        <v>2.9723231742017998E-2</v>
      </c>
      <c r="J27" s="1">
        <v>3.5084088174488999E-2</v>
      </c>
      <c r="K27" s="1">
        <v>7.5456249812320006E-2</v>
      </c>
      <c r="L27" s="1">
        <v>3.2960873994298999E-2</v>
      </c>
      <c r="M27" s="1">
        <v>5.8151330118199904E-3</v>
      </c>
      <c r="N27" s="1">
        <v>8.6500283353430091E-3</v>
      </c>
      <c r="O27" s="1">
        <v>1.0981555431771E-2</v>
      </c>
      <c r="P27" s="1">
        <v>3.6750492182195997E-2</v>
      </c>
      <c r="Q27" s="1">
        <v>3.0056853047997E-2</v>
      </c>
      <c r="R27" s="1">
        <v>3.7842130878945002E-2</v>
      </c>
      <c r="S27" s="1">
        <v>6.5354815808911004E-2</v>
      </c>
      <c r="T27" s="1">
        <v>9.6673233631868E-2</v>
      </c>
      <c r="U27" s="1">
        <v>3.6035508598995999E-2</v>
      </c>
      <c r="V27" s="1">
        <v>5.0314094362846E-2</v>
      </c>
      <c r="W27" s="1">
        <v>1.8209738031991999E-2</v>
      </c>
      <c r="X27" s="1">
        <v>7.3116327734496001E-2</v>
      </c>
      <c r="Y27" s="1">
        <v>2.0141506274871001E-2</v>
      </c>
      <c r="Z27" s="7"/>
      <c r="AA27" s="1">
        <v>1.6779807984092E-2</v>
      </c>
      <c r="AB27" s="1">
        <v>3.5488531547748003E-2</v>
      </c>
      <c r="AC27" s="1">
        <v>5.6663438420272001E-2</v>
      </c>
      <c r="AD27" s="1">
        <v>2.4493475259164999E-2</v>
      </c>
      <c r="AE27" s="1">
        <v>5.8333343819011001E-2</v>
      </c>
    </row>
    <row r="28" spans="1:31" x14ac:dyDescent="0.25">
      <c r="A28" s="3" t="s">
        <v>27</v>
      </c>
      <c r="B28" s="1">
        <v>2.0898113034092999E-2</v>
      </c>
      <c r="C28" s="1">
        <v>1.7417547671286001E-2</v>
      </c>
      <c r="D28" s="1">
        <v>2.9853348228893999E-2</v>
      </c>
      <c r="E28" s="1">
        <v>1.95703636102601E-3</v>
      </c>
      <c r="F28" s="1">
        <v>2.3194227130352001E-2</v>
      </c>
      <c r="G28" s="1">
        <v>5.0411548539929796E-3</v>
      </c>
      <c r="H28" s="1">
        <v>7.2294041493229898E-3</v>
      </c>
      <c r="I28" s="1">
        <v>1.2943423757926001E-2</v>
      </c>
      <c r="J28" s="1">
        <v>5.1863896158581002E-2</v>
      </c>
      <c r="K28" s="1">
        <v>5.8676441828228003E-2</v>
      </c>
      <c r="L28" s="1">
        <v>1.6181066010206999E-2</v>
      </c>
      <c r="M28" s="1">
        <v>2.2594940995912E-2</v>
      </c>
      <c r="N28" s="1">
        <v>2.5429836319435E-2</v>
      </c>
      <c r="O28" s="1">
        <v>2.7761363415863001E-2</v>
      </c>
      <c r="P28" s="1">
        <v>5.3530300166288E-2</v>
      </c>
      <c r="Q28" s="1">
        <v>4.6836661032089E-2</v>
      </c>
      <c r="R28" s="1">
        <v>5.4621938863036998E-2</v>
      </c>
      <c r="S28" s="1">
        <v>4.8575007824819001E-2</v>
      </c>
      <c r="T28" s="1">
        <v>0.11345304161596</v>
      </c>
      <c r="U28" s="1">
        <v>5.2815316583088003E-2</v>
      </c>
      <c r="V28" s="1">
        <v>6.7093902346938003E-2</v>
      </c>
      <c r="W28" s="1">
        <v>3.4989546016083999E-2</v>
      </c>
      <c r="X28" s="1">
        <v>8.9896135718587997E-2</v>
      </c>
      <c r="Y28" s="1">
        <v>3.6921314258963001E-2</v>
      </c>
      <c r="Z28" s="1">
        <v>1.6779807984092E-2</v>
      </c>
      <c r="AA28" s="7"/>
      <c r="AB28" s="1">
        <v>5.226833953184E-2</v>
      </c>
      <c r="AC28" s="1">
        <v>7.3443246404364004E-2</v>
      </c>
      <c r="AD28" s="1">
        <v>7.7136672750730004E-3</v>
      </c>
      <c r="AE28" s="1">
        <v>7.5113151803103004E-2</v>
      </c>
    </row>
    <row r="29" spans="1:31" x14ac:dyDescent="0.25">
      <c r="A29" s="3" t="s">
        <v>28</v>
      </c>
      <c r="B29" s="1">
        <v>7.3166452565933002E-2</v>
      </c>
      <c r="C29" s="1">
        <v>3.4850791860554002E-2</v>
      </c>
      <c r="D29" s="1">
        <v>8.2121687760734002E-2</v>
      </c>
      <c r="E29" s="1">
        <v>5.0311303170813997E-2</v>
      </c>
      <c r="F29" s="1">
        <v>2.9074112401487998E-2</v>
      </c>
      <c r="G29" s="1">
        <v>5.7309494385833E-2</v>
      </c>
      <c r="H29" s="1">
        <v>5.9497743681163E-2</v>
      </c>
      <c r="I29" s="1">
        <v>6.5211763289765995E-2</v>
      </c>
      <c r="J29" s="1">
        <v>4.0444337325901098E-4</v>
      </c>
      <c r="K29" s="1">
        <v>0.110944781360068</v>
      </c>
      <c r="L29" s="1">
        <v>6.8449405542046995E-2</v>
      </c>
      <c r="M29" s="1">
        <v>2.9673398535928E-2</v>
      </c>
      <c r="N29" s="1">
        <v>2.6838503212405E-2</v>
      </c>
      <c r="O29" s="1">
        <v>2.4506976115976999E-2</v>
      </c>
      <c r="P29" s="1">
        <v>1.2619606344479999E-3</v>
      </c>
      <c r="Q29" s="1">
        <v>5.4316784997510102E-3</v>
      </c>
      <c r="R29" s="1">
        <v>2.353599331197E-3</v>
      </c>
      <c r="S29" s="1">
        <v>0.10084334735665899</v>
      </c>
      <c r="T29" s="1">
        <v>6.1184702084120003E-2</v>
      </c>
      <c r="U29" s="1">
        <v>5.4697705124798202E-4</v>
      </c>
      <c r="V29" s="1">
        <v>1.4825562815098E-2</v>
      </c>
      <c r="W29" s="1">
        <v>1.7278793515756001E-2</v>
      </c>
      <c r="X29" s="1">
        <v>3.7627796186747997E-2</v>
      </c>
      <c r="Y29" s="1">
        <v>1.5347025272877001E-2</v>
      </c>
      <c r="Z29" s="1">
        <v>3.5488531547748003E-2</v>
      </c>
      <c r="AA29" s="1">
        <v>5.226833953184E-2</v>
      </c>
      <c r="AB29" s="7"/>
      <c r="AC29" s="1">
        <v>2.1174906872524001E-2</v>
      </c>
      <c r="AD29" s="1">
        <v>5.9982006806912999E-2</v>
      </c>
      <c r="AE29" s="1">
        <v>2.2844812271263001E-2</v>
      </c>
    </row>
    <row r="30" spans="1:31" x14ac:dyDescent="0.25">
      <c r="A30" s="3" t="s">
        <v>29</v>
      </c>
      <c r="B30" s="1">
        <v>9.4341359438457006E-2</v>
      </c>
      <c r="C30" s="1">
        <v>5.6025698733078E-2</v>
      </c>
      <c r="D30" s="1">
        <v>0.10329659463325799</v>
      </c>
      <c r="E30" s="1">
        <v>7.1486210043337994E-2</v>
      </c>
      <c r="F30" s="1">
        <v>5.0249019274012E-2</v>
      </c>
      <c r="G30" s="1">
        <v>7.8484401258356998E-2</v>
      </c>
      <c r="H30" s="1">
        <v>8.0672650553686998E-2</v>
      </c>
      <c r="I30" s="1">
        <v>8.638667016229E-2</v>
      </c>
      <c r="J30" s="1">
        <v>2.1579350245782999E-2</v>
      </c>
      <c r="K30" s="1">
        <v>0.13211968823259199</v>
      </c>
      <c r="L30" s="1">
        <v>8.9624312414571E-2</v>
      </c>
      <c r="M30" s="1">
        <v>5.0848305408451998E-2</v>
      </c>
      <c r="N30" s="1">
        <v>4.8013410084929001E-2</v>
      </c>
      <c r="O30" s="1">
        <v>4.5681882988501003E-2</v>
      </c>
      <c r="P30" s="1">
        <v>1.9912946238076001E-2</v>
      </c>
      <c r="Q30" s="1">
        <v>2.6606585372275001E-2</v>
      </c>
      <c r="R30" s="1">
        <v>1.8821307541327E-2</v>
      </c>
      <c r="S30" s="1">
        <v>0.122018254229183</v>
      </c>
      <c r="T30" s="1">
        <v>4.0009795211595998E-2</v>
      </c>
      <c r="U30" s="1">
        <v>2.0627929821275998E-2</v>
      </c>
      <c r="V30" s="1">
        <v>6.34934405742599E-3</v>
      </c>
      <c r="W30" s="1">
        <v>3.8453700388279999E-2</v>
      </c>
      <c r="X30" s="1">
        <v>1.6452889314223999E-2</v>
      </c>
      <c r="Y30" s="1">
        <v>3.6521932145400997E-2</v>
      </c>
      <c r="Z30" s="1">
        <v>5.6663438420272001E-2</v>
      </c>
      <c r="AA30" s="1">
        <v>7.3443246404364004E-2</v>
      </c>
      <c r="AB30" s="1">
        <v>2.1174906872524001E-2</v>
      </c>
      <c r="AC30" s="7"/>
      <c r="AD30" s="1">
        <v>8.1156913679437004E-2</v>
      </c>
      <c r="AE30" s="1">
        <v>1.6699053987390101E-3</v>
      </c>
    </row>
    <row r="31" spans="1:31" x14ac:dyDescent="0.25">
      <c r="A31" s="3" t="s">
        <v>30</v>
      </c>
      <c r="B31" s="1">
        <v>1.3184445759020001E-2</v>
      </c>
      <c r="C31" s="1">
        <v>2.5131214946359001E-2</v>
      </c>
      <c r="D31" s="1">
        <v>2.2139680953821E-2</v>
      </c>
      <c r="E31" s="1">
        <v>9.6707036360990095E-3</v>
      </c>
      <c r="F31" s="1">
        <v>3.0907894405425001E-2</v>
      </c>
      <c r="G31" s="1">
        <v>2.67251242108002E-3</v>
      </c>
      <c r="H31" s="1">
        <v>4.8426312575000602E-4</v>
      </c>
      <c r="I31" s="1">
        <v>5.2297564828529802E-3</v>
      </c>
      <c r="J31" s="1">
        <v>5.9577563433654002E-2</v>
      </c>
      <c r="K31" s="1">
        <v>5.0962774553155003E-2</v>
      </c>
      <c r="L31" s="1">
        <v>8.4673987351339998E-3</v>
      </c>
      <c r="M31" s="1">
        <v>3.0308608270984999E-2</v>
      </c>
      <c r="N31" s="1">
        <v>3.3143503594508003E-2</v>
      </c>
      <c r="O31" s="1">
        <v>3.5475030690936001E-2</v>
      </c>
      <c r="P31" s="1">
        <v>6.1243967441361E-2</v>
      </c>
      <c r="Q31" s="1">
        <v>5.4550328307161999E-2</v>
      </c>
      <c r="R31" s="1">
        <v>6.2335606138109997E-2</v>
      </c>
      <c r="S31" s="1">
        <v>4.0861340549746002E-2</v>
      </c>
      <c r="T31" s="1">
        <v>0.121166708891033</v>
      </c>
      <c r="U31" s="1">
        <v>6.0528983858161002E-2</v>
      </c>
      <c r="V31" s="1">
        <v>7.4807569622011003E-2</v>
      </c>
      <c r="W31" s="1">
        <v>4.2703213291156998E-2</v>
      </c>
      <c r="X31" s="1">
        <v>9.7609802993660996E-2</v>
      </c>
      <c r="Y31" s="1">
        <v>4.4634981534036E-2</v>
      </c>
      <c r="Z31" s="1">
        <v>2.4493475259164999E-2</v>
      </c>
      <c r="AA31" s="1">
        <v>7.7136672750730004E-3</v>
      </c>
      <c r="AB31" s="1">
        <v>5.9982006806912999E-2</v>
      </c>
      <c r="AC31" s="1">
        <v>8.1156913679437004E-2</v>
      </c>
      <c r="AD31" s="7"/>
      <c r="AE31" s="1">
        <v>8.2826819078176003E-2</v>
      </c>
    </row>
    <row r="32" spans="1:31" x14ac:dyDescent="0.25">
      <c r="A32" s="3" t="s">
        <v>31</v>
      </c>
      <c r="B32" s="1">
        <v>9.6011264837196006E-2</v>
      </c>
      <c r="C32" s="1">
        <v>5.7695604131816999E-2</v>
      </c>
      <c r="D32" s="1">
        <v>0.10496650003199701</v>
      </c>
      <c r="E32" s="1">
        <v>7.3156115442076994E-2</v>
      </c>
      <c r="F32" s="1">
        <v>5.1918924672750999E-2</v>
      </c>
      <c r="G32" s="1">
        <v>8.0154306657095997E-2</v>
      </c>
      <c r="H32" s="1">
        <v>8.2342555952425997E-2</v>
      </c>
      <c r="I32" s="1">
        <v>8.8056575561028999E-2</v>
      </c>
      <c r="J32" s="1">
        <v>2.3249255644522002E-2</v>
      </c>
      <c r="K32" s="1">
        <v>0.133789593631331</v>
      </c>
      <c r="L32" s="1">
        <v>9.129421781331E-2</v>
      </c>
      <c r="M32" s="1">
        <v>5.2518210807190997E-2</v>
      </c>
      <c r="N32" s="1">
        <v>4.9683315483668E-2</v>
      </c>
      <c r="O32" s="1">
        <v>4.7351788387240003E-2</v>
      </c>
      <c r="P32" s="1">
        <v>2.1582851636815E-2</v>
      </c>
      <c r="Q32" s="1">
        <v>2.8276490771014001E-2</v>
      </c>
      <c r="R32" s="1">
        <v>2.0491212940065999E-2</v>
      </c>
      <c r="S32" s="1">
        <v>0.123688159627922</v>
      </c>
      <c r="T32" s="1">
        <v>3.8339889812856999E-2</v>
      </c>
      <c r="U32" s="1">
        <v>2.2297835220015001E-2</v>
      </c>
      <c r="V32" s="1">
        <v>8.0192494561650007E-3</v>
      </c>
      <c r="W32" s="1">
        <v>4.0123605787018998E-2</v>
      </c>
      <c r="X32" s="1">
        <v>1.4782983915485E-2</v>
      </c>
      <c r="Y32" s="1">
        <v>3.8191837544140003E-2</v>
      </c>
      <c r="Z32" s="1">
        <v>5.8333343819011001E-2</v>
      </c>
      <c r="AA32" s="1">
        <v>7.5113151803103004E-2</v>
      </c>
      <c r="AB32" s="1">
        <v>2.2844812271263001E-2</v>
      </c>
      <c r="AC32" s="1">
        <v>1.6699053987390101E-3</v>
      </c>
      <c r="AD32" s="1">
        <v>8.2826819078176003E-2</v>
      </c>
      <c r="AE32" s="7"/>
    </row>
    <row r="35" spans="1:31" x14ac:dyDescent="0.25">
      <c r="B35" s="4" t="s">
        <v>34</v>
      </c>
      <c r="C35" s="1">
        <f>SUM(B3:AE32)/870</f>
        <v>4.7045637850855901E-2</v>
      </c>
    </row>
    <row r="36" spans="1:31" x14ac:dyDescent="0.25">
      <c r="B36" s="1" t="s">
        <v>44</v>
      </c>
      <c r="C36" s="1" t="s">
        <v>45</v>
      </c>
      <c r="D36" s="1" t="s">
        <v>46</v>
      </c>
      <c r="E36" s="1" t="s">
        <v>47</v>
      </c>
      <c r="F36" s="1" t="s">
        <v>48</v>
      </c>
      <c r="G36" s="1" t="s">
        <v>49</v>
      </c>
      <c r="H36" s="1" t="s">
        <v>50</v>
      </c>
      <c r="I36" s="1" t="s">
        <v>51</v>
      </c>
      <c r="J36" s="1" t="s">
        <v>52</v>
      </c>
      <c r="K36" s="1" t="s">
        <v>53</v>
      </c>
      <c r="L36" s="1" t="s">
        <v>54</v>
      </c>
      <c r="M36" s="1" t="s">
        <v>55</v>
      </c>
      <c r="N36" s="1" t="s">
        <v>56</v>
      </c>
      <c r="O36" s="1" t="s">
        <v>57</v>
      </c>
      <c r="P36" s="1" t="s">
        <v>58</v>
      </c>
      <c r="Q36" s="1" t="s">
        <v>59</v>
      </c>
      <c r="R36" s="1" t="s">
        <v>60</v>
      </c>
      <c r="S36" s="1" t="s">
        <v>61</v>
      </c>
      <c r="T36" s="1" t="s">
        <v>62</v>
      </c>
      <c r="U36" s="1" t="s">
        <v>63</v>
      </c>
      <c r="V36" s="1" t="s">
        <v>64</v>
      </c>
      <c r="W36" s="1" t="s">
        <v>65</v>
      </c>
      <c r="X36" s="1" t="s">
        <v>66</v>
      </c>
      <c r="Y36" s="1" t="s">
        <v>67</v>
      </c>
      <c r="Z36" s="1" t="s">
        <v>68</v>
      </c>
      <c r="AA36" s="1" t="s">
        <v>69</v>
      </c>
      <c r="AB36" s="1" t="s">
        <v>70</v>
      </c>
      <c r="AC36" s="1" t="s">
        <v>71</v>
      </c>
      <c r="AD36" s="1" t="s">
        <v>72</v>
      </c>
      <c r="AE36" s="1" t="s">
        <v>73</v>
      </c>
    </row>
    <row r="37" spans="1:31" x14ac:dyDescent="0.25">
      <c r="A37" s="3" t="s">
        <v>2</v>
      </c>
      <c r="B37" s="1">
        <f>IF(B3&gt;$C$35,1,0)</f>
        <v>0</v>
      </c>
      <c r="C37" s="1">
        <f t="shared" ref="C37:AE37" si="0">IF(C3&gt;$C$35,1,0)</f>
        <v>0</v>
      </c>
      <c r="D37" s="1">
        <f t="shared" si="0"/>
        <v>0</v>
      </c>
      <c r="E37" s="1">
        <f t="shared" si="0"/>
        <v>0</v>
      </c>
      <c r="F37" s="1">
        <f t="shared" si="0"/>
        <v>0</v>
      </c>
      <c r="G37" s="1">
        <f t="shared" si="0"/>
        <v>0</v>
      </c>
      <c r="H37" s="1">
        <f t="shared" si="0"/>
        <v>0</v>
      </c>
      <c r="I37" s="1">
        <f t="shared" si="0"/>
        <v>0</v>
      </c>
      <c r="J37" s="1">
        <f t="shared" si="0"/>
        <v>1</v>
      </c>
      <c r="K37" s="1">
        <f t="shared" si="0"/>
        <v>0</v>
      </c>
      <c r="L37" s="1">
        <f t="shared" si="0"/>
        <v>0</v>
      </c>
      <c r="M37" s="1">
        <f t="shared" si="0"/>
        <v>0</v>
      </c>
      <c r="N37" s="1">
        <f t="shared" si="0"/>
        <v>0</v>
      </c>
      <c r="O37" s="1">
        <f t="shared" si="0"/>
        <v>1</v>
      </c>
      <c r="P37" s="1">
        <f t="shared" si="0"/>
        <v>1</v>
      </c>
      <c r="Q37" s="1">
        <f t="shared" si="0"/>
        <v>1</v>
      </c>
      <c r="R37" s="1">
        <f t="shared" si="0"/>
        <v>1</v>
      </c>
      <c r="S37" s="1">
        <f t="shared" si="0"/>
        <v>0</v>
      </c>
      <c r="T37" s="1">
        <f t="shared" si="0"/>
        <v>1</v>
      </c>
      <c r="U37" s="1">
        <f t="shared" si="0"/>
        <v>1</v>
      </c>
      <c r="V37" s="1">
        <f t="shared" si="0"/>
        <v>1</v>
      </c>
      <c r="W37" s="1">
        <f t="shared" si="0"/>
        <v>1</v>
      </c>
      <c r="X37" s="1">
        <f t="shared" si="0"/>
        <v>1</v>
      </c>
      <c r="Y37" s="1">
        <f t="shared" si="0"/>
        <v>1</v>
      </c>
      <c r="Z37" s="1">
        <f t="shared" si="0"/>
        <v>0</v>
      </c>
      <c r="AA37" s="1">
        <f t="shared" si="0"/>
        <v>0</v>
      </c>
      <c r="AB37" s="1">
        <f t="shared" si="0"/>
        <v>1</v>
      </c>
      <c r="AC37" s="1">
        <f t="shared" si="0"/>
        <v>1</v>
      </c>
      <c r="AD37" s="1">
        <f t="shared" si="0"/>
        <v>0</v>
      </c>
      <c r="AE37" s="1">
        <f t="shared" si="0"/>
        <v>1</v>
      </c>
    </row>
    <row r="38" spans="1:31" x14ac:dyDescent="0.25">
      <c r="A38" s="3" t="s">
        <v>3</v>
      </c>
      <c r="B38" s="1">
        <f t="shared" ref="B38:B66" si="1">IF(B4&gt;$C$35,1,0)</f>
        <v>0</v>
      </c>
      <c r="C38" s="1">
        <f t="shared" ref="C38:C66" si="2">IF(C4&gt;$C$35,1,0)</f>
        <v>0</v>
      </c>
      <c r="D38" s="1">
        <f t="shared" ref="D38:D66" si="3">IF(D4&gt;$C$35,1,0)</f>
        <v>1</v>
      </c>
      <c r="E38" s="1">
        <f t="shared" ref="E38:E66" si="4">IF(E4&gt;$C$35,1,0)</f>
        <v>0</v>
      </c>
      <c r="F38" s="1">
        <f t="shared" ref="F38:F66" si="5">IF(F4&gt;$C$35,1,0)</f>
        <v>0</v>
      </c>
      <c r="G38" s="1">
        <f t="shared" ref="G38:G66" si="6">IF(G4&gt;$C$35,1,0)</f>
        <v>0</v>
      </c>
      <c r="H38" s="1">
        <f t="shared" ref="H38:H66" si="7">IF(H4&gt;$C$35,1,0)</f>
        <v>0</v>
      </c>
      <c r="I38" s="1">
        <f t="shared" ref="I38:I66" si="8">IF(I4&gt;$C$35,1,0)</f>
        <v>0</v>
      </c>
      <c r="J38" s="1">
        <f t="shared" ref="J38:J66" si="9">IF(J4&gt;$C$35,1,0)</f>
        <v>0</v>
      </c>
      <c r="K38" s="1">
        <f t="shared" ref="K38:K66" si="10">IF(K4&gt;$C$35,1,0)</f>
        <v>1</v>
      </c>
      <c r="L38" s="1">
        <f t="shared" ref="L38:L66" si="11">IF(L4&gt;$C$35,1,0)</f>
        <v>0</v>
      </c>
      <c r="M38" s="1">
        <f t="shared" ref="M38:M66" si="12">IF(M4&gt;$C$35,1,0)</f>
        <v>0</v>
      </c>
      <c r="N38" s="1">
        <f t="shared" ref="N38:N66" si="13">IF(N4&gt;$C$35,1,0)</f>
        <v>0</v>
      </c>
      <c r="O38" s="1">
        <f t="shared" ref="O38:O66" si="14">IF(O4&gt;$C$35,1,0)</f>
        <v>0</v>
      </c>
      <c r="P38" s="1">
        <f t="shared" ref="P38:P66" si="15">IF(P4&gt;$C$35,1,0)</f>
        <v>0</v>
      </c>
      <c r="Q38" s="1">
        <f t="shared" ref="Q38:Q66" si="16">IF(Q4&gt;$C$35,1,0)</f>
        <v>0</v>
      </c>
      <c r="R38" s="1">
        <f t="shared" ref="R38:R66" si="17">IF(R4&gt;$C$35,1,0)</f>
        <v>0</v>
      </c>
      <c r="S38" s="1">
        <f t="shared" ref="S38:S66" si="18">IF(S4&gt;$C$35,1,0)</f>
        <v>1</v>
      </c>
      <c r="T38" s="1">
        <f t="shared" ref="T38:T66" si="19">IF(T4&gt;$C$35,1,0)</f>
        <v>1</v>
      </c>
      <c r="U38" s="1">
        <f t="shared" ref="U38:U66" si="20">IF(U4&gt;$C$35,1,0)</f>
        <v>0</v>
      </c>
      <c r="V38" s="1">
        <f t="shared" ref="V38:V66" si="21">IF(V4&gt;$C$35,1,0)</f>
        <v>1</v>
      </c>
      <c r="W38" s="1">
        <f t="shared" ref="W38:W66" si="22">IF(W4&gt;$C$35,1,0)</f>
        <v>0</v>
      </c>
      <c r="X38" s="1">
        <f t="shared" ref="X38:X66" si="23">IF(X4&gt;$C$35,1,0)</f>
        <v>1</v>
      </c>
      <c r="Y38" s="1">
        <f t="shared" ref="Y38:Y66" si="24">IF(Y4&gt;$C$35,1,0)</f>
        <v>0</v>
      </c>
      <c r="Z38" s="1">
        <f t="shared" ref="Z38:Z66" si="25">IF(Z4&gt;$C$35,1,0)</f>
        <v>0</v>
      </c>
      <c r="AA38" s="1">
        <f t="shared" ref="AA38:AA66" si="26">IF(AA4&gt;$C$35,1,0)</f>
        <v>0</v>
      </c>
      <c r="AB38" s="1">
        <f t="shared" ref="AB38:AB66" si="27">IF(AB4&gt;$C$35,1,0)</f>
        <v>0</v>
      </c>
      <c r="AC38" s="1">
        <f t="shared" ref="AC38:AC66" si="28">IF(AC4&gt;$C$35,1,0)</f>
        <v>1</v>
      </c>
      <c r="AD38" s="1">
        <f t="shared" ref="AD38:AD66" si="29">IF(AD4&gt;$C$35,1,0)</f>
        <v>0</v>
      </c>
      <c r="AE38" s="1">
        <f t="shared" ref="AE38:AE66" si="30">IF(AE4&gt;$C$35,1,0)</f>
        <v>1</v>
      </c>
    </row>
    <row r="39" spans="1:31" x14ac:dyDescent="0.25">
      <c r="A39" s="3" t="s">
        <v>4</v>
      </c>
      <c r="B39" s="1">
        <f t="shared" si="1"/>
        <v>0</v>
      </c>
      <c r="C39" s="1">
        <f t="shared" si="2"/>
        <v>1</v>
      </c>
      <c r="D39" s="1">
        <f t="shared" si="3"/>
        <v>0</v>
      </c>
      <c r="E39" s="1">
        <f t="shared" si="4"/>
        <v>0</v>
      </c>
      <c r="F39" s="1">
        <f t="shared" si="5"/>
        <v>1</v>
      </c>
      <c r="G39" s="1">
        <f t="shared" si="6"/>
        <v>0</v>
      </c>
      <c r="H39" s="1">
        <f t="shared" si="7"/>
        <v>0</v>
      </c>
      <c r="I39" s="1">
        <f t="shared" si="8"/>
        <v>0</v>
      </c>
      <c r="J39" s="1">
        <f t="shared" si="9"/>
        <v>1</v>
      </c>
      <c r="K39" s="1">
        <f t="shared" si="10"/>
        <v>0</v>
      </c>
      <c r="L39" s="1">
        <f t="shared" si="11"/>
        <v>0</v>
      </c>
      <c r="M39" s="1">
        <f t="shared" si="12"/>
        <v>1</v>
      </c>
      <c r="N39" s="1">
        <f t="shared" si="13"/>
        <v>1</v>
      </c>
      <c r="O39" s="1">
        <f t="shared" si="14"/>
        <v>1</v>
      </c>
      <c r="P39" s="1">
        <f t="shared" si="15"/>
        <v>1</v>
      </c>
      <c r="Q39" s="1">
        <f t="shared" si="16"/>
        <v>1</v>
      </c>
      <c r="R39" s="1">
        <f t="shared" si="17"/>
        <v>1</v>
      </c>
      <c r="S39" s="1">
        <f t="shared" si="18"/>
        <v>0</v>
      </c>
      <c r="T39" s="1">
        <f t="shared" si="19"/>
        <v>1</v>
      </c>
      <c r="U39" s="1">
        <f t="shared" si="20"/>
        <v>1</v>
      </c>
      <c r="V39" s="1">
        <f t="shared" si="21"/>
        <v>1</v>
      </c>
      <c r="W39" s="1">
        <f t="shared" si="22"/>
        <v>1</v>
      </c>
      <c r="X39" s="1">
        <f t="shared" si="23"/>
        <v>1</v>
      </c>
      <c r="Y39" s="1">
        <f t="shared" si="24"/>
        <v>1</v>
      </c>
      <c r="Z39" s="1">
        <f t="shared" si="25"/>
        <v>0</v>
      </c>
      <c r="AA39" s="1">
        <f t="shared" si="26"/>
        <v>0</v>
      </c>
      <c r="AB39" s="1">
        <f t="shared" si="27"/>
        <v>1</v>
      </c>
      <c r="AC39" s="1">
        <f t="shared" si="28"/>
        <v>1</v>
      </c>
      <c r="AD39" s="1">
        <f t="shared" si="29"/>
        <v>0</v>
      </c>
      <c r="AE39" s="1">
        <f t="shared" si="30"/>
        <v>1</v>
      </c>
    </row>
    <row r="40" spans="1:31" x14ac:dyDescent="0.25">
      <c r="A40" s="3" t="s">
        <v>5</v>
      </c>
      <c r="B40" s="1">
        <f t="shared" si="1"/>
        <v>0</v>
      </c>
      <c r="C40" s="1">
        <f t="shared" si="2"/>
        <v>0</v>
      </c>
      <c r="D40" s="1">
        <f t="shared" si="3"/>
        <v>0</v>
      </c>
      <c r="E40" s="1">
        <f t="shared" si="4"/>
        <v>0</v>
      </c>
      <c r="F40" s="1">
        <f t="shared" si="5"/>
        <v>0</v>
      </c>
      <c r="G40" s="1">
        <f t="shared" si="6"/>
        <v>0</v>
      </c>
      <c r="H40" s="1">
        <f t="shared" si="7"/>
        <v>0</v>
      </c>
      <c r="I40" s="1">
        <f t="shared" si="8"/>
        <v>0</v>
      </c>
      <c r="J40" s="1">
        <f t="shared" si="9"/>
        <v>1</v>
      </c>
      <c r="K40" s="1">
        <f t="shared" si="10"/>
        <v>1</v>
      </c>
      <c r="L40" s="1">
        <f t="shared" si="11"/>
        <v>0</v>
      </c>
      <c r="M40" s="1">
        <f t="shared" si="12"/>
        <v>0</v>
      </c>
      <c r="N40" s="1">
        <f t="shared" si="13"/>
        <v>0</v>
      </c>
      <c r="O40" s="1">
        <f t="shared" si="14"/>
        <v>0</v>
      </c>
      <c r="P40" s="1">
        <f t="shared" si="15"/>
        <v>1</v>
      </c>
      <c r="Q40" s="1">
        <f t="shared" si="16"/>
        <v>0</v>
      </c>
      <c r="R40" s="1">
        <f t="shared" si="17"/>
        <v>1</v>
      </c>
      <c r="S40" s="1">
        <f t="shared" si="18"/>
        <v>1</v>
      </c>
      <c r="T40" s="1">
        <f t="shared" si="19"/>
        <v>1</v>
      </c>
      <c r="U40" s="1">
        <f t="shared" si="20"/>
        <v>1</v>
      </c>
      <c r="V40" s="1">
        <f t="shared" si="21"/>
        <v>1</v>
      </c>
      <c r="W40" s="1">
        <f t="shared" si="22"/>
        <v>0</v>
      </c>
      <c r="X40" s="1">
        <f t="shared" si="23"/>
        <v>1</v>
      </c>
      <c r="Y40" s="1">
        <f t="shared" si="24"/>
        <v>0</v>
      </c>
      <c r="Z40" s="1">
        <f t="shared" si="25"/>
        <v>0</v>
      </c>
      <c r="AA40" s="1">
        <f t="shared" si="26"/>
        <v>0</v>
      </c>
      <c r="AB40" s="1">
        <f t="shared" si="27"/>
        <v>1</v>
      </c>
      <c r="AC40" s="1">
        <f t="shared" si="28"/>
        <v>1</v>
      </c>
      <c r="AD40" s="1">
        <f t="shared" si="29"/>
        <v>0</v>
      </c>
      <c r="AE40" s="1">
        <f t="shared" si="30"/>
        <v>1</v>
      </c>
    </row>
    <row r="41" spans="1:31" x14ac:dyDescent="0.25">
      <c r="A41" s="3" t="s">
        <v>6</v>
      </c>
      <c r="B41" s="1">
        <f t="shared" si="1"/>
        <v>0</v>
      </c>
      <c r="C41" s="1">
        <f t="shared" si="2"/>
        <v>0</v>
      </c>
      <c r="D41" s="1">
        <f t="shared" si="3"/>
        <v>1</v>
      </c>
      <c r="E41" s="1">
        <f t="shared" si="4"/>
        <v>0</v>
      </c>
      <c r="F41" s="1">
        <f t="shared" si="5"/>
        <v>0</v>
      </c>
      <c r="G41" s="1">
        <f t="shared" si="6"/>
        <v>0</v>
      </c>
      <c r="H41" s="1">
        <f t="shared" si="7"/>
        <v>0</v>
      </c>
      <c r="I41" s="1">
        <f t="shared" si="8"/>
        <v>0</v>
      </c>
      <c r="J41" s="1">
        <f t="shared" si="9"/>
        <v>0</v>
      </c>
      <c r="K41" s="1">
        <f t="shared" si="10"/>
        <v>1</v>
      </c>
      <c r="L41" s="1">
        <f t="shared" si="11"/>
        <v>0</v>
      </c>
      <c r="M41" s="1">
        <f t="shared" si="12"/>
        <v>0</v>
      </c>
      <c r="N41" s="1">
        <f t="shared" si="13"/>
        <v>0</v>
      </c>
      <c r="O41" s="1">
        <f t="shared" si="14"/>
        <v>0</v>
      </c>
      <c r="P41" s="1">
        <f t="shared" si="15"/>
        <v>0</v>
      </c>
      <c r="Q41" s="1">
        <f t="shared" si="16"/>
        <v>0</v>
      </c>
      <c r="R41" s="1">
        <f t="shared" si="17"/>
        <v>0</v>
      </c>
      <c r="S41" s="1">
        <f t="shared" si="18"/>
        <v>1</v>
      </c>
      <c r="T41" s="1">
        <f t="shared" si="19"/>
        <v>1</v>
      </c>
      <c r="U41" s="1">
        <f t="shared" si="20"/>
        <v>0</v>
      </c>
      <c r="V41" s="1">
        <f t="shared" si="21"/>
        <v>0</v>
      </c>
      <c r="W41" s="1">
        <f t="shared" si="22"/>
        <v>0</v>
      </c>
      <c r="X41" s="1">
        <f t="shared" si="23"/>
        <v>1</v>
      </c>
      <c r="Y41" s="1">
        <f t="shared" si="24"/>
        <v>0</v>
      </c>
      <c r="Z41" s="1">
        <f t="shared" si="25"/>
        <v>0</v>
      </c>
      <c r="AA41" s="1">
        <f t="shared" si="26"/>
        <v>0</v>
      </c>
      <c r="AB41" s="1">
        <f t="shared" si="27"/>
        <v>0</v>
      </c>
      <c r="AC41" s="1">
        <f t="shared" si="28"/>
        <v>1</v>
      </c>
      <c r="AD41" s="1">
        <f t="shared" si="29"/>
        <v>0</v>
      </c>
      <c r="AE41" s="1">
        <f t="shared" si="30"/>
        <v>1</v>
      </c>
    </row>
    <row r="42" spans="1:31" x14ac:dyDescent="0.25">
      <c r="A42" s="3" t="s">
        <v>7</v>
      </c>
      <c r="B42" s="1">
        <f t="shared" si="1"/>
        <v>0</v>
      </c>
      <c r="C42" s="1">
        <f t="shared" si="2"/>
        <v>0</v>
      </c>
      <c r="D42" s="1">
        <f t="shared" si="3"/>
        <v>0</v>
      </c>
      <c r="E42" s="1">
        <f t="shared" si="4"/>
        <v>0</v>
      </c>
      <c r="F42" s="1">
        <f t="shared" si="5"/>
        <v>0</v>
      </c>
      <c r="G42" s="1">
        <f t="shared" si="6"/>
        <v>0</v>
      </c>
      <c r="H42" s="1">
        <f t="shared" si="7"/>
        <v>0</v>
      </c>
      <c r="I42" s="1">
        <f t="shared" si="8"/>
        <v>0</v>
      </c>
      <c r="J42" s="1">
        <f t="shared" si="9"/>
        <v>1</v>
      </c>
      <c r="K42" s="1">
        <f t="shared" si="10"/>
        <v>1</v>
      </c>
      <c r="L42" s="1">
        <f t="shared" si="11"/>
        <v>0</v>
      </c>
      <c r="M42" s="1">
        <f t="shared" si="12"/>
        <v>0</v>
      </c>
      <c r="N42" s="1">
        <f t="shared" si="13"/>
        <v>0</v>
      </c>
      <c r="O42" s="1">
        <f t="shared" si="14"/>
        <v>0</v>
      </c>
      <c r="P42" s="1">
        <f t="shared" si="15"/>
        <v>1</v>
      </c>
      <c r="Q42" s="1">
        <f t="shared" si="16"/>
        <v>1</v>
      </c>
      <c r="R42" s="1">
        <f t="shared" si="17"/>
        <v>1</v>
      </c>
      <c r="S42" s="1">
        <f t="shared" si="18"/>
        <v>0</v>
      </c>
      <c r="T42" s="1">
        <f t="shared" si="19"/>
        <v>1</v>
      </c>
      <c r="U42" s="1">
        <f t="shared" si="20"/>
        <v>1</v>
      </c>
      <c r="V42" s="1">
        <f t="shared" si="21"/>
        <v>1</v>
      </c>
      <c r="W42" s="1">
        <f t="shared" si="22"/>
        <v>0</v>
      </c>
      <c r="X42" s="1">
        <f t="shared" si="23"/>
        <v>1</v>
      </c>
      <c r="Y42" s="1">
        <f t="shared" si="24"/>
        <v>0</v>
      </c>
      <c r="Z42" s="1">
        <f t="shared" si="25"/>
        <v>0</v>
      </c>
      <c r="AA42" s="1">
        <f t="shared" si="26"/>
        <v>0</v>
      </c>
      <c r="AB42" s="1">
        <f t="shared" si="27"/>
        <v>1</v>
      </c>
      <c r="AC42" s="1">
        <f t="shared" si="28"/>
        <v>1</v>
      </c>
      <c r="AD42" s="1">
        <f t="shared" si="29"/>
        <v>0</v>
      </c>
      <c r="AE42" s="1">
        <f t="shared" si="30"/>
        <v>1</v>
      </c>
    </row>
    <row r="43" spans="1:31" x14ac:dyDescent="0.25">
      <c r="A43" s="3" t="s">
        <v>8</v>
      </c>
      <c r="B43" s="1">
        <f t="shared" si="1"/>
        <v>0</v>
      </c>
      <c r="C43" s="1">
        <f t="shared" si="2"/>
        <v>0</v>
      </c>
      <c r="D43" s="1">
        <f t="shared" si="3"/>
        <v>0</v>
      </c>
      <c r="E43" s="1">
        <f t="shared" si="4"/>
        <v>0</v>
      </c>
      <c r="F43" s="1">
        <f t="shared" si="5"/>
        <v>0</v>
      </c>
      <c r="G43" s="1">
        <f t="shared" si="6"/>
        <v>0</v>
      </c>
      <c r="H43" s="1">
        <f t="shared" si="7"/>
        <v>0</v>
      </c>
      <c r="I43" s="1">
        <f t="shared" si="8"/>
        <v>0</v>
      </c>
      <c r="J43" s="1">
        <f t="shared" si="9"/>
        <v>1</v>
      </c>
      <c r="K43" s="1">
        <f t="shared" si="10"/>
        <v>1</v>
      </c>
      <c r="L43" s="1">
        <f t="shared" si="11"/>
        <v>0</v>
      </c>
      <c r="M43" s="1">
        <f t="shared" si="12"/>
        <v>0</v>
      </c>
      <c r="N43" s="1">
        <f t="shared" si="13"/>
        <v>0</v>
      </c>
      <c r="O43" s="1">
        <f t="shared" si="14"/>
        <v>0</v>
      </c>
      <c r="P43" s="1">
        <f t="shared" si="15"/>
        <v>1</v>
      </c>
      <c r="Q43" s="1">
        <f t="shared" si="16"/>
        <v>1</v>
      </c>
      <c r="R43" s="1">
        <f t="shared" si="17"/>
        <v>1</v>
      </c>
      <c r="S43" s="1">
        <f t="shared" si="18"/>
        <v>0</v>
      </c>
      <c r="T43" s="1">
        <f t="shared" si="19"/>
        <v>1</v>
      </c>
      <c r="U43" s="1">
        <f t="shared" si="20"/>
        <v>1</v>
      </c>
      <c r="V43" s="1">
        <f t="shared" si="21"/>
        <v>1</v>
      </c>
      <c r="W43" s="1">
        <f t="shared" si="22"/>
        <v>0</v>
      </c>
      <c r="X43" s="1">
        <f t="shared" si="23"/>
        <v>1</v>
      </c>
      <c r="Y43" s="1">
        <f t="shared" si="24"/>
        <v>0</v>
      </c>
      <c r="Z43" s="1">
        <f t="shared" si="25"/>
        <v>0</v>
      </c>
      <c r="AA43" s="1">
        <f t="shared" si="26"/>
        <v>0</v>
      </c>
      <c r="AB43" s="1">
        <f t="shared" si="27"/>
        <v>1</v>
      </c>
      <c r="AC43" s="1">
        <f t="shared" si="28"/>
        <v>1</v>
      </c>
      <c r="AD43" s="1">
        <f t="shared" si="29"/>
        <v>0</v>
      </c>
      <c r="AE43" s="1">
        <f t="shared" si="30"/>
        <v>1</v>
      </c>
    </row>
    <row r="44" spans="1:31" x14ac:dyDescent="0.25">
      <c r="A44" s="3" t="s">
        <v>9</v>
      </c>
      <c r="B44" s="1">
        <f t="shared" si="1"/>
        <v>0</v>
      </c>
      <c r="C44" s="1">
        <f t="shared" si="2"/>
        <v>0</v>
      </c>
      <c r="D44" s="1">
        <f t="shared" si="3"/>
        <v>0</v>
      </c>
      <c r="E44" s="1">
        <f t="shared" si="4"/>
        <v>0</v>
      </c>
      <c r="F44" s="1">
        <f t="shared" si="5"/>
        <v>0</v>
      </c>
      <c r="G44" s="1">
        <f t="shared" si="6"/>
        <v>0</v>
      </c>
      <c r="H44" s="1">
        <f t="shared" si="7"/>
        <v>0</v>
      </c>
      <c r="I44" s="1">
        <f t="shared" si="8"/>
        <v>0</v>
      </c>
      <c r="J44" s="1">
        <f t="shared" si="9"/>
        <v>1</v>
      </c>
      <c r="K44" s="1">
        <f t="shared" si="10"/>
        <v>0</v>
      </c>
      <c r="L44" s="1">
        <f t="shared" si="11"/>
        <v>0</v>
      </c>
      <c r="M44" s="1">
        <f t="shared" si="12"/>
        <v>0</v>
      </c>
      <c r="N44" s="1">
        <f t="shared" si="13"/>
        <v>0</v>
      </c>
      <c r="O44" s="1">
        <f t="shared" si="14"/>
        <v>0</v>
      </c>
      <c r="P44" s="1">
        <f t="shared" si="15"/>
        <v>1</v>
      </c>
      <c r="Q44" s="1">
        <f t="shared" si="16"/>
        <v>1</v>
      </c>
      <c r="R44" s="1">
        <f t="shared" si="17"/>
        <v>1</v>
      </c>
      <c r="S44" s="1">
        <f t="shared" si="18"/>
        <v>0</v>
      </c>
      <c r="T44" s="1">
        <f t="shared" si="19"/>
        <v>1</v>
      </c>
      <c r="U44" s="1">
        <f t="shared" si="20"/>
        <v>1</v>
      </c>
      <c r="V44" s="1">
        <f t="shared" si="21"/>
        <v>1</v>
      </c>
      <c r="W44" s="1">
        <f t="shared" si="22"/>
        <v>1</v>
      </c>
      <c r="X44" s="1">
        <f t="shared" si="23"/>
        <v>1</v>
      </c>
      <c r="Y44" s="1">
        <f t="shared" si="24"/>
        <v>1</v>
      </c>
      <c r="Z44" s="1">
        <f t="shared" si="25"/>
        <v>0</v>
      </c>
      <c r="AA44" s="1">
        <f t="shared" si="26"/>
        <v>0</v>
      </c>
      <c r="AB44" s="1">
        <f t="shared" si="27"/>
        <v>1</v>
      </c>
      <c r="AC44" s="1">
        <f t="shared" si="28"/>
        <v>1</v>
      </c>
      <c r="AD44" s="1">
        <f t="shared" si="29"/>
        <v>0</v>
      </c>
      <c r="AE44" s="1">
        <f t="shared" si="30"/>
        <v>1</v>
      </c>
    </row>
    <row r="45" spans="1:31" x14ac:dyDescent="0.25">
      <c r="A45" s="3" t="s">
        <v>10</v>
      </c>
      <c r="B45" s="1">
        <f t="shared" si="1"/>
        <v>1</v>
      </c>
      <c r="C45" s="1">
        <f t="shared" si="2"/>
        <v>0</v>
      </c>
      <c r="D45" s="1">
        <f t="shared" si="3"/>
        <v>1</v>
      </c>
      <c r="E45" s="1">
        <f t="shared" si="4"/>
        <v>1</v>
      </c>
      <c r="F45" s="1">
        <f t="shared" si="5"/>
        <v>0</v>
      </c>
      <c r="G45" s="1">
        <f t="shared" si="6"/>
        <v>1</v>
      </c>
      <c r="H45" s="1">
        <f t="shared" si="7"/>
        <v>1</v>
      </c>
      <c r="I45" s="1">
        <f t="shared" si="8"/>
        <v>1</v>
      </c>
      <c r="J45" s="1">
        <f t="shared" si="9"/>
        <v>0</v>
      </c>
      <c r="K45" s="1">
        <f t="shared" si="10"/>
        <v>1</v>
      </c>
      <c r="L45" s="1">
        <f t="shared" si="11"/>
        <v>1</v>
      </c>
      <c r="M45" s="1">
        <f t="shared" si="12"/>
        <v>0</v>
      </c>
      <c r="N45" s="1">
        <f t="shared" si="13"/>
        <v>0</v>
      </c>
      <c r="O45" s="1">
        <f t="shared" si="14"/>
        <v>0</v>
      </c>
      <c r="P45" s="1">
        <f t="shared" si="15"/>
        <v>0</v>
      </c>
      <c r="Q45" s="1">
        <f t="shared" si="16"/>
        <v>0</v>
      </c>
      <c r="R45" s="1">
        <f t="shared" si="17"/>
        <v>0</v>
      </c>
      <c r="S45" s="1">
        <f t="shared" si="18"/>
        <v>1</v>
      </c>
      <c r="T45" s="1">
        <f t="shared" si="19"/>
        <v>1</v>
      </c>
      <c r="U45" s="1">
        <f t="shared" si="20"/>
        <v>0</v>
      </c>
      <c r="V45" s="1">
        <f t="shared" si="21"/>
        <v>0</v>
      </c>
      <c r="W45" s="1">
        <f t="shared" si="22"/>
        <v>0</v>
      </c>
      <c r="X45" s="1">
        <f t="shared" si="23"/>
        <v>0</v>
      </c>
      <c r="Y45" s="1">
        <f t="shared" si="24"/>
        <v>0</v>
      </c>
      <c r="Z45" s="1">
        <f t="shared" si="25"/>
        <v>0</v>
      </c>
      <c r="AA45" s="1">
        <f t="shared" si="26"/>
        <v>1</v>
      </c>
      <c r="AB45" s="1">
        <f t="shared" si="27"/>
        <v>0</v>
      </c>
      <c r="AC45" s="1">
        <f t="shared" si="28"/>
        <v>0</v>
      </c>
      <c r="AD45" s="1">
        <f t="shared" si="29"/>
        <v>1</v>
      </c>
      <c r="AE45" s="1">
        <f t="shared" si="30"/>
        <v>0</v>
      </c>
    </row>
    <row r="46" spans="1:31" x14ac:dyDescent="0.25">
      <c r="A46" s="3" t="s">
        <v>11</v>
      </c>
      <c r="B46" s="1">
        <f t="shared" si="1"/>
        <v>0</v>
      </c>
      <c r="C46" s="1">
        <f t="shared" si="2"/>
        <v>1</v>
      </c>
      <c r="D46" s="1">
        <f t="shared" si="3"/>
        <v>0</v>
      </c>
      <c r="E46" s="1">
        <f t="shared" si="4"/>
        <v>1</v>
      </c>
      <c r="F46" s="1">
        <f t="shared" si="5"/>
        <v>1</v>
      </c>
      <c r="G46" s="1">
        <f t="shared" si="6"/>
        <v>1</v>
      </c>
      <c r="H46" s="1">
        <f t="shared" si="7"/>
        <v>1</v>
      </c>
      <c r="I46" s="1">
        <f t="shared" si="8"/>
        <v>0</v>
      </c>
      <c r="J46" s="1">
        <f t="shared" si="9"/>
        <v>1</v>
      </c>
      <c r="K46" s="1">
        <f t="shared" si="10"/>
        <v>0</v>
      </c>
      <c r="L46" s="1">
        <f t="shared" si="11"/>
        <v>0</v>
      </c>
      <c r="M46" s="1">
        <f t="shared" si="12"/>
        <v>1</v>
      </c>
      <c r="N46" s="1">
        <f t="shared" si="13"/>
        <v>1</v>
      </c>
      <c r="O46" s="1">
        <f t="shared" si="14"/>
        <v>1</v>
      </c>
      <c r="P46" s="1">
        <f t="shared" si="15"/>
        <v>1</v>
      </c>
      <c r="Q46" s="1">
        <f t="shared" si="16"/>
        <v>1</v>
      </c>
      <c r="R46" s="1">
        <f t="shared" si="17"/>
        <v>1</v>
      </c>
      <c r="S46" s="1">
        <f t="shared" si="18"/>
        <v>0</v>
      </c>
      <c r="T46" s="1">
        <f t="shared" si="19"/>
        <v>1</v>
      </c>
      <c r="U46" s="1">
        <f t="shared" si="20"/>
        <v>1</v>
      </c>
      <c r="V46" s="1">
        <f t="shared" si="21"/>
        <v>1</v>
      </c>
      <c r="W46" s="1">
        <f t="shared" si="22"/>
        <v>1</v>
      </c>
      <c r="X46" s="1">
        <f t="shared" si="23"/>
        <v>1</v>
      </c>
      <c r="Y46" s="1">
        <f t="shared" si="24"/>
        <v>1</v>
      </c>
      <c r="Z46" s="1">
        <f t="shared" si="25"/>
        <v>1</v>
      </c>
      <c r="AA46" s="1">
        <f t="shared" si="26"/>
        <v>1</v>
      </c>
      <c r="AB46" s="1">
        <f t="shared" si="27"/>
        <v>1</v>
      </c>
      <c r="AC46" s="1">
        <f t="shared" si="28"/>
        <v>1</v>
      </c>
      <c r="AD46" s="1">
        <f t="shared" si="29"/>
        <v>1</v>
      </c>
      <c r="AE46" s="1">
        <f t="shared" si="30"/>
        <v>1</v>
      </c>
    </row>
    <row r="47" spans="1:31" x14ac:dyDescent="0.25">
      <c r="A47" s="3" t="s">
        <v>12</v>
      </c>
      <c r="B47" s="1">
        <f t="shared" si="1"/>
        <v>0</v>
      </c>
      <c r="C47" s="1">
        <f t="shared" si="2"/>
        <v>0</v>
      </c>
      <c r="D47" s="1">
        <f t="shared" si="3"/>
        <v>0</v>
      </c>
      <c r="E47" s="1">
        <f t="shared" si="4"/>
        <v>0</v>
      </c>
      <c r="F47" s="1">
        <f t="shared" si="5"/>
        <v>0</v>
      </c>
      <c r="G47" s="1">
        <f t="shared" si="6"/>
        <v>0</v>
      </c>
      <c r="H47" s="1">
        <f t="shared" si="7"/>
        <v>0</v>
      </c>
      <c r="I47" s="1">
        <f t="shared" si="8"/>
        <v>0</v>
      </c>
      <c r="J47" s="1">
        <f t="shared" si="9"/>
        <v>1</v>
      </c>
      <c r="K47" s="1">
        <f t="shared" si="10"/>
        <v>0</v>
      </c>
      <c r="L47" s="1">
        <f t="shared" si="11"/>
        <v>0</v>
      </c>
      <c r="M47" s="1">
        <f t="shared" si="12"/>
        <v>0</v>
      </c>
      <c r="N47" s="1">
        <f t="shared" si="13"/>
        <v>0</v>
      </c>
      <c r="O47" s="1">
        <f t="shared" si="14"/>
        <v>0</v>
      </c>
      <c r="P47" s="1">
        <f t="shared" si="15"/>
        <v>1</v>
      </c>
      <c r="Q47" s="1">
        <f t="shared" si="16"/>
        <v>1</v>
      </c>
      <c r="R47" s="1">
        <f t="shared" si="17"/>
        <v>1</v>
      </c>
      <c r="S47" s="1">
        <f t="shared" si="18"/>
        <v>0</v>
      </c>
      <c r="T47" s="1">
        <f t="shared" si="19"/>
        <v>1</v>
      </c>
      <c r="U47" s="1">
        <f t="shared" si="20"/>
        <v>1</v>
      </c>
      <c r="V47" s="1">
        <f t="shared" si="21"/>
        <v>1</v>
      </c>
      <c r="W47" s="1">
        <f t="shared" si="22"/>
        <v>1</v>
      </c>
      <c r="X47" s="1">
        <f t="shared" si="23"/>
        <v>1</v>
      </c>
      <c r="Y47" s="1">
        <f t="shared" si="24"/>
        <v>1</v>
      </c>
      <c r="Z47" s="1">
        <f t="shared" si="25"/>
        <v>0</v>
      </c>
      <c r="AA47" s="1">
        <f t="shared" si="26"/>
        <v>0</v>
      </c>
      <c r="AB47" s="1">
        <f t="shared" si="27"/>
        <v>1</v>
      </c>
      <c r="AC47" s="1">
        <f t="shared" si="28"/>
        <v>1</v>
      </c>
      <c r="AD47" s="1">
        <f t="shared" si="29"/>
        <v>0</v>
      </c>
      <c r="AE47" s="1">
        <f t="shared" si="30"/>
        <v>1</v>
      </c>
    </row>
    <row r="48" spans="1:31" x14ac:dyDescent="0.25">
      <c r="A48" s="3" t="s">
        <v>13</v>
      </c>
      <c r="B48" s="1">
        <f t="shared" si="1"/>
        <v>0</v>
      </c>
      <c r="C48" s="1">
        <f t="shared" si="2"/>
        <v>0</v>
      </c>
      <c r="D48" s="1">
        <f t="shared" si="3"/>
        <v>1</v>
      </c>
      <c r="E48" s="1">
        <f t="shared" si="4"/>
        <v>0</v>
      </c>
      <c r="F48" s="1">
        <f t="shared" si="5"/>
        <v>0</v>
      </c>
      <c r="G48" s="1">
        <f t="shared" si="6"/>
        <v>0</v>
      </c>
      <c r="H48" s="1">
        <f t="shared" si="7"/>
        <v>0</v>
      </c>
      <c r="I48" s="1">
        <f t="shared" si="8"/>
        <v>0</v>
      </c>
      <c r="J48" s="1">
        <f t="shared" si="9"/>
        <v>0</v>
      </c>
      <c r="K48" s="1">
        <f t="shared" si="10"/>
        <v>1</v>
      </c>
      <c r="L48" s="1">
        <f t="shared" si="11"/>
        <v>0</v>
      </c>
      <c r="M48" s="1">
        <f t="shared" si="12"/>
        <v>0</v>
      </c>
      <c r="N48" s="1">
        <f t="shared" si="13"/>
        <v>0</v>
      </c>
      <c r="O48" s="1">
        <f t="shared" si="14"/>
        <v>0</v>
      </c>
      <c r="P48" s="1">
        <f t="shared" si="15"/>
        <v>0</v>
      </c>
      <c r="Q48" s="1">
        <f t="shared" si="16"/>
        <v>0</v>
      </c>
      <c r="R48" s="1">
        <f t="shared" si="17"/>
        <v>0</v>
      </c>
      <c r="S48" s="1">
        <f t="shared" si="18"/>
        <v>1</v>
      </c>
      <c r="T48" s="1">
        <f t="shared" si="19"/>
        <v>1</v>
      </c>
      <c r="U48" s="1">
        <f t="shared" si="20"/>
        <v>0</v>
      </c>
      <c r="V48" s="1">
        <f t="shared" si="21"/>
        <v>0</v>
      </c>
      <c r="W48" s="1">
        <f t="shared" si="22"/>
        <v>0</v>
      </c>
      <c r="X48" s="1">
        <f t="shared" si="23"/>
        <v>1</v>
      </c>
      <c r="Y48" s="1">
        <f t="shared" si="24"/>
        <v>0</v>
      </c>
      <c r="Z48" s="1">
        <f t="shared" si="25"/>
        <v>0</v>
      </c>
      <c r="AA48" s="1">
        <f t="shared" si="26"/>
        <v>0</v>
      </c>
      <c r="AB48" s="1">
        <f t="shared" si="27"/>
        <v>0</v>
      </c>
      <c r="AC48" s="1">
        <f t="shared" si="28"/>
        <v>1</v>
      </c>
      <c r="AD48" s="1">
        <f t="shared" si="29"/>
        <v>0</v>
      </c>
      <c r="AE48" s="1">
        <f t="shared" si="30"/>
        <v>1</v>
      </c>
    </row>
    <row r="49" spans="1:31" x14ac:dyDescent="0.25">
      <c r="A49" s="3" t="s">
        <v>14</v>
      </c>
      <c r="B49" s="1">
        <f t="shared" si="1"/>
        <v>0</v>
      </c>
      <c r="C49" s="1">
        <f t="shared" si="2"/>
        <v>0</v>
      </c>
      <c r="D49" s="1">
        <f t="shared" si="3"/>
        <v>1</v>
      </c>
      <c r="E49" s="1">
        <f t="shared" si="4"/>
        <v>0</v>
      </c>
      <c r="F49" s="1">
        <f t="shared" si="5"/>
        <v>0</v>
      </c>
      <c r="G49" s="1">
        <f t="shared" si="6"/>
        <v>0</v>
      </c>
      <c r="H49" s="1">
        <f t="shared" si="7"/>
        <v>0</v>
      </c>
      <c r="I49" s="1">
        <f t="shared" si="8"/>
        <v>0</v>
      </c>
      <c r="J49" s="1">
        <f t="shared" si="9"/>
        <v>0</v>
      </c>
      <c r="K49" s="1">
        <f t="shared" si="10"/>
        <v>1</v>
      </c>
      <c r="L49" s="1">
        <f t="shared" si="11"/>
        <v>0</v>
      </c>
      <c r="M49" s="1">
        <f t="shared" si="12"/>
        <v>0</v>
      </c>
      <c r="N49" s="1">
        <f t="shared" si="13"/>
        <v>0</v>
      </c>
      <c r="O49" s="1">
        <f t="shared" si="14"/>
        <v>0</v>
      </c>
      <c r="P49" s="1">
        <f t="shared" si="15"/>
        <v>0</v>
      </c>
      <c r="Q49" s="1">
        <f t="shared" si="16"/>
        <v>0</v>
      </c>
      <c r="R49" s="1">
        <f t="shared" si="17"/>
        <v>0</v>
      </c>
      <c r="S49" s="1">
        <f t="shared" si="18"/>
        <v>1</v>
      </c>
      <c r="T49" s="1">
        <f t="shared" si="19"/>
        <v>1</v>
      </c>
      <c r="U49" s="1">
        <f t="shared" si="20"/>
        <v>0</v>
      </c>
      <c r="V49" s="1">
        <f t="shared" si="21"/>
        <v>0</v>
      </c>
      <c r="W49" s="1">
        <f t="shared" si="22"/>
        <v>0</v>
      </c>
      <c r="X49" s="1">
        <f t="shared" si="23"/>
        <v>1</v>
      </c>
      <c r="Y49" s="1">
        <f t="shared" si="24"/>
        <v>0</v>
      </c>
      <c r="Z49" s="1">
        <f t="shared" si="25"/>
        <v>0</v>
      </c>
      <c r="AA49" s="1">
        <f t="shared" si="26"/>
        <v>0</v>
      </c>
      <c r="AB49" s="1">
        <f t="shared" si="27"/>
        <v>0</v>
      </c>
      <c r="AC49" s="1">
        <f t="shared" si="28"/>
        <v>1</v>
      </c>
      <c r="AD49" s="1">
        <f t="shared" si="29"/>
        <v>0</v>
      </c>
      <c r="AE49" s="1">
        <f t="shared" si="30"/>
        <v>1</v>
      </c>
    </row>
    <row r="50" spans="1:31" x14ac:dyDescent="0.25">
      <c r="A50" s="3" t="s">
        <v>15</v>
      </c>
      <c r="B50" s="1">
        <f t="shared" si="1"/>
        <v>1</v>
      </c>
      <c r="C50" s="1">
        <f t="shared" si="2"/>
        <v>0</v>
      </c>
      <c r="D50" s="1">
        <f t="shared" si="3"/>
        <v>1</v>
      </c>
      <c r="E50" s="1">
        <f t="shared" si="4"/>
        <v>0</v>
      </c>
      <c r="F50" s="1">
        <f t="shared" si="5"/>
        <v>0</v>
      </c>
      <c r="G50" s="1">
        <f t="shared" si="6"/>
        <v>0</v>
      </c>
      <c r="H50" s="1">
        <f t="shared" si="7"/>
        <v>0</v>
      </c>
      <c r="I50" s="1">
        <f t="shared" si="8"/>
        <v>0</v>
      </c>
      <c r="J50" s="1">
        <f t="shared" si="9"/>
        <v>0</v>
      </c>
      <c r="K50" s="1">
        <f t="shared" si="10"/>
        <v>1</v>
      </c>
      <c r="L50" s="1">
        <f t="shared" si="11"/>
        <v>0</v>
      </c>
      <c r="M50" s="1">
        <f t="shared" si="12"/>
        <v>0</v>
      </c>
      <c r="N50" s="1">
        <f t="shared" si="13"/>
        <v>0</v>
      </c>
      <c r="O50" s="1">
        <f t="shared" si="14"/>
        <v>0</v>
      </c>
      <c r="P50" s="1">
        <f t="shared" si="15"/>
        <v>0</v>
      </c>
      <c r="Q50" s="1">
        <f t="shared" si="16"/>
        <v>0</v>
      </c>
      <c r="R50" s="1">
        <f t="shared" si="17"/>
        <v>0</v>
      </c>
      <c r="S50" s="1">
        <f t="shared" si="18"/>
        <v>1</v>
      </c>
      <c r="T50" s="1">
        <f t="shared" si="19"/>
        <v>1</v>
      </c>
      <c r="U50" s="1">
        <f t="shared" si="20"/>
        <v>0</v>
      </c>
      <c r="V50" s="1">
        <f t="shared" si="21"/>
        <v>0</v>
      </c>
      <c r="W50" s="1">
        <f t="shared" si="22"/>
        <v>0</v>
      </c>
      <c r="X50" s="1">
        <f t="shared" si="23"/>
        <v>1</v>
      </c>
      <c r="Y50" s="1">
        <f t="shared" si="24"/>
        <v>0</v>
      </c>
      <c r="Z50" s="1">
        <f t="shared" si="25"/>
        <v>0</v>
      </c>
      <c r="AA50" s="1">
        <f t="shared" si="26"/>
        <v>0</v>
      </c>
      <c r="AB50" s="1">
        <f t="shared" si="27"/>
        <v>0</v>
      </c>
      <c r="AC50" s="1">
        <f t="shared" si="28"/>
        <v>0</v>
      </c>
      <c r="AD50" s="1">
        <f t="shared" si="29"/>
        <v>0</v>
      </c>
      <c r="AE50" s="1">
        <f t="shared" si="30"/>
        <v>1</v>
      </c>
    </row>
    <row r="51" spans="1:31" x14ac:dyDescent="0.25">
      <c r="A51" s="3" t="s">
        <v>16</v>
      </c>
      <c r="B51" s="1">
        <f t="shared" si="1"/>
        <v>1</v>
      </c>
      <c r="C51" s="1">
        <f t="shared" si="2"/>
        <v>0</v>
      </c>
      <c r="D51" s="1">
        <f t="shared" si="3"/>
        <v>1</v>
      </c>
      <c r="E51" s="1">
        <f t="shared" si="4"/>
        <v>1</v>
      </c>
      <c r="F51" s="1">
        <f t="shared" si="5"/>
        <v>0</v>
      </c>
      <c r="G51" s="1">
        <f t="shared" si="6"/>
        <v>1</v>
      </c>
      <c r="H51" s="1">
        <f t="shared" si="7"/>
        <v>1</v>
      </c>
      <c r="I51" s="1">
        <f t="shared" si="8"/>
        <v>1</v>
      </c>
      <c r="J51" s="1">
        <f t="shared" si="9"/>
        <v>0</v>
      </c>
      <c r="K51" s="1">
        <f t="shared" si="10"/>
        <v>1</v>
      </c>
      <c r="L51" s="1">
        <f t="shared" si="11"/>
        <v>1</v>
      </c>
      <c r="M51" s="1">
        <f t="shared" si="12"/>
        <v>0</v>
      </c>
      <c r="N51" s="1">
        <f t="shared" si="13"/>
        <v>0</v>
      </c>
      <c r="O51" s="1">
        <f t="shared" si="14"/>
        <v>0</v>
      </c>
      <c r="P51" s="1">
        <f t="shared" si="15"/>
        <v>0</v>
      </c>
      <c r="Q51" s="1">
        <f t="shared" si="16"/>
        <v>0</v>
      </c>
      <c r="R51" s="1">
        <f t="shared" si="17"/>
        <v>0</v>
      </c>
      <c r="S51" s="1">
        <f t="shared" si="18"/>
        <v>1</v>
      </c>
      <c r="T51" s="1">
        <f t="shared" si="19"/>
        <v>1</v>
      </c>
      <c r="U51" s="1">
        <f t="shared" si="20"/>
        <v>0</v>
      </c>
      <c r="V51" s="1">
        <f t="shared" si="21"/>
        <v>0</v>
      </c>
      <c r="W51" s="1">
        <f t="shared" si="22"/>
        <v>0</v>
      </c>
      <c r="X51" s="1">
        <f t="shared" si="23"/>
        <v>0</v>
      </c>
      <c r="Y51" s="1">
        <f t="shared" si="24"/>
        <v>0</v>
      </c>
      <c r="Z51" s="1">
        <f t="shared" si="25"/>
        <v>0</v>
      </c>
      <c r="AA51" s="1">
        <f t="shared" si="26"/>
        <v>1</v>
      </c>
      <c r="AB51" s="1">
        <f t="shared" si="27"/>
        <v>0</v>
      </c>
      <c r="AC51" s="1">
        <f t="shared" si="28"/>
        <v>0</v>
      </c>
      <c r="AD51" s="1">
        <f t="shared" si="29"/>
        <v>1</v>
      </c>
      <c r="AE51" s="1">
        <f t="shared" si="30"/>
        <v>0</v>
      </c>
    </row>
    <row r="52" spans="1:31" x14ac:dyDescent="0.25">
      <c r="A52" s="3" t="s">
        <v>17</v>
      </c>
      <c r="B52" s="1">
        <f t="shared" si="1"/>
        <v>1</v>
      </c>
      <c r="C52" s="1">
        <f t="shared" si="2"/>
        <v>0</v>
      </c>
      <c r="D52" s="1">
        <f t="shared" si="3"/>
        <v>1</v>
      </c>
      <c r="E52" s="1">
        <f t="shared" si="4"/>
        <v>0</v>
      </c>
      <c r="F52" s="1">
        <f t="shared" si="5"/>
        <v>0</v>
      </c>
      <c r="G52" s="1">
        <f t="shared" si="6"/>
        <v>1</v>
      </c>
      <c r="H52" s="1">
        <f t="shared" si="7"/>
        <v>1</v>
      </c>
      <c r="I52" s="1">
        <f t="shared" si="8"/>
        <v>1</v>
      </c>
      <c r="J52" s="1">
        <f t="shared" si="9"/>
        <v>0</v>
      </c>
      <c r="K52" s="1">
        <f t="shared" si="10"/>
        <v>1</v>
      </c>
      <c r="L52" s="1">
        <f t="shared" si="11"/>
        <v>1</v>
      </c>
      <c r="M52" s="1">
        <f t="shared" si="12"/>
        <v>0</v>
      </c>
      <c r="N52" s="1">
        <f t="shared" si="13"/>
        <v>0</v>
      </c>
      <c r="O52" s="1">
        <f t="shared" si="14"/>
        <v>0</v>
      </c>
      <c r="P52" s="1">
        <f t="shared" si="15"/>
        <v>0</v>
      </c>
      <c r="Q52" s="1">
        <f t="shared" si="16"/>
        <v>0</v>
      </c>
      <c r="R52" s="1">
        <f t="shared" si="17"/>
        <v>0</v>
      </c>
      <c r="S52" s="1">
        <f t="shared" si="18"/>
        <v>1</v>
      </c>
      <c r="T52" s="1">
        <f t="shared" si="19"/>
        <v>1</v>
      </c>
      <c r="U52" s="1">
        <f t="shared" si="20"/>
        <v>0</v>
      </c>
      <c r="V52" s="1">
        <f t="shared" si="21"/>
        <v>0</v>
      </c>
      <c r="W52" s="1">
        <f t="shared" si="22"/>
        <v>0</v>
      </c>
      <c r="X52" s="1">
        <f t="shared" si="23"/>
        <v>0</v>
      </c>
      <c r="Y52" s="1">
        <f t="shared" si="24"/>
        <v>0</v>
      </c>
      <c r="Z52" s="1">
        <f t="shared" si="25"/>
        <v>0</v>
      </c>
      <c r="AA52" s="1">
        <f t="shared" si="26"/>
        <v>0</v>
      </c>
      <c r="AB52" s="1">
        <f t="shared" si="27"/>
        <v>0</v>
      </c>
      <c r="AC52" s="1">
        <f t="shared" si="28"/>
        <v>0</v>
      </c>
      <c r="AD52" s="1">
        <f t="shared" si="29"/>
        <v>1</v>
      </c>
      <c r="AE52" s="1">
        <f t="shared" si="30"/>
        <v>0</v>
      </c>
    </row>
    <row r="53" spans="1:31" x14ac:dyDescent="0.25">
      <c r="A53" s="3" t="s">
        <v>18</v>
      </c>
      <c r="B53" s="1">
        <f t="shared" si="1"/>
        <v>1</v>
      </c>
      <c r="C53" s="1">
        <f t="shared" si="2"/>
        <v>0</v>
      </c>
      <c r="D53" s="1">
        <f t="shared" si="3"/>
        <v>1</v>
      </c>
      <c r="E53" s="1">
        <f t="shared" si="4"/>
        <v>1</v>
      </c>
      <c r="F53" s="1">
        <f t="shared" si="5"/>
        <v>0</v>
      </c>
      <c r="G53" s="1">
        <f t="shared" si="6"/>
        <v>1</v>
      </c>
      <c r="H53" s="1">
        <f t="shared" si="7"/>
        <v>1</v>
      </c>
      <c r="I53" s="1">
        <f t="shared" si="8"/>
        <v>1</v>
      </c>
      <c r="J53" s="1">
        <f t="shared" si="9"/>
        <v>0</v>
      </c>
      <c r="K53" s="1">
        <f t="shared" si="10"/>
        <v>1</v>
      </c>
      <c r="L53" s="1">
        <f t="shared" si="11"/>
        <v>1</v>
      </c>
      <c r="M53" s="1">
        <f t="shared" si="12"/>
        <v>0</v>
      </c>
      <c r="N53" s="1">
        <f t="shared" si="13"/>
        <v>0</v>
      </c>
      <c r="O53" s="1">
        <f t="shared" si="14"/>
        <v>0</v>
      </c>
      <c r="P53" s="1">
        <f t="shared" si="15"/>
        <v>0</v>
      </c>
      <c r="Q53" s="1">
        <f t="shared" si="16"/>
        <v>0</v>
      </c>
      <c r="R53" s="1">
        <f t="shared" si="17"/>
        <v>0</v>
      </c>
      <c r="S53" s="1">
        <f t="shared" si="18"/>
        <v>1</v>
      </c>
      <c r="T53" s="1">
        <f t="shared" si="19"/>
        <v>1</v>
      </c>
      <c r="U53" s="1">
        <f t="shared" si="20"/>
        <v>0</v>
      </c>
      <c r="V53" s="1">
        <f t="shared" si="21"/>
        <v>0</v>
      </c>
      <c r="W53" s="1">
        <f t="shared" si="22"/>
        <v>0</v>
      </c>
      <c r="X53" s="1">
        <f t="shared" si="23"/>
        <v>0</v>
      </c>
      <c r="Y53" s="1">
        <f t="shared" si="24"/>
        <v>0</v>
      </c>
      <c r="Z53" s="1">
        <f t="shared" si="25"/>
        <v>0</v>
      </c>
      <c r="AA53" s="1">
        <f t="shared" si="26"/>
        <v>1</v>
      </c>
      <c r="AB53" s="1">
        <f t="shared" si="27"/>
        <v>0</v>
      </c>
      <c r="AC53" s="1">
        <f t="shared" si="28"/>
        <v>0</v>
      </c>
      <c r="AD53" s="1">
        <f t="shared" si="29"/>
        <v>1</v>
      </c>
      <c r="AE53" s="1">
        <f t="shared" si="30"/>
        <v>0</v>
      </c>
    </row>
    <row r="54" spans="1:31" x14ac:dyDescent="0.25">
      <c r="A54" s="3" t="s">
        <v>19</v>
      </c>
      <c r="B54" s="1">
        <f t="shared" si="1"/>
        <v>0</v>
      </c>
      <c r="C54" s="1">
        <f t="shared" si="2"/>
        <v>1</v>
      </c>
      <c r="D54" s="1">
        <f t="shared" si="3"/>
        <v>0</v>
      </c>
      <c r="E54" s="1">
        <f t="shared" si="4"/>
        <v>1</v>
      </c>
      <c r="F54" s="1">
        <f t="shared" si="5"/>
        <v>1</v>
      </c>
      <c r="G54" s="1">
        <f t="shared" si="6"/>
        <v>0</v>
      </c>
      <c r="H54" s="1">
        <f t="shared" si="7"/>
        <v>0</v>
      </c>
      <c r="I54" s="1">
        <f t="shared" si="8"/>
        <v>0</v>
      </c>
      <c r="J54" s="1">
        <f t="shared" si="9"/>
        <v>1</v>
      </c>
      <c r="K54" s="1">
        <f t="shared" si="10"/>
        <v>0</v>
      </c>
      <c r="L54" s="1">
        <f t="shared" si="11"/>
        <v>0</v>
      </c>
      <c r="M54" s="1">
        <f t="shared" si="12"/>
        <v>1</v>
      </c>
      <c r="N54" s="1">
        <f t="shared" si="13"/>
        <v>1</v>
      </c>
      <c r="O54" s="1">
        <f t="shared" si="14"/>
        <v>1</v>
      </c>
      <c r="P54" s="1">
        <f t="shared" si="15"/>
        <v>1</v>
      </c>
      <c r="Q54" s="1">
        <f t="shared" si="16"/>
        <v>1</v>
      </c>
      <c r="R54" s="1">
        <f t="shared" si="17"/>
        <v>1</v>
      </c>
      <c r="S54" s="1">
        <f t="shared" si="18"/>
        <v>0</v>
      </c>
      <c r="T54" s="1">
        <f t="shared" si="19"/>
        <v>1</v>
      </c>
      <c r="U54" s="1">
        <f t="shared" si="20"/>
        <v>1</v>
      </c>
      <c r="V54" s="1">
        <f t="shared" si="21"/>
        <v>1</v>
      </c>
      <c r="W54" s="1">
        <f t="shared" si="22"/>
        <v>1</v>
      </c>
      <c r="X54" s="1">
        <f t="shared" si="23"/>
        <v>1</v>
      </c>
      <c r="Y54" s="1">
        <f t="shared" si="24"/>
        <v>1</v>
      </c>
      <c r="Z54" s="1">
        <f t="shared" si="25"/>
        <v>1</v>
      </c>
      <c r="AA54" s="1">
        <f t="shared" si="26"/>
        <v>1</v>
      </c>
      <c r="AB54" s="1">
        <f t="shared" si="27"/>
        <v>1</v>
      </c>
      <c r="AC54" s="1">
        <f t="shared" si="28"/>
        <v>1</v>
      </c>
      <c r="AD54" s="1">
        <f t="shared" si="29"/>
        <v>0</v>
      </c>
      <c r="AE54" s="1">
        <f t="shared" si="30"/>
        <v>1</v>
      </c>
    </row>
    <row r="55" spans="1:31" x14ac:dyDescent="0.25">
      <c r="A55" s="3" t="s">
        <v>20</v>
      </c>
      <c r="B55" s="1">
        <f t="shared" si="1"/>
        <v>1</v>
      </c>
      <c r="C55" s="1">
        <f t="shared" si="2"/>
        <v>1</v>
      </c>
      <c r="D55" s="1">
        <f t="shared" si="3"/>
        <v>1</v>
      </c>
      <c r="E55" s="1">
        <f t="shared" si="4"/>
        <v>1</v>
      </c>
      <c r="F55" s="1">
        <f t="shared" si="5"/>
        <v>1</v>
      </c>
      <c r="G55" s="1">
        <f t="shared" si="6"/>
        <v>1</v>
      </c>
      <c r="H55" s="1">
        <f t="shared" si="7"/>
        <v>1</v>
      </c>
      <c r="I55" s="1">
        <f t="shared" si="8"/>
        <v>1</v>
      </c>
      <c r="J55" s="1">
        <f t="shared" si="9"/>
        <v>1</v>
      </c>
      <c r="K55" s="1">
        <f t="shared" si="10"/>
        <v>1</v>
      </c>
      <c r="L55" s="1">
        <f t="shared" si="11"/>
        <v>1</v>
      </c>
      <c r="M55" s="1">
        <f t="shared" si="12"/>
        <v>1</v>
      </c>
      <c r="N55" s="1">
        <f t="shared" si="13"/>
        <v>1</v>
      </c>
      <c r="O55" s="1">
        <f t="shared" si="14"/>
        <v>1</v>
      </c>
      <c r="P55" s="1">
        <f t="shared" si="15"/>
        <v>1</v>
      </c>
      <c r="Q55" s="1">
        <f t="shared" si="16"/>
        <v>1</v>
      </c>
      <c r="R55" s="1">
        <f t="shared" si="17"/>
        <v>1</v>
      </c>
      <c r="S55" s="1">
        <f t="shared" si="18"/>
        <v>1</v>
      </c>
      <c r="T55" s="1">
        <f t="shared" si="19"/>
        <v>0</v>
      </c>
      <c r="U55" s="1">
        <f t="shared" si="20"/>
        <v>1</v>
      </c>
      <c r="V55" s="1">
        <f t="shared" si="21"/>
        <v>0</v>
      </c>
      <c r="W55" s="1">
        <f t="shared" si="22"/>
        <v>1</v>
      </c>
      <c r="X55" s="1">
        <f t="shared" si="23"/>
        <v>0</v>
      </c>
      <c r="Y55" s="1">
        <f t="shared" si="24"/>
        <v>1</v>
      </c>
      <c r="Z55" s="1">
        <f t="shared" si="25"/>
        <v>1</v>
      </c>
      <c r="AA55" s="1">
        <f t="shared" si="26"/>
        <v>1</v>
      </c>
      <c r="AB55" s="1">
        <f t="shared" si="27"/>
        <v>1</v>
      </c>
      <c r="AC55" s="1">
        <f t="shared" si="28"/>
        <v>0</v>
      </c>
      <c r="AD55" s="1">
        <f t="shared" si="29"/>
        <v>1</v>
      </c>
      <c r="AE55" s="1">
        <f t="shared" si="30"/>
        <v>0</v>
      </c>
    </row>
    <row r="56" spans="1:31" x14ac:dyDescent="0.25">
      <c r="A56" s="3" t="s">
        <v>21</v>
      </c>
      <c r="B56" s="1">
        <f t="shared" si="1"/>
        <v>1</v>
      </c>
      <c r="C56" s="1">
        <f t="shared" si="2"/>
        <v>0</v>
      </c>
      <c r="D56" s="1">
        <f t="shared" si="3"/>
        <v>1</v>
      </c>
      <c r="E56" s="1">
        <f t="shared" si="4"/>
        <v>1</v>
      </c>
      <c r="F56" s="1">
        <f t="shared" si="5"/>
        <v>0</v>
      </c>
      <c r="G56" s="1">
        <f t="shared" si="6"/>
        <v>1</v>
      </c>
      <c r="H56" s="1">
        <f t="shared" si="7"/>
        <v>1</v>
      </c>
      <c r="I56" s="1">
        <f t="shared" si="8"/>
        <v>1</v>
      </c>
      <c r="J56" s="1">
        <f t="shared" si="9"/>
        <v>0</v>
      </c>
      <c r="K56" s="1">
        <f t="shared" si="10"/>
        <v>1</v>
      </c>
      <c r="L56" s="1">
        <f t="shared" si="11"/>
        <v>1</v>
      </c>
      <c r="M56" s="1">
        <f t="shared" si="12"/>
        <v>0</v>
      </c>
      <c r="N56" s="1">
        <f t="shared" si="13"/>
        <v>0</v>
      </c>
      <c r="O56" s="1">
        <f t="shared" si="14"/>
        <v>0</v>
      </c>
      <c r="P56" s="1">
        <f t="shared" si="15"/>
        <v>0</v>
      </c>
      <c r="Q56" s="1">
        <f t="shared" si="16"/>
        <v>0</v>
      </c>
      <c r="R56" s="1">
        <f t="shared" si="17"/>
        <v>0</v>
      </c>
      <c r="S56" s="1">
        <f t="shared" si="18"/>
        <v>1</v>
      </c>
      <c r="T56" s="1">
        <f t="shared" si="19"/>
        <v>1</v>
      </c>
      <c r="U56" s="1">
        <f t="shared" si="20"/>
        <v>0</v>
      </c>
      <c r="V56" s="1">
        <f t="shared" si="21"/>
        <v>0</v>
      </c>
      <c r="W56" s="1">
        <f t="shared" si="22"/>
        <v>0</v>
      </c>
      <c r="X56" s="1">
        <f t="shared" si="23"/>
        <v>0</v>
      </c>
      <c r="Y56" s="1">
        <f t="shared" si="24"/>
        <v>0</v>
      </c>
      <c r="Z56" s="1">
        <f t="shared" si="25"/>
        <v>0</v>
      </c>
      <c r="AA56" s="1">
        <f t="shared" si="26"/>
        <v>1</v>
      </c>
      <c r="AB56" s="1">
        <f t="shared" si="27"/>
        <v>0</v>
      </c>
      <c r="AC56" s="1">
        <f t="shared" si="28"/>
        <v>0</v>
      </c>
      <c r="AD56" s="1">
        <f t="shared" si="29"/>
        <v>1</v>
      </c>
      <c r="AE56" s="1">
        <f t="shared" si="30"/>
        <v>0</v>
      </c>
    </row>
    <row r="57" spans="1:31" x14ac:dyDescent="0.25">
      <c r="A57" s="3" t="s">
        <v>22</v>
      </c>
      <c r="B57" s="1">
        <f t="shared" si="1"/>
        <v>1</v>
      </c>
      <c r="C57" s="1">
        <f t="shared" si="2"/>
        <v>1</v>
      </c>
      <c r="D57" s="1">
        <f t="shared" si="3"/>
        <v>1</v>
      </c>
      <c r="E57" s="1">
        <f t="shared" si="4"/>
        <v>1</v>
      </c>
      <c r="F57" s="1">
        <f t="shared" si="5"/>
        <v>0</v>
      </c>
      <c r="G57" s="1">
        <f t="shared" si="6"/>
        <v>1</v>
      </c>
      <c r="H57" s="1">
        <f t="shared" si="7"/>
        <v>1</v>
      </c>
      <c r="I57" s="1">
        <f t="shared" si="8"/>
        <v>1</v>
      </c>
      <c r="J57" s="1">
        <f t="shared" si="9"/>
        <v>0</v>
      </c>
      <c r="K57" s="1">
        <f t="shared" si="10"/>
        <v>1</v>
      </c>
      <c r="L57" s="1">
        <f t="shared" si="11"/>
        <v>1</v>
      </c>
      <c r="M57" s="1">
        <f t="shared" si="12"/>
        <v>0</v>
      </c>
      <c r="N57" s="1">
        <f t="shared" si="13"/>
        <v>0</v>
      </c>
      <c r="O57" s="1">
        <f t="shared" si="14"/>
        <v>0</v>
      </c>
      <c r="P57" s="1">
        <f t="shared" si="15"/>
        <v>0</v>
      </c>
      <c r="Q57" s="1">
        <f t="shared" si="16"/>
        <v>0</v>
      </c>
      <c r="R57" s="1">
        <f t="shared" si="17"/>
        <v>0</v>
      </c>
      <c r="S57" s="1">
        <f t="shared" si="18"/>
        <v>1</v>
      </c>
      <c r="T57" s="1">
        <f t="shared" si="19"/>
        <v>0</v>
      </c>
      <c r="U57" s="1">
        <f t="shared" si="20"/>
        <v>0</v>
      </c>
      <c r="V57" s="1">
        <f t="shared" si="21"/>
        <v>0</v>
      </c>
      <c r="W57" s="1">
        <f t="shared" si="22"/>
        <v>0</v>
      </c>
      <c r="X57" s="1">
        <f t="shared" si="23"/>
        <v>0</v>
      </c>
      <c r="Y57" s="1">
        <f t="shared" si="24"/>
        <v>0</v>
      </c>
      <c r="Z57" s="1">
        <f t="shared" si="25"/>
        <v>1</v>
      </c>
      <c r="AA57" s="1">
        <f t="shared" si="26"/>
        <v>1</v>
      </c>
      <c r="AB57" s="1">
        <f t="shared" si="27"/>
        <v>0</v>
      </c>
      <c r="AC57" s="1">
        <f t="shared" si="28"/>
        <v>0</v>
      </c>
      <c r="AD57" s="1">
        <f t="shared" si="29"/>
        <v>1</v>
      </c>
      <c r="AE57" s="1">
        <f t="shared" si="30"/>
        <v>0</v>
      </c>
    </row>
    <row r="58" spans="1:31" x14ac:dyDescent="0.25">
      <c r="A58" s="3" t="s">
        <v>23</v>
      </c>
      <c r="B58" s="1">
        <f t="shared" si="1"/>
        <v>1</v>
      </c>
      <c r="C58" s="1">
        <f t="shared" si="2"/>
        <v>0</v>
      </c>
      <c r="D58" s="1">
        <f t="shared" si="3"/>
        <v>1</v>
      </c>
      <c r="E58" s="1">
        <f t="shared" si="4"/>
        <v>0</v>
      </c>
      <c r="F58" s="1">
        <f t="shared" si="5"/>
        <v>0</v>
      </c>
      <c r="G58" s="1">
        <f t="shared" si="6"/>
        <v>0</v>
      </c>
      <c r="H58" s="1">
        <f t="shared" si="7"/>
        <v>0</v>
      </c>
      <c r="I58" s="1">
        <f t="shared" si="8"/>
        <v>1</v>
      </c>
      <c r="J58" s="1">
        <f t="shared" si="9"/>
        <v>0</v>
      </c>
      <c r="K58" s="1">
        <f t="shared" si="10"/>
        <v>1</v>
      </c>
      <c r="L58" s="1">
        <f t="shared" si="11"/>
        <v>1</v>
      </c>
      <c r="M58" s="1">
        <f t="shared" si="12"/>
        <v>0</v>
      </c>
      <c r="N58" s="1">
        <f t="shared" si="13"/>
        <v>0</v>
      </c>
      <c r="O58" s="1">
        <f t="shared" si="14"/>
        <v>0</v>
      </c>
      <c r="P58" s="1">
        <f t="shared" si="15"/>
        <v>0</v>
      </c>
      <c r="Q58" s="1">
        <f t="shared" si="16"/>
        <v>0</v>
      </c>
      <c r="R58" s="1">
        <f t="shared" si="17"/>
        <v>0</v>
      </c>
      <c r="S58" s="1">
        <f t="shared" si="18"/>
        <v>1</v>
      </c>
      <c r="T58" s="1">
        <f t="shared" si="19"/>
        <v>1</v>
      </c>
      <c r="U58" s="1">
        <f t="shared" si="20"/>
        <v>0</v>
      </c>
      <c r="V58" s="1">
        <f t="shared" si="21"/>
        <v>0</v>
      </c>
      <c r="W58" s="1">
        <f t="shared" si="22"/>
        <v>0</v>
      </c>
      <c r="X58" s="1">
        <f t="shared" si="23"/>
        <v>1</v>
      </c>
      <c r="Y58" s="1">
        <f t="shared" si="24"/>
        <v>0</v>
      </c>
      <c r="Z58" s="1">
        <f t="shared" si="25"/>
        <v>0</v>
      </c>
      <c r="AA58" s="1">
        <f t="shared" si="26"/>
        <v>0</v>
      </c>
      <c r="AB58" s="1">
        <f t="shared" si="27"/>
        <v>0</v>
      </c>
      <c r="AC58" s="1">
        <f t="shared" si="28"/>
        <v>0</v>
      </c>
      <c r="AD58" s="1">
        <f t="shared" si="29"/>
        <v>0</v>
      </c>
      <c r="AE58" s="1">
        <f t="shared" si="30"/>
        <v>0</v>
      </c>
    </row>
    <row r="59" spans="1:31" x14ac:dyDescent="0.25">
      <c r="A59" s="3" t="s">
        <v>24</v>
      </c>
      <c r="B59" s="1">
        <f t="shared" si="1"/>
        <v>1</v>
      </c>
      <c r="C59" s="1">
        <f t="shared" si="2"/>
        <v>1</v>
      </c>
      <c r="D59" s="1">
        <f t="shared" si="3"/>
        <v>1</v>
      </c>
      <c r="E59" s="1">
        <f t="shared" si="4"/>
        <v>1</v>
      </c>
      <c r="F59" s="1">
        <f t="shared" si="5"/>
        <v>1</v>
      </c>
      <c r="G59" s="1">
        <f t="shared" si="6"/>
        <v>1</v>
      </c>
      <c r="H59" s="1">
        <f t="shared" si="7"/>
        <v>1</v>
      </c>
      <c r="I59" s="1">
        <f t="shared" si="8"/>
        <v>1</v>
      </c>
      <c r="J59" s="1">
        <f t="shared" si="9"/>
        <v>0</v>
      </c>
      <c r="K59" s="1">
        <f t="shared" si="10"/>
        <v>1</v>
      </c>
      <c r="L59" s="1">
        <f t="shared" si="11"/>
        <v>1</v>
      </c>
      <c r="M59" s="1">
        <f t="shared" si="12"/>
        <v>1</v>
      </c>
      <c r="N59" s="1">
        <f t="shared" si="13"/>
        <v>1</v>
      </c>
      <c r="O59" s="1">
        <f t="shared" si="14"/>
        <v>1</v>
      </c>
      <c r="P59" s="1">
        <f t="shared" si="15"/>
        <v>0</v>
      </c>
      <c r="Q59" s="1">
        <f t="shared" si="16"/>
        <v>0</v>
      </c>
      <c r="R59" s="1">
        <f t="shared" si="17"/>
        <v>0</v>
      </c>
      <c r="S59" s="1">
        <f t="shared" si="18"/>
        <v>1</v>
      </c>
      <c r="T59" s="1">
        <f t="shared" si="19"/>
        <v>0</v>
      </c>
      <c r="U59" s="1">
        <f t="shared" si="20"/>
        <v>0</v>
      </c>
      <c r="V59" s="1">
        <f t="shared" si="21"/>
        <v>0</v>
      </c>
      <c r="W59" s="1">
        <f t="shared" si="22"/>
        <v>1</v>
      </c>
      <c r="X59" s="1">
        <f t="shared" si="23"/>
        <v>0</v>
      </c>
      <c r="Y59" s="1">
        <f t="shared" si="24"/>
        <v>1</v>
      </c>
      <c r="Z59" s="1">
        <f t="shared" si="25"/>
        <v>1</v>
      </c>
      <c r="AA59" s="1">
        <f t="shared" si="26"/>
        <v>1</v>
      </c>
      <c r="AB59" s="1">
        <f t="shared" si="27"/>
        <v>0</v>
      </c>
      <c r="AC59" s="1">
        <f t="shared" si="28"/>
        <v>0</v>
      </c>
      <c r="AD59" s="1">
        <f t="shared" si="29"/>
        <v>1</v>
      </c>
      <c r="AE59" s="1">
        <f t="shared" si="30"/>
        <v>0</v>
      </c>
    </row>
    <row r="60" spans="1:31" x14ac:dyDescent="0.25">
      <c r="A60" s="3" t="s">
        <v>25</v>
      </c>
      <c r="B60" s="1">
        <f t="shared" si="1"/>
        <v>1</v>
      </c>
      <c r="C60" s="1">
        <f t="shared" si="2"/>
        <v>0</v>
      </c>
      <c r="D60" s="1">
        <f t="shared" si="3"/>
        <v>1</v>
      </c>
      <c r="E60" s="1">
        <f t="shared" si="4"/>
        <v>0</v>
      </c>
      <c r="F60" s="1">
        <f t="shared" si="5"/>
        <v>0</v>
      </c>
      <c r="G60" s="1">
        <f t="shared" si="6"/>
        <v>0</v>
      </c>
      <c r="H60" s="1">
        <f t="shared" si="7"/>
        <v>0</v>
      </c>
      <c r="I60" s="1">
        <f t="shared" si="8"/>
        <v>1</v>
      </c>
      <c r="J60" s="1">
        <f t="shared" si="9"/>
        <v>0</v>
      </c>
      <c r="K60" s="1">
        <f t="shared" si="10"/>
        <v>1</v>
      </c>
      <c r="L60" s="1">
        <f t="shared" si="11"/>
        <v>1</v>
      </c>
      <c r="M60" s="1">
        <f t="shared" si="12"/>
        <v>0</v>
      </c>
      <c r="N60" s="1">
        <f t="shared" si="13"/>
        <v>0</v>
      </c>
      <c r="O60" s="1">
        <f t="shared" si="14"/>
        <v>0</v>
      </c>
      <c r="P60" s="1">
        <f t="shared" si="15"/>
        <v>0</v>
      </c>
      <c r="Q60" s="1">
        <f t="shared" si="16"/>
        <v>0</v>
      </c>
      <c r="R60" s="1">
        <f t="shared" si="17"/>
        <v>0</v>
      </c>
      <c r="S60" s="1">
        <f t="shared" si="18"/>
        <v>1</v>
      </c>
      <c r="T60" s="1">
        <f t="shared" si="19"/>
        <v>1</v>
      </c>
      <c r="U60" s="1">
        <f t="shared" si="20"/>
        <v>0</v>
      </c>
      <c r="V60" s="1">
        <f t="shared" si="21"/>
        <v>0</v>
      </c>
      <c r="W60" s="1">
        <f t="shared" si="22"/>
        <v>0</v>
      </c>
      <c r="X60" s="1">
        <f t="shared" si="23"/>
        <v>1</v>
      </c>
      <c r="Y60" s="1">
        <f t="shared" si="24"/>
        <v>0</v>
      </c>
      <c r="Z60" s="1">
        <f t="shared" si="25"/>
        <v>0</v>
      </c>
      <c r="AA60" s="1">
        <f t="shared" si="26"/>
        <v>0</v>
      </c>
      <c r="AB60" s="1">
        <f t="shared" si="27"/>
        <v>0</v>
      </c>
      <c r="AC60" s="1">
        <f t="shared" si="28"/>
        <v>0</v>
      </c>
      <c r="AD60" s="1">
        <f t="shared" si="29"/>
        <v>0</v>
      </c>
      <c r="AE60" s="1">
        <f t="shared" si="30"/>
        <v>0</v>
      </c>
    </row>
    <row r="61" spans="1:31" x14ac:dyDescent="0.25">
      <c r="A61" s="3" t="s">
        <v>26</v>
      </c>
      <c r="B61" s="1">
        <f t="shared" si="1"/>
        <v>0</v>
      </c>
      <c r="C61" s="1">
        <f t="shared" si="2"/>
        <v>0</v>
      </c>
      <c r="D61" s="1">
        <f t="shared" si="3"/>
        <v>0</v>
      </c>
      <c r="E61" s="1">
        <f t="shared" si="4"/>
        <v>0</v>
      </c>
      <c r="F61" s="1">
        <f t="shared" si="5"/>
        <v>0</v>
      </c>
      <c r="G61" s="1">
        <f t="shared" si="6"/>
        <v>0</v>
      </c>
      <c r="H61" s="1">
        <f t="shared" si="7"/>
        <v>0</v>
      </c>
      <c r="I61" s="1">
        <f t="shared" si="8"/>
        <v>0</v>
      </c>
      <c r="J61" s="1">
        <f t="shared" si="9"/>
        <v>0</v>
      </c>
      <c r="K61" s="1">
        <f t="shared" si="10"/>
        <v>1</v>
      </c>
      <c r="L61" s="1">
        <f t="shared" si="11"/>
        <v>0</v>
      </c>
      <c r="M61" s="1">
        <f t="shared" si="12"/>
        <v>0</v>
      </c>
      <c r="N61" s="1">
        <f t="shared" si="13"/>
        <v>0</v>
      </c>
      <c r="O61" s="1">
        <f t="shared" si="14"/>
        <v>0</v>
      </c>
      <c r="P61" s="1">
        <f t="shared" si="15"/>
        <v>0</v>
      </c>
      <c r="Q61" s="1">
        <f t="shared" si="16"/>
        <v>0</v>
      </c>
      <c r="R61" s="1">
        <f t="shared" si="17"/>
        <v>0</v>
      </c>
      <c r="S61" s="1">
        <f t="shared" si="18"/>
        <v>1</v>
      </c>
      <c r="T61" s="1">
        <f t="shared" si="19"/>
        <v>1</v>
      </c>
      <c r="U61" s="1">
        <f t="shared" si="20"/>
        <v>0</v>
      </c>
      <c r="V61" s="1">
        <f t="shared" si="21"/>
        <v>1</v>
      </c>
      <c r="W61" s="1">
        <f t="shared" si="22"/>
        <v>0</v>
      </c>
      <c r="X61" s="1">
        <f t="shared" si="23"/>
        <v>1</v>
      </c>
      <c r="Y61" s="1">
        <f t="shared" si="24"/>
        <v>0</v>
      </c>
      <c r="Z61" s="1">
        <f t="shared" si="25"/>
        <v>0</v>
      </c>
      <c r="AA61" s="1">
        <f t="shared" si="26"/>
        <v>0</v>
      </c>
      <c r="AB61" s="1">
        <f t="shared" si="27"/>
        <v>0</v>
      </c>
      <c r="AC61" s="1">
        <f t="shared" si="28"/>
        <v>1</v>
      </c>
      <c r="AD61" s="1">
        <f t="shared" si="29"/>
        <v>0</v>
      </c>
      <c r="AE61" s="1">
        <f t="shared" si="30"/>
        <v>1</v>
      </c>
    </row>
    <row r="62" spans="1:31" x14ac:dyDescent="0.25">
      <c r="A62" s="3" t="s">
        <v>27</v>
      </c>
      <c r="B62" s="1">
        <f t="shared" si="1"/>
        <v>0</v>
      </c>
      <c r="C62" s="1">
        <f t="shared" si="2"/>
        <v>0</v>
      </c>
      <c r="D62" s="1">
        <f t="shared" si="3"/>
        <v>0</v>
      </c>
      <c r="E62" s="1">
        <f t="shared" si="4"/>
        <v>0</v>
      </c>
      <c r="F62" s="1">
        <f t="shared" si="5"/>
        <v>0</v>
      </c>
      <c r="G62" s="1">
        <f t="shared" si="6"/>
        <v>0</v>
      </c>
      <c r="H62" s="1">
        <f t="shared" si="7"/>
        <v>0</v>
      </c>
      <c r="I62" s="1">
        <f t="shared" si="8"/>
        <v>0</v>
      </c>
      <c r="J62" s="1">
        <f t="shared" si="9"/>
        <v>1</v>
      </c>
      <c r="K62" s="1">
        <f t="shared" si="10"/>
        <v>1</v>
      </c>
      <c r="L62" s="1">
        <f t="shared" si="11"/>
        <v>0</v>
      </c>
      <c r="M62" s="1">
        <f t="shared" si="12"/>
        <v>0</v>
      </c>
      <c r="N62" s="1">
        <f t="shared" si="13"/>
        <v>0</v>
      </c>
      <c r="O62" s="1">
        <f t="shared" si="14"/>
        <v>0</v>
      </c>
      <c r="P62" s="1">
        <f t="shared" si="15"/>
        <v>1</v>
      </c>
      <c r="Q62" s="1">
        <f t="shared" si="16"/>
        <v>0</v>
      </c>
      <c r="R62" s="1">
        <f t="shared" si="17"/>
        <v>1</v>
      </c>
      <c r="S62" s="1">
        <f t="shared" si="18"/>
        <v>1</v>
      </c>
      <c r="T62" s="1">
        <f t="shared" si="19"/>
        <v>1</v>
      </c>
      <c r="U62" s="1">
        <f t="shared" si="20"/>
        <v>1</v>
      </c>
      <c r="V62" s="1">
        <f t="shared" si="21"/>
        <v>1</v>
      </c>
      <c r="W62" s="1">
        <f t="shared" si="22"/>
        <v>0</v>
      </c>
      <c r="X62" s="1">
        <f t="shared" si="23"/>
        <v>1</v>
      </c>
      <c r="Y62" s="1">
        <f t="shared" si="24"/>
        <v>0</v>
      </c>
      <c r="Z62" s="1">
        <f t="shared" si="25"/>
        <v>0</v>
      </c>
      <c r="AA62" s="1">
        <f t="shared" si="26"/>
        <v>0</v>
      </c>
      <c r="AB62" s="1">
        <f t="shared" si="27"/>
        <v>1</v>
      </c>
      <c r="AC62" s="1">
        <f t="shared" si="28"/>
        <v>1</v>
      </c>
      <c r="AD62" s="1">
        <f t="shared" si="29"/>
        <v>0</v>
      </c>
      <c r="AE62" s="1">
        <f t="shared" si="30"/>
        <v>1</v>
      </c>
    </row>
    <row r="63" spans="1:31" x14ac:dyDescent="0.25">
      <c r="A63" s="3" t="s">
        <v>28</v>
      </c>
      <c r="B63" s="1">
        <f t="shared" si="1"/>
        <v>1</v>
      </c>
      <c r="C63" s="1">
        <f t="shared" si="2"/>
        <v>0</v>
      </c>
      <c r="D63" s="1">
        <f t="shared" si="3"/>
        <v>1</v>
      </c>
      <c r="E63" s="1">
        <f t="shared" si="4"/>
        <v>1</v>
      </c>
      <c r="F63" s="1">
        <f t="shared" si="5"/>
        <v>0</v>
      </c>
      <c r="G63" s="1">
        <f t="shared" si="6"/>
        <v>1</v>
      </c>
      <c r="H63" s="1">
        <f t="shared" si="7"/>
        <v>1</v>
      </c>
      <c r="I63" s="1">
        <f t="shared" si="8"/>
        <v>1</v>
      </c>
      <c r="J63" s="1">
        <f t="shared" si="9"/>
        <v>0</v>
      </c>
      <c r="K63" s="1">
        <f t="shared" si="10"/>
        <v>1</v>
      </c>
      <c r="L63" s="1">
        <f t="shared" si="11"/>
        <v>1</v>
      </c>
      <c r="M63" s="1">
        <f t="shared" si="12"/>
        <v>0</v>
      </c>
      <c r="N63" s="1">
        <f t="shared" si="13"/>
        <v>0</v>
      </c>
      <c r="O63" s="1">
        <f t="shared" si="14"/>
        <v>0</v>
      </c>
      <c r="P63" s="1">
        <f t="shared" si="15"/>
        <v>0</v>
      </c>
      <c r="Q63" s="1">
        <f t="shared" si="16"/>
        <v>0</v>
      </c>
      <c r="R63" s="1">
        <f t="shared" si="17"/>
        <v>0</v>
      </c>
      <c r="S63" s="1">
        <f t="shared" si="18"/>
        <v>1</v>
      </c>
      <c r="T63" s="1">
        <f t="shared" si="19"/>
        <v>1</v>
      </c>
      <c r="U63" s="1">
        <f t="shared" si="20"/>
        <v>0</v>
      </c>
      <c r="V63" s="1">
        <f t="shared" si="21"/>
        <v>0</v>
      </c>
      <c r="W63" s="1">
        <f t="shared" si="22"/>
        <v>0</v>
      </c>
      <c r="X63" s="1">
        <f t="shared" si="23"/>
        <v>0</v>
      </c>
      <c r="Y63" s="1">
        <f t="shared" si="24"/>
        <v>0</v>
      </c>
      <c r="Z63" s="1">
        <f t="shared" si="25"/>
        <v>0</v>
      </c>
      <c r="AA63" s="1">
        <f t="shared" si="26"/>
        <v>1</v>
      </c>
      <c r="AB63" s="1">
        <f t="shared" si="27"/>
        <v>0</v>
      </c>
      <c r="AC63" s="1">
        <f t="shared" si="28"/>
        <v>0</v>
      </c>
      <c r="AD63" s="1">
        <f t="shared" si="29"/>
        <v>1</v>
      </c>
      <c r="AE63" s="1">
        <f t="shared" si="30"/>
        <v>0</v>
      </c>
    </row>
    <row r="64" spans="1:31" x14ac:dyDescent="0.25">
      <c r="A64" s="3" t="s">
        <v>29</v>
      </c>
      <c r="B64" s="1">
        <f t="shared" si="1"/>
        <v>1</v>
      </c>
      <c r="C64" s="1">
        <f t="shared" si="2"/>
        <v>1</v>
      </c>
      <c r="D64" s="1">
        <f t="shared" si="3"/>
        <v>1</v>
      </c>
      <c r="E64" s="1">
        <f t="shared" si="4"/>
        <v>1</v>
      </c>
      <c r="F64" s="1">
        <f t="shared" si="5"/>
        <v>1</v>
      </c>
      <c r="G64" s="1">
        <f t="shared" si="6"/>
        <v>1</v>
      </c>
      <c r="H64" s="1">
        <f t="shared" si="7"/>
        <v>1</v>
      </c>
      <c r="I64" s="1">
        <f t="shared" si="8"/>
        <v>1</v>
      </c>
      <c r="J64" s="1">
        <f t="shared" si="9"/>
        <v>0</v>
      </c>
      <c r="K64" s="1">
        <f t="shared" si="10"/>
        <v>1</v>
      </c>
      <c r="L64" s="1">
        <f t="shared" si="11"/>
        <v>1</v>
      </c>
      <c r="M64" s="1">
        <f t="shared" si="12"/>
        <v>1</v>
      </c>
      <c r="N64" s="1">
        <f t="shared" si="13"/>
        <v>1</v>
      </c>
      <c r="O64" s="1">
        <f t="shared" si="14"/>
        <v>0</v>
      </c>
      <c r="P64" s="1">
        <f t="shared" si="15"/>
        <v>0</v>
      </c>
      <c r="Q64" s="1">
        <f t="shared" si="16"/>
        <v>0</v>
      </c>
      <c r="R64" s="1">
        <f t="shared" si="17"/>
        <v>0</v>
      </c>
      <c r="S64" s="1">
        <f t="shared" si="18"/>
        <v>1</v>
      </c>
      <c r="T64" s="1">
        <f t="shared" si="19"/>
        <v>0</v>
      </c>
      <c r="U64" s="1">
        <f t="shared" si="20"/>
        <v>0</v>
      </c>
      <c r="V64" s="1">
        <f t="shared" si="21"/>
        <v>0</v>
      </c>
      <c r="W64" s="1">
        <f t="shared" si="22"/>
        <v>0</v>
      </c>
      <c r="X64" s="1">
        <f t="shared" si="23"/>
        <v>0</v>
      </c>
      <c r="Y64" s="1">
        <f t="shared" si="24"/>
        <v>0</v>
      </c>
      <c r="Z64" s="1">
        <f t="shared" si="25"/>
        <v>1</v>
      </c>
      <c r="AA64" s="1">
        <f t="shared" si="26"/>
        <v>1</v>
      </c>
      <c r="AB64" s="1">
        <f t="shared" si="27"/>
        <v>0</v>
      </c>
      <c r="AC64" s="1">
        <f t="shared" si="28"/>
        <v>0</v>
      </c>
      <c r="AD64" s="1">
        <f t="shared" si="29"/>
        <v>1</v>
      </c>
      <c r="AE64" s="1">
        <f t="shared" si="30"/>
        <v>0</v>
      </c>
    </row>
    <row r="65" spans="1:32" x14ac:dyDescent="0.25">
      <c r="A65" s="3" t="s">
        <v>30</v>
      </c>
      <c r="B65" s="1">
        <f t="shared" si="1"/>
        <v>0</v>
      </c>
      <c r="C65" s="1">
        <f t="shared" si="2"/>
        <v>0</v>
      </c>
      <c r="D65" s="1">
        <f t="shared" si="3"/>
        <v>0</v>
      </c>
      <c r="E65" s="1">
        <f t="shared" si="4"/>
        <v>0</v>
      </c>
      <c r="F65" s="1">
        <f t="shared" si="5"/>
        <v>0</v>
      </c>
      <c r="G65" s="1">
        <f t="shared" si="6"/>
        <v>0</v>
      </c>
      <c r="H65" s="1">
        <f t="shared" si="7"/>
        <v>0</v>
      </c>
      <c r="I65" s="1">
        <f t="shared" si="8"/>
        <v>0</v>
      </c>
      <c r="J65" s="1">
        <f t="shared" si="9"/>
        <v>1</v>
      </c>
      <c r="K65" s="1">
        <f t="shared" si="10"/>
        <v>1</v>
      </c>
      <c r="L65" s="1">
        <f t="shared" si="11"/>
        <v>0</v>
      </c>
      <c r="M65" s="1">
        <f t="shared" si="12"/>
        <v>0</v>
      </c>
      <c r="N65" s="1">
        <f t="shared" si="13"/>
        <v>0</v>
      </c>
      <c r="O65" s="1">
        <f t="shared" si="14"/>
        <v>0</v>
      </c>
      <c r="P65" s="1">
        <f t="shared" si="15"/>
        <v>1</v>
      </c>
      <c r="Q65" s="1">
        <f t="shared" si="16"/>
        <v>1</v>
      </c>
      <c r="R65" s="1">
        <f t="shared" si="17"/>
        <v>1</v>
      </c>
      <c r="S65" s="1">
        <f t="shared" si="18"/>
        <v>0</v>
      </c>
      <c r="T65" s="1">
        <f t="shared" si="19"/>
        <v>1</v>
      </c>
      <c r="U65" s="1">
        <f t="shared" si="20"/>
        <v>1</v>
      </c>
      <c r="V65" s="1">
        <f t="shared" si="21"/>
        <v>1</v>
      </c>
      <c r="W65" s="1">
        <f t="shared" si="22"/>
        <v>0</v>
      </c>
      <c r="X65" s="1">
        <f t="shared" si="23"/>
        <v>1</v>
      </c>
      <c r="Y65" s="1">
        <f t="shared" si="24"/>
        <v>0</v>
      </c>
      <c r="Z65" s="1">
        <f t="shared" si="25"/>
        <v>0</v>
      </c>
      <c r="AA65" s="1">
        <f t="shared" si="26"/>
        <v>0</v>
      </c>
      <c r="AB65" s="1">
        <f t="shared" si="27"/>
        <v>1</v>
      </c>
      <c r="AC65" s="1">
        <f t="shared" si="28"/>
        <v>1</v>
      </c>
      <c r="AD65" s="1">
        <f t="shared" si="29"/>
        <v>0</v>
      </c>
      <c r="AE65" s="1">
        <f t="shared" si="30"/>
        <v>1</v>
      </c>
    </row>
    <row r="66" spans="1:32" x14ac:dyDescent="0.25">
      <c r="A66" s="3" t="s">
        <v>31</v>
      </c>
      <c r="B66" s="1">
        <f t="shared" si="1"/>
        <v>1</v>
      </c>
      <c r="C66" s="1">
        <f t="shared" si="2"/>
        <v>1</v>
      </c>
      <c r="D66" s="1">
        <f t="shared" si="3"/>
        <v>1</v>
      </c>
      <c r="E66" s="1">
        <f t="shared" si="4"/>
        <v>1</v>
      </c>
      <c r="F66" s="1">
        <f t="shared" si="5"/>
        <v>1</v>
      </c>
      <c r="G66" s="1">
        <f t="shared" si="6"/>
        <v>1</v>
      </c>
      <c r="H66" s="1">
        <f t="shared" si="7"/>
        <v>1</v>
      </c>
      <c r="I66" s="1">
        <f t="shared" si="8"/>
        <v>1</v>
      </c>
      <c r="J66" s="1">
        <f t="shared" si="9"/>
        <v>0</v>
      </c>
      <c r="K66" s="1">
        <f t="shared" si="10"/>
        <v>1</v>
      </c>
      <c r="L66" s="1">
        <f t="shared" si="11"/>
        <v>1</v>
      </c>
      <c r="M66" s="1">
        <f t="shared" si="12"/>
        <v>1</v>
      </c>
      <c r="N66" s="1">
        <f t="shared" si="13"/>
        <v>1</v>
      </c>
      <c r="O66" s="1">
        <f t="shared" si="14"/>
        <v>1</v>
      </c>
      <c r="P66" s="1">
        <f t="shared" si="15"/>
        <v>0</v>
      </c>
      <c r="Q66" s="1">
        <f t="shared" si="16"/>
        <v>0</v>
      </c>
      <c r="R66" s="1">
        <f t="shared" si="17"/>
        <v>0</v>
      </c>
      <c r="S66" s="1">
        <f t="shared" si="18"/>
        <v>1</v>
      </c>
      <c r="T66" s="1">
        <f t="shared" si="19"/>
        <v>0</v>
      </c>
      <c r="U66" s="1">
        <f t="shared" si="20"/>
        <v>0</v>
      </c>
      <c r="V66" s="1">
        <f t="shared" si="21"/>
        <v>0</v>
      </c>
      <c r="W66" s="1">
        <f t="shared" si="22"/>
        <v>0</v>
      </c>
      <c r="X66" s="1">
        <f t="shared" si="23"/>
        <v>0</v>
      </c>
      <c r="Y66" s="1">
        <f t="shared" si="24"/>
        <v>0</v>
      </c>
      <c r="Z66" s="1">
        <f t="shared" si="25"/>
        <v>1</v>
      </c>
      <c r="AA66" s="1">
        <f t="shared" si="26"/>
        <v>1</v>
      </c>
      <c r="AB66" s="1">
        <f t="shared" si="27"/>
        <v>0</v>
      </c>
      <c r="AC66" s="1">
        <f t="shared" si="28"/>
        <v>0</v>
      </c>
      <c r="AD66" s="1">
        <f t="shared" si="29"/>
        <v>1</v>
      </c>
      <c r="AE66" s="1">
        <f t="shared" si="30"/>
        <v>0</v>
      </c>
    </row>
    <row r="73" spans="1:32" x14ac:dyDescent="0.25">
      <c r="C73" s="1" t="s">
        <v>44</v>
      </c>
      <c r="D73" s="1" t="s">
        <v>45</v>
      </c>
      <c r="E73" s="1" t="s">
        <v>46</v>
      </c>
      <c r="F73" s="1" t="s">
        <v>47</v>
      </c>
      <c r="G73" s="1" t="s">
        <v>48</v>
      </c>
      <c r="H73" s="1" t="s">
        <v>49</v>
      </c>
      <c r="I73" s="1" t="s">
        <v>50</v>
      </c>
      <c r="J73" s="1" t="s">
        <v>51</v>
      </c>
      <c r="K73" s="1" t="s">
        <v>52</v>
      </c>
      <c r="L73" s="1" t="s">
        <v>53</v>
      </c>
      <c r="M73" s="1" t="s">
        <v>54</v>
      </c>
      <c r="N73" s="1" t="s">
        <v>55</v>
      </c>
      <c r="O73" s="1" t="s">
        <v>56</v>
      </c>
      <c r="P73" s="1" t="s">
        <v>57</v>
      </c>
      <c r="Q73" s="1" t="s">
        <v>58</v>
      </c>
      <c r="R73" s="1" t="s">
        <v>59</v>
      </c>
      <c r="S73" s="1" t="s">
        <v>60</v>
      </c>
      <c r="T73" s="1" t="s">
        <v>61</v>
      </c>
      <c r="U73" s="1" t="s">
        <v>62</v>
      </c>
      <c r="V73" s="1" t="s">
        <v>63</v>
      </c>
      <c r="W73" s="1" t="s">
        <v>64</v>
      </c>
      <c r="X73" s="1" t="s">
        <v>65</v>
      </c>
      <c r="Y73" s="1" t="s">
        <v>66</v>
      </c>
      <c r="Z73" s="1" t="s">
        <v>67</v>
      </c>
      <c r="AA73" s="1" t="s">
        <v>68</v>
      </c>
      <c r="AB73" s="1" t="s">
        <v>69</v>
      </c>
      <c r="AC73" s="1" t="s">
        <v>70</v>
      </c>
      <c r="AD73" s="1" t="s">
        <v>71</v>
      </c>
      <c r="AE73" s="1" t="s">
        <v>72</v>
      </c>
      <c r="AF73" t="s">
        <v>85</v>
      </c>
    </row>
    <row r="74" spans="1:32" x14ac:dyDescent="0.25">
      <c r="A74" s="3" t="s">
        <v>2</v>
      </c>
      <c r="B74" s="1">
        <v>0.14331202761966999</v>
      </c>
    </row>
    <row r="75" spans="1:32" x14ac:dyDescent="0.25">
      <c r="A75" s="3" t="s">
        <v>3</v>
      </c>
      <c r="B75" s="1">
        <v>0.181627688325049</v>
      </c>
      <c r="C75" s="1">
        <f>ABS($B$74-B75)</f>
        <v>3.8315660705379E-2</v>
      </c>
    </row>
    <row r="76" spans="1:32" x14ac:dyDescent="0.25">
      <c r="A76" s="3" t="s">
        <v>4</v>
      </c>
      <c r="B76" s="1">
        <v>0.134356792424869</v>
      </c>
      <c r="C76" s="1">
        <f t="shared" ref="C76:C103" si="31">ABS($B$74-B76)</f>
        <v>8.9552351948009902E-3</v>
      </c>
      <c r="D76" s="1">
        <f>ABS($B$75-B76)</f>
        <v>4.727089590018E-2</v>
      </c>
    </row>
    <row r="77" spans="1:32" x14ac:dyDescent="0.25">
      <c r="A77" s="3" t="s">
        <v>5</v>
      </c>
      <c r="B77" s="1">
        <v>0.166167177014789</v>
      </c>
      <c r="C77" s="1">
        <f t="shared" si="31"/>
        <v>2.2855149395119002E-2</v>
      </c>
      <c r="D77" s="1">
        <f t="shared" ref="D77:D103" si="32">ABS($B$75-B77)</f>
        <v>1.546051131026E-2</v>
      </c>
      <c r="E77" s="1">
        <f>ABS($B$76-B77)</f>
        <v>3.1810384589919999E-2</v>
      </c>
    </row>
    <row r="78" spans="1:32" x14ac:dyDescent="0.25">
      <c r="A78" s="3" t="s">
        <v>6</v>
      </c>
      <c r="B78" s="1">
        <v>0.18740436778411501</v>
      </c>
      <c r="C78" s="1">
        <f t="shared" si="31"/>
        <v>4.4092340164445E-2</v>
      </c>
      <c r="D78" s="1">
        <f t="shared" si="32"/>
        <v>5.7766794590660099E-3</v>
      </c>
      <c r="E78" s="1">
        <f t="shared" ref="E78:E103" si="33">ABS($B$76-B78)</f>
        <v>5.3047575359246001E-2</v>
      </c>
      <c r="F78" s="1">
        <f>ABS($B$77-B78)</f>
        <v>2.1237190769325998E-2</v>
      </c>
    </row>
    <row r="79" spans="1:32" x14ac:dyDescent="0.25">
      <c r="A79" s="3" t="s">
        <v>7</v>
      </c>
      <c r="B79" s="1">
        <v>0.15916898579977001</v>
      </c>
      <c r="C79" s="1">
        <f t="shared" si="31"/>
        <v>1.5856958180099998E-2</v>
      </c>
      <c r="D79" s="1">
        <f t="shared" si="32"/>
        <v>2.2458702525279001E-2</v>
      </c>
      <c r="E79" s="1">
        <f t="shared" si="33"/>
        <v>2.4812193374900999E-2</v>
      </c>
      <c r="F79" s="1">
        <f t="shared" ref="F79:F103" si="34">ABS($B$77-B79)</f>
        <v>6.9981912150189904E-3</v>
      </c>
      <c r="G79" s="1">
        <f>ABS($B$78-B79)</f>
        <v>2.8235381984345002E-2</v>
      </c>
    </row>
    <row r="80" spans="1:32" x14ac:dyDescent="0.25">
      <c r="A80" s="3" t="s">
        <v>8</v>
      </c>
      <c r="B80" s="1">
        <v>0.15698073650444</v>
      </c>
      <c r="C80" s="1">
        <f t="shared" si="31"/>
        <v>1.366870888477E-2</v>
      </c>
      <c r="D80" s="1">
        <f t="shared" si="32"/>
        <v>2.4646951820609001E-2</v>
      </c>
      <c r="E80" s="1">
        <f t="shared" si="33"/>
        <v>2.2623944079570999E-2</v>
      </c>
      <c r="F80" s="1">
        <f t="shared" si="34"/>
        <v>9.1864405103489997E-3</v>
      </c>
      <c r="G80" s="1">
        <f t="shared" ref="G80:G103" si="35">ABS($B$78-B80)</f>
        <v>3.0423631279675001E-2</v>
      </c>
      <c r="H80" s="1">
        <f>ABS($B$79-B80)</f>
        <v>2.1882492953300102E-3</v>
      </c>
    </row>
    <row r="81" spans="1:24" x14ac:dyDescent="0.25">
      <c r="A81" s="3" t="s">
        <v>9</v>
      </c>
      <c r="B81" s="1">
        <v>0.15126671689583701</v>
      </c>
      <c r="C81" s="1">
        <f t="shared" si="31"/>
        <v>7.9546892761670207E-3</v>
      </c>
      <c r="D81" s="1">
        <f t="shared" si="32"/>
        <v>3.0360971429212E-2</v>
      </c>
      <c r="E81" s="1">
        <f t="shared" si="33"/>
        <v>1.6909924470968E-2</v>
      </c>
      <c r="F81" s="1">
        <f t="shared" si="34"/>
        <v>1.4900460118952E-2</v>
      </c>
      <c r="G81" s="1">
        <f t="shared" si="35"/>
        <v>3.6137650888278E-2</v>
      </c>
      <c r="H81" s="1">
        <f t="shared" ref="H81:H103" si="36">ABS($B$79-B81)</f>
        <v>7.9022689039330001E-3</v>
      </c>
      <c r="I81" s="1">
        <f>ABS($B$80-B81)</f>
        <v>5.7140196086029899E-3</v>
      </c>
    </row>
    <row r="82" spans="1:24" x14ac:dyDescent="0.25">
      <c r="A82" s="3" t="s">
        <v>10</v>
      </c>
      <c r="B82" s="1">
        <v>0.21607403681234399</v>
      </c>
      <c r="C82" s="1">
        <f t="shared" si="31"/>
        <v>7.2762009192674004E-2</v>
      </c>
      <c r="D82" s="1">
        <f t="shared" si="32"/>
        <v>3.4446348487294998E-2</v>
      </c>
      <c r="E82" s="1">
        <f t="shared" si="33"/>
        <v>8.1717244387475005E-2</v>
      </c>
      <c r="F82" s="1">
        <f t="shared" si="34"/>
        <v>4.9906859797554999E-2</v>
      </c>
      <c r="G82" s="1">
        <f t="shared" si="35"/>
        <v>2.8669669028229001E-2</v>
      </c>
      <c r="H82" s="1">
        <f t="shared" si="36"/>
        <v>5.6905051012574003E-2</v>
      </c>
      <c r="I82" s="1">
        <f t="shared" ref="I82:I103" si="37">ABS($B$80-B82)</f>
        <v>5.9093300307904002E-2</v>
      </c>
      <c r="J82" s="1">
        <f>ABS($B$81-B82)</f>
        <v>6.4807319916506997E-2</v>
      </c>
    </row>
    <row r="83" spans="1:24" x14ac:dyDescent="0.25">
      <c r="A83" s="3" t="s">
        <v>11</v>
      </c>
      <c r="B83" s="1">
        <v>0.105533698825535</v>
      </c>
      <c r="C83" s="1">
        <f t="shared" si="31"/>
        <v>3.7778328794135001E-2</v>
      </c>
      <c r="D83" s="1">
        <f t="shared" si="32"/>
        <v>7.6093989499514E-2</v>
      </c>
      <c r="E83" s="1">
        <f t="shared" si="33"/>
        <v>2.8823093599334E-2</v>
      </c>
      <c r="F83" s="1">
        <f t="shared" si="34"/>
        <v>6.0633478189253999E-2</v>
      </c>
      <c r="G83" s="1">
        <f t="shared" si="35"/>
        <v>8.1870668958580001E-2</v>
      </c>
      <c r="H83" s="1">
        <f t="shared" si="36"/>
        <v>5.3635286974235002E-2</v>
      </c>
      <c r="I83" s="1">
        <f t="shared" si="37"/>
        <v>5.1447037678905003E-2</v>
      </c>
      <c r="J83" s="1">
        <f t="shared" ref="J83:J103" si="38">ABS($B$81-B83)</f>
        <v>4.5733018070302001E-2</v>
      </c>
      <c r="K83" s="1">
        <f>ABS($B$82-B83)</f>
        <v>0.110540337986809</v>
      </c>
    </row>
    <row r="84" spans="1:24" x14ac:dyDescent="0.25">
      <c r="A84" s="3" t="s">
        <v>12</v>
      </c>
      <c r="B84" s="1">
        <v>0.148029074643556</v>
      </c>
      <c r="C84" s="1">
        <f t="shared" si="31"/>
        <v>4.7170470238860097E-3</v>
      </c>
      <c r="D84" s="1">
        <f t="shared" si="32"/>
        <v>3.3598613681493E-2</v>
      </c>
      <c r="E84" s="1">
        <f t="shared" si="33"/>
        <v>1.3672282218687E-2</v>
      </c>
      <c r="F84" s="1">
        <f t="shared" si="34"/>
        <v>1.8138102371232999E-2</v>
      </c>
      <c r="G84" s="1">
        <f t="shared" si="35"/>
        <v>3.9375293140559001E-2</v>
      </c>
      <c r="H84" s="1">
        <f t="shared" si="36"/>
        <v>1.1139911156214001E-2</v>
      </c>
      <c r="I84" s="1">
        <f t="shared" si="37"/>
        <v>8.9516618608839991E-3</v>
      </c>
      <c r="J84" s="1">
        <f t="shared" si="38"/>
        <v>3.2376422522810101E-3</v>
      </c>
      <c r="K84" s="1">
        <f t="shared" ref="K84:K103" si="39">ABS($B$82-B84)</f>
        <v>6.8044962168787998E-2</v>
      </c>
      <c r="L84" s="1">
        <f>ABS($B$83-B84)</f>
        <v>4.2495375818021E-2</v>
      </c>
    </row>
    <row r="85" spans="1:24" x14ac:dyDescent="0.25">
      <c r="A85" s="3" t="s">
        <v>13</v>
      </c>
      <c r="B85" s="1">
        <v>0.18680508164967499</v>
      </c>
      <c r="C85" s="1">
        <f t="shared" si="31"/>
        <v>4.3493054030005002E-2</v>
      </c>
      <c r="D85" s="1">
        <f t="shared" si="32"/>
        <v>5.1773933246260003E-3</v>
      </c>
      <c r="E85" s="1">
        <f t="shared" si="33"/>
        <v>5.2448289224806002E-2</v>
      </c>
      <c r="F85" s="1">
        <f t="shared" si="34"/>
        <v>2.0637904634886E-2</v>
      </c>
      <c r="G85" s="1">
        <f t="shared" si="35"/>
        <v>5.9928613444001899E-4</v>
      </c>
      <c r="H85" s="1">
        <f t="shared" si="36"/>
        <v>2.7636095849905E-2</v>
      </c>
      <c r="I85" s="1">
        <f t="shared" si="37"/>
        <v>2.9824345145235E-2</v>
      </c>
      <c r="J85" s="1">
        <f t="shared" si="38"/>
        <v>3.5538364753838002E-2</v>
      </c>
      <c r="K85" s="1">
        <f t="shared" si="39"/>
        <v>2.9268955162668999E-2</v>
      </c>
      <c r="L85" s="1">
        <f t="shared" ref="L85:L103" si="40">ABS($B$83-B85)</f>
        <v>8.1271382824139995E-2</v>
      </c>
      <c r="M85" s="1">
        <f>ABS($B$84-B85)</f>
        <v>3.8776007006119002E-2</v>
      </c>
    </row>
    <row r="86" spans="1:24" x14ac:dyDescent="0.25">
      <c r="A86" s="3" t="s">
        <v>14</v>
      </c>
      <c r="B86" s="1">
        <v>0.18963997697319801</v>
      </c>
      <c r="C86" s="1">
        <f t="shared" si="31"/>
        <v>4.6327949353527999E-2</v>
      </c>
      <c r="D86" s="1">
        <f t="shared" si="32"/>
        <v>8.0122886481490095E-3</v>
      </c>
      <c r="E86" s="1">
        <f t="shared" si="33"/>
        <v>5.5283184548328999E-2</v>
      </c>
      <c r="F86" s="1">
        <f t="shared" si="34"/>
        <v>2.3472799958409001E-2</v>
      </c>
      <c r="G86" s="1">
        <f t="shared" si="35"/>
        <v>2.2356091890830001E-3</v>
      </c>
      <c r="H86" s="1">
        <f t="shared" si="36"/>
        <v>3.0470991173428E-2</v>
      </c>
      <c r="I86" s="1">
        <f t="shared" si="37"/>
        <v>3.2659240468757997E-2</v>
      </c>
      <c r="J86" s="1">
        <f t="shared" si="38"/>
        <v>3.8373260077360999E-2</v>
      </c>
      <c r="K86" s="1">
        <f t="shared" si="39"/>
        <v>2.6434059839145999E-2</v>
      </c>
      <c r="L86" s="1">
        <f t="shared" si="40"/>
        <v>8.4106278147662999E-2</v>
      </c>
      <c r="M86" s="1">
        <f t="shared" ref="M86:M103" si="41">ABS($B$84-B86)</f>
        <v>4.1610902329641999E-2</v>
      </c>
      <c r="N86" s="1">
        <f>ABS($B$85-B86)</f>
        <v>2.83489532352302E-3</v>
      </c>
    </row>
    <row r="87" spans="1:24" x14ac:dyDescent="0.25">
      <c r="A87" s="3" t="s">
        <v>15</v>
      </c>
      <c r="B87" s="1">
        <v>0.19197150406962599</v>
      </c>
      <c r="C87" s="1">
        <f t="shared" si="31"/>
        <v>4.8659476449956003E-2</v>
      </c>
      <c r="D87" s="1">
        <f t="shared" si="32"/>
        <v>1.0343815744577E-2</v>
      </c>
      <c r="E87" s="1">
        <f t="shared" si="33"/>
        <v>5.7614711644756997E-2</v>
      </c>
      <c r="F87" s="1">
        <f t="shared" si="34"/>
        <v>2.5804327054837001E-2</v>
      </c>
      <c r="G87" s="1">
        <f t="shared" si="35"/>
        <v>4.5671362855109797E-3</v>
      </c>
      <c r="H87" s="1">
        <f t="shared" si="36"/>
        <v>3.2802518269856001E-2</v>
      </c>
      <c r="I87" s="1">
        <f t="shared" si="37"/>
        <v>3.4990767565186001E-2</v>
      </c>
      <c r="J87" s="1">
        <f t="shared" si="38"/>
        <v>4.0704787173789003E-2</v>
      </c>
      <c r="K87" s="1">
        <f t="shared" si="39"/>
        <v>2.4102532742718001E-2</v>
      </c>
      <c r="L87" s="1">
        <f t="shared" si="40"/>
        <v>8.6437805244091004E-2</v>
      </c>
      <c r="M87" s="1">
        <f t="shared" si="41"/>
        <v>4.3942429426069997E-2</v>
      </c>
      <c r="N87" s="1">
        <f t="shared" ref="N87:N103" si="42">ABS($B$85-B87)</f>
        <v>5.1664224199509902E-3</v>
      </c>
      <c r="O87" s="1">
        <f>ABS($B$86-B87)</f>
        <v>2.3315270964279801E-3</v>
      </c>
    </row>
    <row r="88" spans="1:24" x14ac:dyDescent="0.25">
      <c r="A88" s="3" t="s">
        <v>16</v>
      </c>
      <c r="B88" s="1">
        <v>0.21774044082005101</v>
      </c>
      <c r="C88" s="1">
        <f t="shared" si="31"/>
        <v>7.4428413200381002E-2</v>
      </c>
      <c r="D88" s="1">
        <f t="shared" si="32"/>
        <v>3.6112752495002003E-2</v>
      </c>
      <c r="E88" s="1">
        <f t="shared" si="33"/>
        <v>8.3383648395182003E-2</v>
      </c>
      <c r="F88" s="1">
        <f t="shared" si="34"/>
        <v>5.1573263805261997E-2</v>
      </c>
      <c r="G88" s="1">
        <f t="shared" si="35"/>
        <v>3.0336073035935999E-2</v>
      </c>
      <c r="H88" s="1">
        <f t="shared" si="36"/>
        <v>5.8571455020281001E-2</v>
      </c>
      <c r="I88" s="1">
        <f t="shared" si="37"/>
        <v>6.0759704315611E-2</v>
      </c>
      <c r="J88" s="1">
        <f t="shared" si="38"/>
        <v>6.6473723924213995E-2</v>
      </c>
      <c r="K88" s="1">
        <f t="shared" si="39"/>
        <v>1.66640400770701E-3</v>
      </c>
      <c r="L88" s="1">
        <f t="shared" si="40"/>
        <v>0.112206741994516</v>
      </c>
      <c r="M88" s="1">
        <f t="shared" si="41"/>
        <v>6.9711366176494996E-2</v>
      </c>
      <c r="N88" s="1">
        <f t="shared" si="42"/>
        <v>3.0935359170376001E-2</v>
      </c>
      <c r="O88" s="1">
        <f t="shared" ref="O88:O103" si="43">ABS($B$86-B88)</f>
        <v>2.8100463846853E-2</v>
      </c>
      <c r="P88" s="1">
        <f>ABS($B$87-B88)</f>
        <v>2.5768936750424999E-2</v>
      </c>
    </row>
    <row r="89" spans="1:24" x14ac:dyDescent="0.25">
      <c r="A89" s="3" t="s">
        <v>17</v>
      </c>
      <c r="B89" s="1">
        <v>0.21104680168585199</v>
      </c>
      <c r="C89" s="1">
        <f t="shared" si="31"/>
        <v>6.7734774066182002E-2</v>
      </c>
      <c r="D89" s="1">
        <f t="shared" si="32"/>
        <v>2.9419113360802999E-2</v>
      </c>
      <c r="E89" s="1">
        <f t="shared" si="33"/>
        <v>7.6690009260983003E-2</v>
      </c>
      <c r="F89" s="1">
        <f t="shared" si="34"/>
        <v>4.4879624671062997E-2</v>
      </c>
      <c r="G89" s="1">
        <f t="shared" si="35"/>
        <v>2.3642433901736998E-2</v>
      </c>
      <c r="H89" s="1">
        <f t="shared" si="36"/>
        <v>5.1877815886082E-2</v>
      </c>
      <c r="I89" s="1">
        <f t="shared" si="37"/>
        <v>5.4066065181412E-2</v>
      </c>
      <c r="J89" s="1">
        <f t="shared" si="38"/>
        <v>5.9780084790015002E-2</v>
      </c>
      <c r="K89" s="1">
        <f t="shared" si="39"/>
        <v>5.0272351264919997E-3</v>
      </c>
      <c r="L89" s="1">
        <f t="shared" si="40"/>
        <v>0.105513102860317</v>
      </c>
      <c r="M89" s="1">
        <f t="shared" si="41"/>
        <v>6.3017727042295996E-2</v>
      </c>
      <c r="N89" s="1">
        <f t="shared" si="42"/>
        <v>2.4241720036177E-2</v>
      </c>
      <c r="O89" s="1">
        <f t="shared" si="43"/>
        <v>2.1406824712654E-2</v>
      </c>
      <c r="P89" s="1">
        <f t="shared" ref="P89:P103" si="44">ABS($B$87-B89)</f>
        <v>1.9075297616225999E-2</v>
      </c>
      <c r="Q89" s="1">
        <f>ABS($B$88-B89)</f>
        <v>6.6936391341990099E-3</v>
      </c>
    </row>
    <row r="90" spans="1:24" x14ac:dyDescent="0.25">
      <c r="A90" s="3" t="s">
        <v>18</v>
      </c>
      <c r="B90" s="1">
        <v>0.2188320795168</v>
      </c>
      <c r="C90" s="1">
        <f t="shared" si="31"/>
        <v>7.552005189713E-2</v>
      </c>
      <c r="D90" s="1">
        <f t="shared" si="32"/>
        <v>3.7204391191751E-2</v>
      </c>
      <c r="E90" s="1">
        <f t="shared" si="33"/>
        <v>8.4475287091931001E-2</v>
      </c>
      <c r="F90" s="1">
        <f t="shared" si="34"/>
        <v>5.2664902502011002E-2</v>
      </c>
      <c r="G90" s="1">
        <f t="shared" si="35"/>
        <v>3.1427711732685E-2</v>
      </c>
      <c r="H90" s="1">
        <f t="shared" si="36"/>
        <v>5.9663093717029998E-2</v>
      </c>
      <c r="I90" s="1">
        <f t="shared" si="37"/>
        <v>6.1851343012359998E-2</v>
      </c>
      <c r="J90" s="1">
        <f t="shared" si="38"/>
        <v>6.7565362620962993E-2</v>
      </c>
      <c r="K90" s="1">
        <f t="shared" si="39"/>
        <v>2.7580427044560101E-3</v>
      </c>
      <c r="L90" s="1">
        <f t="shared" si="40"/>
        <v>0.11329838069126499</v>
      </c>
      <c r="M90" s="1">
        <f t="shared" si="41"/>
        <v>7.0803004873243994E-2</v>
      </c>
      <c r="N90" s="1">
        <f t="shared" si="42"/>
        <v>3.2026997867124998E-2</v>
      </c>
      <c r="O90" s="1">
        <f t="shared" si="43"/>
        <v>2.9192102543602001E-2</v>
      </c>
      <c r="P90" s="1">
        <f t="shared" si="44"/>
        <v>2.6860575447174E-2</v>
      </c>
      <c r="Q90" s="1">
        <f t="shared" ref="Q90:Q103" si="45">ABS($B$88-B90)</f>
        <v>1.0916386967490001E-3</v>
      </c>
      <c r="R90" s="1">
        <f>ABS($B$89-B90)</f>
        <v>7.7852778309480102E-3</v>
      </c>
    </row>
    <row r="91" spans="1:24" x14ac:dyDescent="0.25">
      <c r="A91" s="3" t="s">
        <v>19</v>
      </c>
      <c r="B91" s="1">
        <v>0.115635132828944</v>
      </c>
      <c r="C91" s="1">
        <f t="shared" si="31"/>
        <v>2.7676894790725999E-2</v>
      </c>
      <c r="D91" s="1">
        <f t="shared" si="32"/>
        <v>6.5992555496104999E-2</v>
      </c>
      <c r="E91" s="1">
        <f t="shared" si="33"/>
        <v>1.8721659595924998E-2</v>
      </c>
      <c r="F91" s="1">
        <f t="shared" si="34"/>
        <v>5.0532044185844997E-2</v>
      </c>
      <c r="G91" s="1">
        <f t="shared" si="35"/>
        <v>7.1769234955170999E-2</v>
      </c>
      <c r="H91" s="1">
        <f t="shared" si="36"/>
        <v>4.3533852970826001E-2</v>
      </c>
      <c r="I91" s="1">
        <f t="shared" si="37"/>
        <v>4.1345603675496001E-2</v>
      </c>
      <c r="J91" s="1">
        <f t="shared" si="38"/>
        <v>3.5631584066892999E-2</v>
      </c>
      <c r="K91" s="1">
        <f t="shared" si="39"/>
        <v>0.1004389039834</v>
      </c>
      <c r="L91" s="1">
        <f t="shared" si="40"/>
        <v>1.0101434003409E-2</v>
      </c>
      <c r="M91" s="1">
        <f t="shared" si="41"/>
        <v>3.2393941814611998E-2</v>
      </c>
      <c r="N91" s="1">
        <f t="shared" si="42"/>
        <v>7.1169948820730994E-2</v>
      </c>
      <c r="O91" s="1">
        <f t="shared" si="43"/>
        <v>7.4004844144253998E-2</v>
      </c>
      <c r="P91" s="1">
        <f t="shared" si="44"/>
        <v>7.6336371240682002E-2</v>
      </c>
      <c r="Q91" s="1">
        <f t="shared" si="45"/>
        <v>0.10210530799110699</v>
      </c>
      <c r="R91" s="1">
        <f t="shared" ref="R91:R103" si="46">ABS($B$89-B91)</f>
        <v>9.5411668856907994E-2</v>
      </c>
      <c r="S91" s="1">
        <f>ABS($B$90-B91)</f>
        <v>0.10319694668785601</v>
      </c>
    </row>
    <row r="92" spans="1:24" x14ac:dyDescent="0.25">
      <c r="A92" s="3" t="s">
        <v>20</v>
      </c>
      <c r="B92" s="1">
        <v>0.27766318226972297</v>
      </c>
      <c r="C92" s="1">
        <f t="shared" si="31"/>
        <v>0.13435115465005301</v>
      </c>
      <c r="D92" s="1">
        <f t="shared" si="32"/>
        <v>9.6035493944674005E-2</v>
      </c>
      <c r="E92" s="1">
        <f t="shared" si="33"/>
        <v>0.143306389844854</v>
      </c>
      <c r="F92" s="1">
        <f t="shared" si="34"/>
        <v>0.111496005254934</v>
      </c>
      <c r="G92" s="1">
        <f t="shared" si="35"/>
        <v>9.0258814485608005E-2</v>
      </c>
      <c r="H92" s="1">
        <f t="shared" si="36"/>
        <v>0.118494196469953</v>
      </c>
      <c r="I92" s="1">
        <f t="shared" si="37"/>
        <v>0.120682445765283</v>
      </c>
      <c r="J92" s="1">
        <f t="shared" si="38"/>
        <v>0.12639646537388599</v>
      </c>
      <c r="K92" s="1">
        <f t="shared" si="39"/>
        <v>6.1589145457379001E-2</v>
      </c>
      <c r="L92" s="1">
        <f t="shared" si="40"/>
        <v>0.17212948344418799</v>
      </c>
      <c r="M92" s="1">
        <f t="shared" si="41"/>
        <v>0.12963410762616701</v>
      </c>
      <c r="N92" s="1">
        <f t="shared" si="42"/>
        <v>9.0858100620047996E-2</v>
      </c>
      <c r="O92" s="1">
        <f t="shared" si="43"/>
        <v>8.8023205296525006E-2</v>
      </c>
      <c r="P92" s="1">
        <f t="shared" si="44"/>
        <v>8.5691678200097002E-2</v>
      </c>
      <c r="Q92" s="1">
        <f t="shared" si="45"/>
        <v>5.9922741449672003E-2</v>
      </c>
      <c r="R92" s="1">
        <f t="shared" si="46"/>
        <v>6.6616380583870996E-2</v>
      </c>
      <c r="S92" s="1">
        <f t="shared" ref="S92:S103" si="47">ABS($B$90-B92)</f>
        <v>5.8831102752922998E-2</v>
      </c>
      <c r="T92" s="1">
        <f>ABS($B$91-B92)</f>
        <v>0.162028049440779</v>
      </c>
    </row>
    <row r="93" spans="1:24" x14ac:dyDescent="0.25">
      <c r="A93" s="3" t="s">
        <v>21</v>
      </c>
      <c r="B93" s="1">
        <v>0.21702545723685099</v>
      </c>
      <c r="C93" s="1">
        <f t="shared" si="31"/>
        <v>7.3713429617180998E-2</v>
      </c>
      <c r="D93" s="1">
        <f t="shared" si="32"/>
        <v>3.5397768911801998E-2</v>
      </c>
      <c r="E93" s="1">
        <f t="shared" si="33"/>
        <v>8.2668664811981998E-2</v>
      </c>
      <c r="F93" s="1">
        <f t="shared" si="34"/>
        <v>5.0858280222061999E-2</v>
      </c>
      <c r="G93" s="1">
        <f t="shared" si="35"/>
        <v>2.9621089452736001E-2</v>
      </c>
      <c r="H93" s="1">
        <f t="shared" si="36"/>
        <v>5.7856471437081003E-2</v>
      </c>
      <c r="I93" s="1">
        <f t="shared" si="37"/>
        <v>6.0044720732411003E-2</v>
      </c>
      <c r="J93" s="1">
        <f t="shared" si="38"/>
        <v>6.5758740341014005E-2</v>
      </c>
      <c r="K93" s="1">
        <f t="shared" si="39"/>
        <v>9.5142042450699295E-4</v>
      </c>
      <c r="L93" s="1">
        <f t="shared" si="40"/>
        <v>0.11149175841131601</v>
      </c>
      <c r="M93" s="1">
        <f t="shared" si="41"/>
        <v>6.8996382593295005E-2</v>
      </c>
      <c r="N93" s="1">
        <f t="shared" si="42"/>
        <v>3.0220375587176E-2</v>
      </c>
      <c r="O93" s="1">
        <f t="shared" si="43"/>
        <v>2.7385480263652999E-2</v>
      </c>
      <c r="P93" s="1">
        <f t="shared" si="44"/>
        <v>2.5053953167225002E-2</v>
      </c>
      <c r="Q93" s="1">
        <f t="shared" si="45"/>
        <v>7.1498358320001799E-4</v>
      </c>
      <c r="R93" s="1">
        <f t="shared" si="46"/>
        <v>5.9786555509990002E-3</v>
      </c>
      <c r="S93" s="1">
        <f t="shared" si="47"/>
        <v>1.80662227994902E-3</v>
      </c>
      <c r="T93" s="1">
        <f t="shared" ref="T93:T103" si="48">ABS($B$91-B93)</f>
        <v>0.101390324407907</v>
      </c>
      <c r="U93" s="1">
        <f>ABS($B$92-B93)</f>
        <v>6.0637725032872E-2</v>
      </c>
    </row>
    <row r="94" spans="1:24" x14ac:dyDescent="0.25">
      <c r="A94" s="3" t="s">
        <v>22</v>
      </c>
      <c r="B94" s="1">
        <v>0.23130404300070101</v>
      </c>
      <c r="C94" s="1">
        <f t="shared" si="31"/>
        <v>8.7992015381031005E-2</v>
      </c>
      <c r="D94" s="1">
        <f t="shared" si="32"/>
        <v>4.9676354675651999E-2</v>
      </c>
      <c r="E94" s="1">
        <f t="shared" si="33"/>
        <v>9.6947250575832006E-2</v>
      </c>
      <c r="F94" s="1">
        <f t="shared" si="34"/>
        <v>6.5136865985912007E-2</v>
      </c>
      <c r="G94" s="1">
        <f t="shared" si="35"/>
        <v>4.3899675216585998E-2</v>
      </c>
      <c r="H94" s="1">
        <f t="shared" si="36"/>
        <v>7.2135057200930996E-2</v>
      </c>
      <c r="I94" s="1">
        <f t="shared" si="37"/>
        <v>7.4323306496260996E-2</v>
      </c>
      <c r="J94" s="1">
        <f t="shared" si="38"/>
        <v>8.0037326104863998E-2</v>
      </c>
      <c r="K94" s="1">
        <f t="shared" si="39"/>
        <v>1.5230006188356999E-2</v>
      </c>
      <c r="L94" s="1">
        <f t="shared" si="40"/>
        <v>0.125770344175166</v>
      </c>
      <c r="M94" s="1">
        <f t="shared" si="41"/>
        <v>8.3274968357144999E-2</v>
      </c>
      <c r="N94" s="1">
        <f t="shared" si="42"/>
        <v>4.4498961351025997E-2</v>
      </c>
      <c r="O94" s="1">
        <f t="shared" si="43"/>
        <v>4.1664066027502999E-2</v>
      </c>
      <c r="P94" s="1">
        <f t="shared" si="44"/>
        <v>3.9332538931075002E-2</v>
      </c>
      <c r="Q94" s="1">
        <f t="shared" si="45"/>
        <v>1.3563602180649999E-2</v>
      </c>
      <c r="R94" s="1">
        <f t="shared" si="46"/>
        <v>2.0257241314849E-2</v>
      </c>
      <c r="S94" s="1">
        <f t="shared" si="47"/>
        <v>1.2471963483901E-2</v>
      </c>
      <c r="T94" s="1">
        <f t="shared" si="48"/>
        <v>0.115668910171757</v>
      </c>
      <c r="U94" s="1">
        <f t="shared" ref="U94:U103" si="49">ABS($B$92-B94)</f>
        <v>4.6359139269022E-2</v>
      </c>
      <c r="V94" s="1">
        <f>ABS($B$93-B94)</f>
        <v>1.4278585763850001E-2</v>
      </c>
    </row>
    <row r="95" spans="1:24" x14ac:dyDescent="0.25">
      <c r="A95" s="3" t="s">
        <v>23</v>
      </c>
      <c r="B95" s="1">
        <v>0.199199686669847</v>
      </c>
      <c r="C95" s="1">
        <f t="shared" si="31"/>
        <v>5.5887659050177001E-2</v>
      </c>
      <c r="D95" s="1">
        <f t="shared" si="32"/>
        <v>1.7571998344798001E-2</v>
      </c>
      <c r="E95" s="1">
        <f t="shared" si="33"/>
        <v>6.4842894244977994E-2</v>
      </c>
      <c r="F95" s="1">
        <f t="shared" si="34"/>
        <v>3.3032509655058002E-2</v>
      </c>
      <c r="G95" s="1">
        <f t="shared" si="35"/>
        <v>1.1795318885732001E-2</v>
      </c>
      <c r="H95" s="1">
        <f t="shared" si="36"/>
        <v>4.0030700870076999E-2</v>
      </c>
      <c r="I95" s="1">
        <f t="shared" si="37"/>
        <v>4.2218950165406999E-2</v>
      </c>
      <c r="J95" s="1">
        <f t="shared" si="38"/>
        <v>4.7932969774010001E-2</v>
      </c>
      <c r="K95" s="1">
        <f t="shared" si="39"/>
        <v>1.6874350142497E-2</v>
      </c>
      <c r="L95" s="1">
        <f t="shared" si="40"/>
        <v>9.3665987844312001E-2</v>
      </c>
      <c r="M95" s="1">
        <f t="shared" si="41"/>
        <v>5.1170612026291001E-2</v>
      </c>
      <c r="N95" s="1">
        <f t="shared" si="42"/>
        <v>1.2394605020172001E-2</v>
      </c>
      <c r="O95" s="1">
        <f t="shared" si="43"/>
        <v>9.5597096966489898E-3</v>
      </c>
      <c r="P95" s="1">
        <f t="shared" si="44"/>
        <v>7.2281826002210097E-3</v>
      </c>
      <c r="Q95" s="1">
        <f t="shared" si="45"/>
        <v>1.8540754150204002E-2</v>
      </c>
      <c r="R95" s="1">
        <f t="shared" si="46"/>
        <v>1.1847115016004999E-2</v>
      </c>
      <c r="S95" s="1">
        <f t="shared" si="47"/>
        <v>1.9632392846952999E-2</v>
      </c>
      <c r="T95" s="1">
        <f t="shared" si="48"/>
        <v>8.3564553840903E-2</v>
      </c>
      <c r="U95" s="1">
        <f t="shared" si="49"/>
        <v>7.8463495599876004E-2</v>
      </c>
      <c r="V95" s="1">
        <f t="shared" ref="V95:V103" si="50">ABS($B$93-B95)</f>
        <v>1.7825770567004001E-2</v>
      </c>
      <c r="W95" s="1">
        <f>ABS($B$94-B95)</f>
        <v>3.2104356330853998E-2</v>
      </c>
    </row>
    <row r="96" spans="1:24" x14ac:dyDescent="0.25">
      <c r="A96" s="3" t="s">
        <v>24</v>
      </c>
      <c r="B96" s="1">
        <v>0.254106276372351</v>
      </c>
      <c r="C96" s="1">
        <f t="shared" si="31"/>
        <v>0.110794248752681</v>
      </c>
      <c r="D96" s="1">
        <f t="shared" si="32"/>
        <v>7.2478588047302006E-2</v>
      </c>
      <c r="E96" s="1">
        <f t="shared" si="33"/>
        <v>0.119749483947482</v>
      </c>
      <c r="F96" s="1">
        <f t="shared" si="34"/>
        <v>8.7939099357562001E-2</v>
      </c>
      <c r="G96" s="1">
        <f t="shared" si="35"/>
        <v>6.6701908588236006E-2</v>
      </c>
      <c r="H96" s="1">
        <f t="shared" si="36"/>
        <v>9.4937290572581004E-2</v>
      </c>
      <c r="I96" s="1">
        <f t="shared" si="37"/>
        <v>9.7125539867911004E-2</v>
      </c>
      <c r="J96" s="1">
        <f t="shared" si="38"/>
        <v>0.10283955947651401</v>
      </c>
      <c r="K96" s="1">
        <f t="shared" si="39"/>
        <v>3.8032239560007002E-2</v>
      </c>
      <c r="L96" s="1">
        <f t="shared" si="40"/>
        <v>0.14857257754681599</v>
      </c>
      <c r="M96" s="1">
        <f t="shared" si="41"/>
        <v>0.10607720172879501</v>
      </c>
      <c r="N96" s="1">
        <f t="shared" si="42"/>
        <v>6.7301194722675997E-2</v>
      </c>
      <c r="O96" s="1">
        <f t="shared" si="43"/>
        <v>6.4466299399152993E-2</v>
      </c>
      <c r="P96" s="1">
        <f t="shared" si="44"/>
        <v>6.2134772302725003E-2</v>
      </c>
      <c r="Q96" s="1">
        <f t="shared" si="45"/>
        <v>3.6365835552299997E-2</v>
      </c>
      <c r="R96" s="1">
        <f t="shared" si="46"/>
        <v>4.3059474686498997E-2</v>
      </c>
      <c r="S96" s="1">
        <f t="shared" si="47"/>
        <v>3.5274196855550999E-2</v>
      </c>
      <c r="T96" s="1">
        <f t="shared" si="48"/>
        <v>0.138471143543407</v>
      </c>
      <c r="U96" s="1">
        <f t="shared" si="49"/>
        <v>2.3556905897371999E-2</v>
      </c>
      <c r="V96" s="1">
        <f t="shared" si="50"/>
        <v>3.7080819135500001E-2</v>
      </c>
      <c r="W96" s="1">
        <f t="shared" ref="W96:W103" si="51">ABS($B$94-B96)</f>
        <v>2.2802233371650001E-2</v>
      </c>
      <c r="X96" s="1">
        <f>ABS($B$95-B96)</f>
        <v>5.4906589702503998E-2</v>
      </c>
    </row>
    <row r="97" spans="1:31" x14ac:dyDescent="0.25">
      <c r="A97" s="3" t="s">
        <v>25</v>
      </c>
      <c r="B97" s="1">
        <v>0.20113145491272599</v>
      </c>
      <c r="C97" s="1">
        <f t="shared" si="31"/>
        <v>5.7819427293056003E-2</v>
      </c>
      <c r="D97" s="1">
        <f t="shared" si="32"/>
        <v>1.9503766587677E-2</v>
      </c>
      <c r="E97" s="1">
        <f t="shared" si="33"/>
        <v>6.6774662487857003E-2</v>
      </c>
      <c r="F97" s="1">
        <f t="shared" si="34"/>
        <v>3.4964277897936998E-2</v>
      </c>
      <c r="G97" s="1">
        <f t="shared" si="35"/>
        <v>1.3727087128610999E-2</v>
      </c>
      <c r="H97" s="1">
        <f t="shared" si="36"/>
        <v>4.1962469112956001E-2</v>
      </c>
      <c r="I97" s="1">
        <f t="shared" si="37"/>
        <v>4.4150718408286001E-2</v>
      </c>
      <c r="J97" s="1">
        <f t="shared" si="38"/>
        <v>4.9864738016889003E-2</v>
      </c>
      <c r="K97" s="1">
        <f t="shared" si="39"/>
        <v>1.4942581899618E-2</v>
      </c>
      <c r="L97" s="1">
        <f t="shared" si="40"/>
        <v>9.5597756087190996E-2</v>
      </c>
      <c r="M97" s="1">
        <f t="shared" si="41"/>
        <v>5.3102380269170003E-2</v>
      </c>
      <c r="N97" s="1">
        <f t="shared" si="42"/>
        <v>1.4326373263050999E-2</v>
      </c>
      <c r="O97" s="1">
        <f t="shared" si="43"/>
        <v>1.1491477939528E-2</v>
      </c>
      <c r="P97" s="1">
        <f t="shared" si="44"/>
        <v>9.15995084310001E-3</v>
      </c>
      <c r="Q97" s="1">
        <f t="shared" si="45"/>
        <v>1.6608985907325E-2</v>
      </c>
      <c r="R97" s="1">
        <f t="shared" si="46"/>
        <v>9.9153467731259992E-3</v>
      </c>
      <c r="S97" s="1">
        <f t="shared" si="47"/>
        <v>1.7700624604074001E-2</v>
      </c>
      <c r="T97" s="1">
        <f t="shared" si="48"/>
        <v>8.5496322083781995E-2</v>
      </c>
      <c r="U97" s="1">
        <f t="shared" si="49"/>
        <v>7.6531727356996995E-2</v>
      </c>
      <c r="V97" s="1">
        <f t="shared" si="50"/>
        <v>1.5894002324124998E-2</v>
      </c>
      <c r="W97" s="1">
        <f t="shared" si="51"/>
        <v>3.0172588087974999E-2</v>
      </c>
      <c r="X97" s="1">
        <f t="shared" ref="X97:X103" si="52">ABS($B$95-B97)</f>
        <v>1.9317682428790001E-3</v>
      </c>
      <c r="Y97" s="1">
        <f>ABS($B$96-B97)</f>
        <v>5.2974821459625003E-2</v>
      </c>
    </row>
    <row r="98" spans="1:31" x14ac:dyDescent="0.25">
      <c r="A98" s="3" t="s">
        <v>26</v>
      </c>
      <c r="B98" s="1">
        <v>0.180989948637855</v>
      </c>
      <c r="C98" s="1">
        <f t="shared" si="31"/>
        <v>3.7677921018184998E-2</v>
      </c>
      <c r="D98" s="1">
        <f t="shared" si="32"/>
        <v>6.37739687193994E-4</v>
      </c>
      <c r="E98" s="1">
        <f t="shared" si="33"/>
        <v>4.6633156212985999E-2</v>
      </c>
      <c r="F98" s="1">
        <f t="shared" si="34"/>
        <v>1.4822771623066E-2</v>
      </c>
      <c r="G98" s="1">
        <f t="shared" si="35"/>
        <v>6.4144191462600104E-3</v>
      </c>
      <c r="H98" s="1">
        <f t="shared" si="36"/>
        <v>2.1820962838085E-2</v>
      </c>
      <c r="I98" s="1">
        <f t="shared" si="37"/>
        <v>2.4009212133415E-2</v>
      </c>
      <c r="J98" s="1">
        <f t="shared" si="38"/>
        <v>2.9723231742017998E-2</v>
      </c>
      <c r="K98" s="1">
        <f t="shared" si="39"/>
        <v>3.5084088174488999E-2</v>
      </c>
      <c r="L98" s="1">
        <f t="shared" si="40"/>
        <v>7.5456249812320006E-2</v>
      </c>
      <c r="M98" s="1">
        <f t="shared" si="41"/>
        <v>3.2960873994298999E-2</v>
      </c>
      <c r="N98" s="1">
        <f t="shared" si="42"/>
        <v>5.8151330118199904E-3</v>
      </c>
      <c r="O98" s="1">
        <f t="shared" si="43"/>
        <v>8.6500283353430091E-3</v>
      </c>
      <c r="P98" s="1">
        <f t="shared" si="44"/>
        <v>1.0981555431771E-2</v>
      </c>
      <c r="Q98" s="1">
        <f t="shared" si="45"/>
        <v>3.6750492182195997E-2</v>
      </c>
      <c r="R98" s="1">
        <f t="shared" si="46"/>
        <v>3.0056853047997E-2</v>
      </c>
      <c r="S98" s="1">
        <f t="shared" si="47"/>
        <v>3.7842130878945002E-2</v>
      </c>
      <c r="T98" s="1">
        <f t="shared" si="48"/>
        <v>6.5354815808911004E-2</v>
      </c>
      <c r="U98" s="1">
        <f t="shared" si="49"/>
        <v>9.6673233631868E-2</v>
      </c>
      <c r="V98" s="1">
        <f t="shared" si="50"/>
        <v>3.6035508598995999E-2</v>
      </c>
      <c r="W98" s="1">
        <f t="shared" si="51"/>
        <v>5.0314094362846E-2</v>
      </c>
      <c r="X98" s="1">
        <f t="shared" si="52"/>
        <v>1.8209738031991999E-2</v>
      </c>
      <c r="Y98" s="1">
        <f t="shared" ref="Y98:Y103" si="53">ABS($B$96-B98)</f>
        <v>7.3116327734496001E-2</v>
      </c>
      <c r="Z98" s="1">
        <f t="shared" ref="Z98:Z103" si="54">ABS($B$97-B98)</f>
        <v>2.0141506274871001E-2</v>
      </c>
    </row>
    <row r="99" spans="1:31" x14ac:dyDescent="0.25">
      <c r="A99" s="3" t="s">
        <v>27</v>
      </c>
      <c r="B99" s="1">
        <v>0.16421014065376299</v>
      </c>
      <c r="C99" s="1">
        <f t="shared" si="31"/>
        <v>2.0898113034092999E-2</v>
      </c>
      <c r="D99" s="1">
        <f t="shared" si="32"/>
        <v>1.7417547671286001E-2</v>
      </c>
      <c r="E99" s="1">
        <f t="shared" si="33"/>
        <v>2.9853348228893999E-2</v>
      </c>
      <c r="F99" s="1">
        <f t="shared" si="34"/>
        <v>1.95703636102601E-3</v>
      </c>
      <c r="G99" s="1">
        <f t="shared" si="35"/>
        <v>2.3194227130352001E-2</v>
      </c>
      <c r="H99" s="1">
        <f t="shared" si="36"/>
        <v>5.0411548539929796E-3</v>
      </c>
      <c r="I99" s="1">
        <f t="shared" si="37"/>
        <v>7.2294041493229898E-3</v>
      </c>
      <c r="J99" s="1">
        <f t="shared" si="38"/>
        <v>1.2943423757926001E-2</v>
      </c>
      <c r="K99" s="1">
        <f t="shared" si="39"/>
        <v>5.1863896158581002E-2</v>
      </c>
      <c r="L99" s="1">
        <f t="shared" si="40"/>
        <v>5.8676441828228003E-2</v>
      </c>
      <c r="M99" s="1">
        <f t="shared" si="41"/>
        <v>1.6181066010206999E-2</v>
      </c>
      <c r="N99" s="1">
        <f t="shared" si="42"/>
        <v>2.2594940995912E-2</v>
      </c>
      <c r="O99" s="1">
        <f t="shared" si="43"/>
        <v>2.5429836319435E-2</v>
      </c>
      <c r="P99" s="1">
        <f t="shared" si="44"/>
        <v>2.7761363415863001E-2</v>
      </c>
      <c r="Q99" s="1">
        <f t="shared" si="45"/>
        <v>5.3530300166288E-2</v>
      </c>
      <c r="R99" s="1">
        <f t="shared" si="46"/>
        <v>4.6836661032089E-2</v>
      </c>
      <c r="S99" s="1">
        <f t="shared" si="47"/>
        <v>5.4621938863036998E-2</v>
      </c>
      <c r="T99" s="1">
        <f t="shared" si="48"/>
        <v>4.8575007824819001E-2</v>
      </c>
      <c r="U99" s="1">
        <f t="shared" si="49"/>
        <v>0.11345304161596</v>
      </c>
      <c r="V99" s="1">
        <f t="shared" si="50"/>
        <v>5.2815316583088003E-2</v>
      </c>
      <c r="W99" s="1">
        <f t="shared" si="51"/>
        <v>6.7093902346938003E-2</v>
      </c>
      <c r="X99" s="1">
        <f t="shared" si="52"/>
        <v>3.4989546016083999E-2</v>
      </c>
      <c r="Y99" s="1">
        <f t="shared" si="53"/>
        <v>8.9896135718587997E-2</v>
      </c>
      <c r="Z99" s="1">
        <f t="shared" si="54"/>
        <v>3.6921314258963001E-2</v>
      </c>
      <c r="AA99" s="1">
        <f>ABS($B$98-B99)</f>
        <v>1.6779807984092E-2</v>
      </c>
    </row>
    <row r="100" spans="1:31" x14ac:dyDescent="0.25">
      <c r="A100" s="3" t="s">
        <v>28</v>
      </c>
      <c r="B100" s="1">
        <v>0.21647848018560301</v>
      </c>
      <c r="C100" s="1">
        <f t="shared" si="31"/>
        <v>7.3166452565933002E-2</v>
      </c>
      <c r="D100" s="1">
        <f t="shared" si="32"/>
        <v>3.4850791860554002E-2</v>
      </c>
      <c r="E100" s="1">
        <f t="shared" si="33"/>
        <v>8.2121687760734002E-2</v>
      </c>
      <c r="F100" s="1">
        <f t="shared" si="34"/>
        <v>5.0311303170813997E-2</v>
      </c>
      <c r="G100" s="1">
        <f t="shared" si="35"/>
        <v>2.9074112401487998E-2</v>
      </c>
      <c r="H100" s="1">
        <f t="shared" si="36"/>
        <v>5.7309494385833E-2</v>
      </c>
      <c r="I100" s="1">
        <f t="shared" si="37"/>
        <v>5.9497743681163E-2</v>
      </c>
      <c r="J100" s="1">
        <f t="shared" si="38"/>
        <v>6.5211763289765995E-2</v>
      </c>
      <c r="K100" s="1">
        <f t="shared" si="39"/>
        <v>4.0444337325901098E-4</v>
      </c>
      <c r="L100" s="1">
        <f t="shared" si="40"/>
        <v>0.110944781360068</v>
      </c>
      <c r="M100" s="1">
        <f t="shared" si="41"/>
        <v>6.8449405542046995E-2</v>
      </c>
      <c r="N100" s="1">
        <f t="shared" si="42"/>
        <v>2.9673398535928E-2</v>
      </c>
      <c r="O100" s="1">
        <f t="shared" si="43"/>
        <v>2.6838503212405E-2</v>
      </c>
      <c r="P100" s="1">
        <f t="shared" si="44"/>
        <v>2.4506976115976999E-2</v>
      </c>
      <c r="Q100" s="1">
        <f t="shared" si="45"/>
        <v>1.2619606344479999E-3</v>
      </c>
      <c r="R100" s="1">
        <f t="shared" si="46"/>
        <v>5.4316784997510102E-3</v>
      </c>
      <c r="S100" s="1">
        <f t="shared" si="47"/>
        <v>2.353599331197E-3</v>
      </c>
      <c r="T100" s="1">
        <f t="shared" si="48"/>
        <v>0.10084334735665899</v>
      </c>
      <c r="U100" s="1">
        <f t="shared" si="49"/>
        <v>6.1184702084120003E-2</v>
      </c>
      <c r="V100" s="1">
        <f t="shared" si="50"/>
        <v>5.4697705124798202E-4</v>
      </c>
      <c r="W100" s="1">
        <f t="shared" si="51"/>
        <v>1.4825562815098E-2</v>
      </c>
      <c r="X100" s="1">
        <f t="shared" si="52"/>
        <v>1.7278793515756001E-2</v>
      </c>
      <c r="Y100" s="1">
        <f t="shared" si="53"/>
        <v>3.7627796186747997E-2</v>
      </c>
      <c r="Z100" s="1">
        <f t="shared" si="54"/>
        <v>1.5347025272877001E-2</v>
      </c>
      <c r="AA100" s="1">
        <f>ABS($B$98-B100)</f>
        <v>3.5488531547748003E-2</v>
      </c>
      <c r="AB100" s="1">
        <f>ABS($B$99-B100)</f>
        <v>5.226833953184E-2</v>
      </c>
    </row>
    <row r="101" spans="1:31" x14ac:dyDescent="0.25">
      <c r="A101" s="3" t="s">
        <v>29</v>
      </c>
      <c r="B101" s="1">
        <v>0.237653387058127</v>
      </c>
      <c r="C101" s="1">
        <f t="shared" si="31"/>
        <v>9.4341359438457006E-2</v>
      </c>
      <c r="D101" s="1">
        <f t="shared" si="32"/>
        <v>5.6025698733078E-2</v>
      </c>
      <c r="E101" s="1">
        <f t="shared" si="33"/>
        <v>0.10329659463325799</v>
      </c>
      <c r="F101" s="1">
        <f t="shared" si="34"/>
        <v>7.1486210043337994E-2</v>
      </c>
      <c r="G101" s="1">
        <f t="shared" si="35"/>
        <v>5.0249019274012E-2</v>
      </c>
      <c r="H101" s="1">
        <f t="shared" si="36"/>
        <v>7.8484401258356998E-2</v>
      </c>
      <c r="I101" s="1">
        <f t="shared" si="37"/>
        <v>8.0672650553686998E-2</v>
      </c>
      <c r="J101" s="1">
        <f t="shared" si="38"/>
        <v>8.638667016229E-2</v>
      </c>
      <c r="K101" s="1">
        <f t="shared" si="39"/>
        <v>2.1579350245782999E-2</v>
      </c>
      <c r="L101" s="1">
        <f t="shared" si="40"/>
        <v>0.13211968823259199</v>
      </c>
      <c r="M101" s="1">
        <f t="shared" si="41"/>
        <v>8.9624312414571E-2</v>
      </c>
      <c r="N101" s="1">
        <f t="shared" si="42"/>
        <v>5.0848305408451998E-2</v>
      </c>
      <c r="O101" s="1">
        <f t="shared" si="43"/>
        <v>4.8013410084929001E-2</v>
      </c>
      <c r="P101" s="1">
        <f t="shared" si="44"/>
        <v>4.5681882988501003E-2</v>
      </c>
      <c r="Q101" s="1">
        <f t="shared" si="45"/>
        <v>1.9912946238076001E-2</v>
      </c>
      <c r="R101" s="1">
        <f t="shared" si="46"/>
        <v>2.6606585372275001E-2</v>
      </c>
      <c r="S101" s="1">
        <f t="shared" si="47"/>
        <v>1.8821307541327E-2</v>
      </c>
      <c r="T101" s="1">
        <f t="shared" si="48"/>
        <v>0.122018254229183</v>
      </c>
      <c r="U101" s="1">
        <f t="shared" si="49"/>
        <v>4.0009795211595998E-2</v>
      </c>
      <c r="V101" s="1">
        <f t="shared" si="50"/>
        <v>2.0627929821275998E-2</v>
      </c>
      <c r="W101" s="1">
        <f t="shared" si="51"/>
        <v>6.34934405742599E-3</v>
      </c>
      <c r="X101" s="1">
        <f t="shared" si="52"/>
        <v>3.8453700388279999E-2</v>
      </c>
      <c r="Y101" s="1">
        <f t="shared" si="53"/>
        <v>1.6452889314223999E-2</v>
      </c>
      <c r="Z101" s="1">
        <f t="shared" si="54"/>
        <v>3.6521932145400997E-2</v>
      </c>
      <c r="AA101" s="1">
        <f>ABS($B$98-B101)</f>
        <v>5.6663438420272001E-2</v>
      </c>
      <c r="AB101" s="1">
        <f>ABS($B$99-B101)</f>
        <v>7.3443246404364004E-2</v>
      </c>
      <c r="AC101" s="1">
        <f>ABS($B$100-B101)</f>
        <v>2.1174906872524001E-2</v>
      </c>
    </row>
    <row r="102" spans="1:31" x14ac:dyDescent="0.25">
      <c r="A102" s="3" t="s">
        <v>30</v>
      </c>
      <c r="B102" s="1">
        <v>0.15649647337868999</v>
      </c>
      <c r="C102" s="1">
        <f t="shared" si="31"/>
        <v>1.3184445759020001E-2</v>
      </c>
      <c r="D102" s="1">
        <f t="shared" si="32"/>
        <v>2.5131214946359001E-2</v>
      </c>
      <c r="E102" s="1">
        <f t="shared" si="33"/>
        <v>2.2139680953821E-2</v>
      </c>
      <c r="F102" s="1">
        <f t="shared" si="34"/>
        <v>9.6707036360990095E-3</v>
      </c>
      <c r="G102" s="1">
        <f t="shared" si="35"/>
        <v>3.0907894405425001E-2</v>
      </c>
      <c r="H102" s="1">
        <f t="shared" si="36"/>
        <v>2.67251242108002E-3</v>
      </c>
      <c r="I102" s="1">
        <f t="shared" si="37"/>
        <v>4.8426312575000602E-4</v>
      </c>
      <c r="J102" s="1">
        <f t="shared" si="38"/>
        <v>5.2297564828529802E-3</v>
      </c>
      <c r="K102" s="1">
        <f t="shared" si="39"/>
        <v>5.9577563433654002E-2</v>
      </c>
      <c r="L102" s="1">
        <f t="shared" si="40"/>
        <v>5.0962774553155003E-2</v>
      </c>
      <c r="M102" s="1">
        <f t="shared" si="41"/>
        <v>8.4673987351339998E-3</v>
      </c>
      <c r="N102" s="1">
        <f t="shared" si="42"/>
        <v>3.0308608270984999E-2</v>
      </c>
      <c r="O102" s="1">
        <f t="shared" si="43"/>
        <v>3.3143503594508003E-2</v>
      </c>
      <c r="P102" s="1">
        <f t="shared" si="44"/>
        <v>3.5475030690936001E-2</v>
      </c>
      <c r="Q102" s="1">
        <f t="shared" si="45"/>
        <v>6.1243967441361E-2</v>
      </c>
      <c r="R102" s="1">
        <f t="shared" si="46"/>
        <v>5.4550328307161999E-2</v>
      </c>
      <c r="S102" s="1">
        <f t="shared" si="47"/>
        <v>6.2335606138109997E-2</v>
      </c>
      <c r="T102" s="1">
        <f t="shared" si="48"/>
        <v>4.0861340549746002E-2</v>
      </c>
      <c r="U102" s="1">
        <f t="shared" si="49"/>
        <v>0.121166708891033</v>
      </c>
      <c r="V102" s="1">
        <f t="shared" si="50"/>
        <v>6.0528983858161002E-2</v>
      </c>
      <c r="W102" s="1">
        <f t="shared" si="51"/>
        <v>7.4807569622011003E-2</v>
      </c>
      <c r="X102" s="1">
        <f t="shared" si="52"/>
        <v>4.2703213291156998E-2</v>
      </c>
      <c r="Y102" s="1">
        <f t="shared" si="53"/>
        <v>9.7609802993660996E-2</v>
      </c>
      <c r="Z102" s="1">
        <f t="shared" si="54"/>
        <v>4.4634981534036E-2</v>
      </c>
      <c r="AA102" s="1">
        <f>ABS($B$98-B102)</f>
        <v>2.4493475259164999E-2</v>
      </c>
      <c r="AB102" s="1">
        <f>ABS($B$99-B102)</f>
        <v>7.7136672750730004E-3</v>
      </c>
      <c r="AC102" s="1">
        <f>ABS($B$100-B102)</f>
        <v>5.9982006806912999E-2</v>
      </c>
      <c r="AD102" s="1">
        <f>ABS($B$101-B102)</f>
        <v>8.1156913679437004E-2</v>
      </c>
    </row>
    <row r="103" spans="1:31" x14ac:dyDescent="0.25">
      <c r="A103" s="3" t="s">
        <v>31</v>
      </c>
      <c r="B103" s="1">
        <v>0.23932329245686601</v>
      </c>
      <c r="C103" s="1">
        <f t="shared" si="31"/>
        <v>9.6011264837196006E-2</v>
      </c>
      <c r="D103" s="1">
        <f t="shared" si="32"/>
        <v>5.7695604131816999E-2</v>
      </c>
      <c r="E103" s="1">
        <f t="shared" si="33"/>
        <v>0.10496650003199701</v>
      </c>
      <c r="F103" s="1">
        <f t="shared" si="34"/>
        <v>7.3156115442076994E-2</v>
      </c>
      <c r="G103" s="1">
        <f t="shared" si="35"/>
        <v>5.1918924672750999E-2</v>
      </c>
      <c r="H103" s="1">
        <f t="shared" si="36"/>
        <v>8.0154306657095997E-2</v>
      </c>
      <c r="I103" s="1">
        <f t="shared" si="37"/>
        <v>8.2342555952425997E-2</v>
      </c>
      <c r="J103" s="1">
        <f t="shared" si="38"/>
        <v>8.8056575561028999E-2</v>
      </c>
      <c r="K103" s="1">
        <f t="shared" si="39"/>
        <v>2.3249255644522002E-2</v>
      </c>
      <c r="L103" s="1">
        <f t="shared" si="40"/>
        <v>0.133789593631331</v>
      </c>
      <c r="M103" s="1">
        <f t="shared" si="41"/>
        <v>9.129421781331E-2</v>
      </c>
      <c r="N103" s="1">
        <f t="shared" si="42"/>
        <v>5.2518210807190997E-2</v>
      </c>
      <c r="O103" s="1">
        <f t="shared" si="43"/>
        <v>4.9683315483668E-2</v>
      </c>
      <c r="P103" s="1">
        <f t="shared" si="44"/>
        <v>4.7351788387240003E-2</v>
      </c>
      <c r="Q103" s="1">
        <f t="shared" si="45"/>
        <v>2.1582851636815E-2</v>
      </c>
      <c r="R103" s="1">
        <f t="shared" si="46"/>
        <v>2.8276490771014001E-2</v>
      </c>
      <c r="S103" s="1">
        <f t="shared" si="47"/>
        <v>2.0491212940065999E-2</v>
      </c>
      <c r="T103" s="1">
        <f t="shared" si="48"/>
        <v>0.123688159627922</v>
      </c>
      <c r="U103" s="1">
        <f t="shared" si="49"/>
        <v>3.8339889812856999E-2</v>
      </c>
      <c r="V103" s="1">
        <f t="shared" si="50"/>
        <v>2.2297835220015001E-2</v>
      </c>
      <c r="W103" s="1">
        <f t="shared" si="51"/>
        <v>8.0192494561650007E-3</v>
      </c>
      <c r="X103" s="1">
        <f t="shared" si="52"/>
        <v>4.0123605787018998E-2</v>
      </c>
      <c r="Y103" s="1">
        <f t="shared" si="53"/>
        <v>1.4782983915485E-2</v>
      </c>
      <c r="Z103" s="1">
        <f t="shared" si="54"/>
        <v>3.8191837544140003E-2</v>
      </c>
      <c r="AA103" s="1">
        <f>ABS($B$98-B103)</f>
        <v>5.8333343819011001E-2</v>
      </c>
      <c r="AB103" s="1">
        <f>ABS($B$99-B103)</f>
        <v>7.5113151803103004E-2</v>
      </c>
      <c r="AC103" s="1">
        <f>ABS($B$100-B103)</f>
        <v>2.2844812271263001E-2</v>
      </c>
      <c r="AD103" s="1">
        <f>ABS($B$101-B103)</f>
        <v>1.6699053987390101E-3</v>
      </c>
      <c r="AE103" s="1">
        <f>ABS($B$102-B103)</f>
        <v>8.2826819078176003E-2</v>
      </c>
    </row>
  </sheetData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66"/>
  <sheetViews>
    <sheetView workbookViewId="0">
      <selection activeCell="G1" sqref="G1"/>
    </sheetView>
  </sheetViews>
  <sheetFormatPr defaultColWidth="8.88671875" defaultRowHeight="14.4" x14ac:dyDescent="0.25"/>
  <cols>
    <col min="1" max="1" width="14.77734375" style="1" customWidth="1"/>
    <col min="2" max="31" width="12.88671875" style="1"/>
    <col min="32" max="32" width="8.77734375"/>
  </cols>
  <sheetData>
    <row r="1" spans="1:31" x14ac:dyDescent="0.25">
      <c r="A1" s="1" t="s">
        <v>86</v>
      </c>
      <c r="B1" s="2" t="s">
        <v>87</v>
      </c>
    </row>
    <row r="2" spans="1:31" x14ac:dyDescent="0.2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spans="1:31" x14ac:dyDescent="0.25">
      <c r="A3" s="3" t="s">
        <v>2</v>
      </c>
      <c r="B3" s="1">
        <v>0</v>
      </c>
      <c r="C3" s="1">
        <v>6671.9553674111703</v>
      </c>
      <c r="D3" s="1">
        <v>3962.3567700365502</v>
      </c>
      <c r="E3" s="1">
        <v>2291.8943018812402</v>
      </c>
      <c r="F3" s="1">
        <v>1011.52301322683</v>
      </c>
      <c r="G3" s="1">
        <v>1630.1279047148601</v>
      </c>
      <c r="H3" s="1">
        <v>8258.4159334865508</v>
      </c>
      <c r="I3" s="1">
        <v>10598.477139078101</v>
      </c>
      <c r="J3" s="1">
        <v>842.66899589347895</v>
      </c>
      <c r="K3" s="1">
        <v>5424.8740487217201</v>
      </c>
      <c r="L3" s="1">
        <v>1513.8469926653099</v>
      </c>
      <c r="M3" s="1">
        <v>786.92334117519397</v>
      </c>
      <c r="N3" s="1">
        <v>745.93916726034195</v>
      </c>
      <c r="O3" s="1">
        <v>754.85764016523797</v>
      </c>
      <c r="P3" s="1">
        <v>378.515225772029</v>
      </c>
      <c r="Q3" s="1">
        <v>1174.81421791854</v>
      </c>
      <c r="R3" s="1">
        <v>636.74440603853498</v>
      </c>
      <c r="S3" s="1">
        <v>3319.8537200399001</v>
      </c>
      <c r="T3" s="1">
        <v>459.31375745334498</v>
      </c>
      <c r="U3" s="1">
        <v>520.20221717626805</v>
      </c>
      <c r="V3" s="1">
        <v>1181.03635605923</v>
      </c>
      <c r="W3" s="1">
        <v>3422.4982219858898</v>
      </c>
      <c r="X3" s="1">
        <v>466.43794346230499</v>
      </c>
      <c r="Y3" s="1">
        <v>250.536465502807</v>
      </c>
      <c r="Z3" s="1">
        <v>624.98408395177705</v>
      </c>
      <c r="AA3" s="1">
        <v>347.96921668350097</v>
      </c>
      <c r="AB3" s="1">
        <v>438.56915119691598</v>
      </c>
      <c r="AC3" s="1">
        <v>233.28069566267499</v>
      </c>
      <c r="AD3" s="1">
        <v>214.66894306263299</v>
      </c>
      <c r="AE3" s="1">
        <v>398.19311773344401</v>
      </c>
    </row>
    <row r="4" spans="1:31" x14ac:dyDescent="0.25">
      <c r="A4" s="3" t="s">
        <v>3</v>
      </c>
      <c r="B4" s="1">
        <v>6671.9553674111703</v>
      </c>
      <c r="C4" s="1">
        <v>0</v>
      </c>
      <c r="D4" s="1">
        <v>454.48904187816203</v>
      </c>
      <c r="E4" s="1">
        <v>372.343472259512</v>
      </c>
      <c r="F4" s="1">
        <v>382.015435699698</v>
      </c>
      <c r="G4" s="1">
        <v>680.08055032385005</v>
      </c>
      <c r="H4" s="1">
        <v>2476.6626047251002</v>
      </c>
      <c r="I4" s="1">
        <v>1023.1704191523201</v>
      </c>
      <c r="J4" s="1">
        <v>449.63278829644401</v>
      </c>
      <c r="K4" s="1">
        <v>1159.3627396188399</v>
      </c>
      <c r="L4" s="1">
        <v>414.03652428884601</v>
      </c>
      <c r="M4" s="1">
        <v>137.55675102377799</v>
      </c>
      <c r="N4" s="1">
        <v>153.578766581103</v>
      </c>
      <c r="O4" s="1">
        <v>462.72384939447102</v>
      </c>
      <c r="P4" s="1">
        <v>106.68174708790799</v>
      </c>
      <c r="Q4" s="1">
        <v>473.17224769363298</v>
      </c>
      <c r="R4" s="1">
        <v>176.02172262427499</v>
      </c>
      <c r="S4" s="1">
        <v>377.20737803602498</v>
      </c>
      <c r="T4" s="1">
        <v>150.802335826812</v>
      </c>
      <c r="U4" s="1">
        <v>181.55591937422599</v>
      </c>
      <c r="V4" s="1">
        <v>265.37052515341202</v>
      </c>
      <c r="W4" s="1">
        <v>491.015931764718</v>
      </c>
      <c r="X4" s="1">
        <v>85.078588115543596</v>
      </c>
      <c r="Y4" s="1">
        <v>103.93343278555101</v>
      </c>
      <c r="Z4" s="1">
        <v>416.64090359677601</v>
      </c>
      <c r="AA4" s="1">
        <v>152.89477518465301</v>
      </c>
      <c r="AB4" s="1">
        <v>212.44661549632801</v>
      </c>
      <c r="AC4" s="1">
        <v>97.0209227234065</v>
      </c>
      <c r="AD4" s="1">
        <v>80.761423916021698</v>
      </c>
      <c r="AE4" s="1">
        <v>149.53389073865901</v>
      </c>
    </row>
    <row r="5" spans="1:31" x14ac:dyDescent="0.25">
      <c r="A5" s="3" t="s">
        <v>4</v>
      </c>
      <c r="B5" s="1">
        <v>3962.3567700365502</v>
      </c>
      <c r="C5" s="1">
        <v>454.48904187816203</v>
      </c>
      <c r="D5" s="1">
        <v>0</v>
      </c>
      <c r="E5" s="1">
        <v>1130.1784967788999</v>
      </c>
      <c r="F5" s="1">
        <v>238.56976606877799</v>
      </c>
      <c r="G5" s="1">
        <v>298.758104999767</v>
      </c>
      <c r="H5" s="1">
        <v>791.47847152864404</v>
      </c>
      <c r="I5" s="1">
        <v>2182.5493375737301</v>
      </c>
      <c r="J5" s="1">
        <v>171.99205273581501</v>
      </c>
      <c r="K5" s="1">
        <v>865.49549319540404</v>
      </c>
      <c r="L5" s="1">
        <v>400.23889866960701</v>
      </c>
      <c r="M5" s="1">
        <v>1439.6082761958301</v>
      </c>
      <c r="N5" s="1">
        <v>550.16090867613696</v>
      </c>
      <c r="O5" s="1">
        <v>156.54582798577599</v>
      </c>
      <c r="P5" s="1">
        <v>163.39524490930401</v>
      </c>
      <c r="Q5" s="1">
        <v>267.78345804501703</v>
      </c>
      <c r="R5" s="1">
        <v>230.70745854788501</v>
      </c>
      <c r="S5" s="1">
        <v>6268.05427160611</v>
      </c>
      <c r="T5" s="1">
        <v>154.08056963343901</v>
      </c>
      <c r="U5" s="1">
        <v>153.52545192176299</v>
      </c>
      <c r="V5" s="1">
        <v>483.100460979795</v>
      </c>
      <c r="W5" s="1">
        <v>1892.8219245482501</v>
      </c>
      <c r="X5" s="1">
        <v>695.015395973404</v>
      </c>
      <c r="Y5" s="1">
        <v>71.030825711946406</v>
      </c>
      <c r="Z5" s="1">
        <v>121.739035312696</v>
      </c>
      <c r="AA5" s="1">
        <v>97.713587834651193</v>
      </c>
      <c r="AB5" s="1">
        <v>106.759065797807</v>
      </c>
      <c r="AC5" s="1">
        <v>69.183801240293107</v>
      </c>
      <c r="AD5" s="1">
        <v>71.303388700494907</v>
      </c>
      <c r="AE5" s="1">
        <v>124.20201965374</v>
      </c>
    </row>
    <row r="6" spans="1:31" x14ac:dyDescent="0.25">
      <c r="A6" s="3" t="s">
        <v>5</v>
      </c>
      <c r="B6" s="1">
        <v>2291.8943018812402</v>
      </c>
      <c r="C6" s="1">
        <v>372.343472259512</v>
      </c>
      <c r="D6" s="1">
        <v>1130.1784967788999</v>
      </c>
      <c r="E6" s="1">
        <v>0</v>
      </c>
      <c r="F6" s="1">
        <v>115.80939392861799</v>
      </c>
      <c r="G6" s="1">
        <v>147.99604273617601</v>
      </c>
      <c r="H6" s="1">
        <v>371.44570464329598</v>
      </c>
      <c r="I6" s="1">
        <v>533.12794513989695</v>
      </c>
      <c r="J6" s="1">
        <v>104.587100824084</v>
      </c>
      <c r="K6" s="1">
        <v>2562.0537332753102</v>
      </c>
      <c r="L6" s="1">
        <v>1437.31610199899</v>
      </c>
      <c r="M6" s="1">
        <v>278.005920496329</v>
      </c>
      <c r="N6" s="1">
        <v>1058.9333360811399</v>
      </c>
      <c r="O6" s="1">
        <v>158.18810061568399</v>
      </c>
      <c r="P6" s="1">
        <v>270.32588001994401</v>
      </c>
      <c r="Q6" s="1">
        <v>490.978017856674</v>
      </c>
      <c r="R6" s="1">
        <v>622.62313361751603</v>
      </c>
      <c r="S6" s="1">
        <v>462.07941246132901</v>
      </c>
      <c r="T6" s="1">
        <v>74.136234592795603</v>
      </c>
      <c r="U6" s="1">
        <v>74.794146384275194</v>
      </c>
      <c r="V6" s="1">
        <v>150.22874593823099</v>
      </c>
      <c r="W6" s="1">
        <v>355.11927065042897</v>
      </c>
      <c r="X6" s="1">
        <v>149.892549063796</v>
      </c>
      <c r="Y6" s="1">
        <v>43.980225639992199</v>
      </c>
      <c r="Z6" s="1">
        <v>92.398517891356803</v>
      </c>
      <c r="AA6" s="1">
        <v>95.538300973709198</v>
      </c>
      <c r="AB6" s="1">
        <v>124.28743942488001</v>
      </c>
      <c r="AC6" s="1">
        <v>68.956578953213594</v>
      </c>
      <c r="AD6" s="1">
        <v>71.362265893348507</v>
      </c>
      <c r="AE6" s="1">
        <v>158.90466052665801</v>
      </c>
    </row>
    <row r="7" spans="1:31" x14ac:dyDescent="0.25">
      <c r="A7" s="3" t="s">
        <v>6</v>
      </c>
      <c r="B7" s="1">
        <v>1011.52301322683</v>
      </c>
      <c r="C7" s="1">
        <v>382.015435699698</v>
      </c>
      <c r="D7" s="1">
        <v>238.56976606877799</v>
      </c>
      <c r="E7" s="1">
        <v>115.80939392861799</v>
      </c>
      <c r="F7" s="1">
        <v>0</v>
      </c>
      <c r="G7" s="1">
        <v>4920.7919155079799</v>
      </c>
      <c r="H7" s="1">
        <v>1176.5435662652701</v>
      </c>
      <c r="I7" s="1">
        <v>606.31195589039703</v>
      </c>
      <c r="J7" s="1">
        <v>1549.32318449288</v>
      </c>
      <c r="K7" s="1">
        <v>195.331928543533</v>
      </c>
      <c r="L7" s="1">
        <v>102.559693801094</v>
      </c>
      <c r="M7" s="1">
        <v>109.27766365875</v>
      </c>
      <c r="N7" s="1">
        <v>72.282910766705996</v>
      </c>
      <c r="O7" s="1">
        <v>168.606844957763</v>
      </c>
      <c r="P7" s="1">
        <v>49.627026135638403</v>
      </c>
      <c r="Q7" s="1">
        <v>116.036750459014</v>
      </c>
      <c r="R7" s="1">
        <v>61.343034398689902</v>
      </c>
      <c r="S7" s="1">
        <v>250.62769271356001</v>
      </c>
      <c r="T7" s="1">
        <v>859.53855652090203</v>
      </c>
      <c r="U7" s="1">
        <v>2162.6874298778198</v>
      </c>
      <c r="V7" s="1">
        <v>737.65796619642197</v>
      </c>
      <c r="W7" s="1">
        <v>501.50242353824302</v>
      </c>
      <c r="X7" s="1">
        <v>74.607207697523194</v>
      </c>
      <c r="Y7" s="1">
        <v>275.78146888342002</v>
      </c>
      <c r="Z7" s="1">
        <v>310.99303149479999</v>
      </c>
      <c r="AA7" s="1">
        <v>91.935949113180001</v>
      </c>
      <c r="AB7" s="1">
        <v>82.016072475659598</v>
      </c>
      <c r="AC7" s="1">
        <v>58.892632081716002</v>
      </c>
      <c r="AD7" s="1">
        <v>51.863714503782603</v>
      </c>
      <c r="AE7" s="1">
        <v>68.849747772251504</v>
      </c>
    </row>
    <row r="8" spans="1:31" x14ac:dyDescent="0.25">
      <c r="A8" s="3" t="s">
        <v>7</v>
      </c>
      <c r="B8" s="1">
        <v>1630.1279047148601</v>
      </c>
      <c r="C8" s="1">
        <v>680.08055032385005</v>
      </c>
      <c r="D8" s="1">
        <v>298.758104999767</v>
      </c>
      <c r="E8" s="1">
        <v>147.99604273617601</v>
      </c>
      <c r="F8" s="1">
        <v>4920.7919155079799</v>
      </c>
      <c r="G8" s="1">
        <v>0</v>
      </c>
      <c r="H8" s="1">
        <v>2991.5720871707099</v>
      </c>
      <c r="I8" s="1">
        <v>927.67929904191897</v>
      </c>
      <c r="J8" s="1">
        <v>1571.85194149565</v>
      </c>
      <c r="K8" s="1">
        <v>268.92292442793701</v>
      </c>
      <c r="L8" s="1">
        <v>131.67132383837799</v>
      </c>
      <c r="M8" s="1">
        <v>120.068083430492</v>
      </c>
      <c r="N8" s="1">
        <v>84.547678700779599</v>
      </c>
      <c r="O8" s="1">
        <v>206.495132179119</v>
      </c>
      <c r="P8" s="1">
        <v>56.743271445265798</v>
      </c>
      <c r="Q8" s="1">
        <v>147.414783494468</v>
      </c>
      <c r="R8" s="1">
        <v>74.221961020799</v>
      </c>
      <c r="S8" s="1">
        <v>318.365537809128</v>
      </c>
      <c r="T8" s="1">
        <v>434.22425662929601</v>
      </c>
      <c r="U8" s="1">
        <v>740.84617412862303</v>
      </c>
      <c r="V8" s="1">
        <v>673.92108137724495</v>
      </c>
      <c r="W8" s="1">
        <v>633.35577332888204</v>
      </c>
      <c r="X8" s="1">
        <v>79.994019037939196</v>
      </c>
      <c r="Y8" s="1">
        <v>197.05170781331199</v>
      </c>
      <c r="Z8" s="1">
        <v>377.12824164663402</v>
      </c>
      <c r="AA8" s="1">
        <v>99.338074912285194</v>
      </c>
      <c r="AB8" s="1">
        <v>96.9761219616707</v>
      </c>
      <c r="AC8" s="1">
        <v>63.266806670700198</v>
      </c>
      <c r="AD8" s="1">
        <v>54.827510351846101</v>
      </c>
      <c r="AE8" s="1">
        <v>78.161893217819397</v>
      </c>
    </row>
    <row r="9" spans="1:31" x14ac:dyDescent="0.25">
      <c r="A9" s="3" t="s">
        <v>8</v>
      </c>
      <c r="B9" s="1">
        <v>8258.4159334865508</v>
      </c>
      <c r="C9" s="1">
        <v>2476.6626047251002</v>
      </c>
      <c r="D9" s="1">
        <v>791.47847152864404</v>
      </c>
      <c r="E9" s="1">
        <v>371.44570464329598</v>
      </c>
      <c r="F9" s="1">
        <v>1176.5435662652701</v>
      </c>
      <c r="G9" s="1">
        <v>2991.5720871707099</v>
      </c>
      <c r="H9" s="1">
        <v>0</v>
      </c>
      <c r="I9" s="1">
        <v>4249.6916724365501</v>
      </c>
      <c r="J9" s="1">
        <v>789.26070732158701</v>
      </c>
      <c r="K9" s="1">
        <v>738.23315077330597</v>
      </c>
      <c r="L9" s="1">
        <v>303.11840689673897</v>
      </c>
      <c r="M9" s="1">
        <v>241.209151080141</v>
      </c>
      <c r="N9" s="1">
        <v>177.33381181046201</v>
      </c>
      <c r="O9" s="1">
        <v>318.82443718046397</v>
      </c>
      <c r="P9" s="1">
        <v>106.460356156448</v>
      </c>
      <c r="Q9" s="1">
        <v>304.14969924616099</v>
      </c>
      <c r="R9" s="1">
        <v>153.388255521139</v>
      </c>
      <c r="S9" s="1">
        <v>885.30230403198902</v>
      </c>
      <c r="T9" s="1">
        <v>331.29456061561302</v>
      </c>
      <c r="U9" s="1">
        <v>432.70494620306903</v>
      </c>
      <c r="V9" s="1">
        <v>885.04985742774602</v>
      </c>
      <c r="W9" s="1">
        <v>1644.1722802280799</v>
      </c>
      <c r="X9" s="1">
        <v>153.96050895996001</v>
      </c>
      <c r="Y9" s="1">
        <v>163.354455979856</v>
      </c>
      <c r="Z9" s="1">
        <v>400.58746599690801</v>
      </c>
      <c r="AA9" s="1">
        <v>143.34553891000999</v>
      </c>
      <c r="AB9" s="1">
        <v>159.707457217316</v>
      </c>
      <c r="AC9" s="1">
        <v>93.095682345069207</v>
      </c>
      <c r="AD9" s="1">
        <v>82.405970614839006</v>
      </c>
      <c r="AE9" s="1">
        <v>132.46202662293601</v>
      </c>
    </row>
    <row r="10" spans="1:31" x14ac:dyDescent="0.25">
      <c r="A10" s="3" t="s">
        <v>9</v>
      </c>
      <c r="B10" s="1">
        <v>10598.477139078101</v>
      </c>
      <c r="C10" s="1">
        <v>1023.1704191523201</v>
      </c>
      <c r="D10" s="1">
        <v>2182.5493375737301</v>
      </c>
      <c r="E10" s="1">
        <v>533.12794513989695</v>
      </c>
      <c r="F10" s="1">
        <v>606.31195589039703</v>
      </c>
      <c r="G10" s="1">
        <v>927.67929904191897</v>
      </c>
      <c r="H10" s="1">
        <v>4249.6916724365501</v>
      </c>
      <c r="I10" s="1">
        <v>0</v>
      </c>
      <c r="J10" s="1">
        <v>365.56410195689</v>
      </c>
      <c r="K10" s="1">
        <v>796.96231101982596</v>
      </c>
      <c r="L10" s="1">
        <v>322.43712524963399</v>
      </c>
      <c r="M10" s="1">
        <v>468.62653707836</v>
      </c>
      <c r="N10" s="1">
        <v>247.41414300475401</v>
      </c>
      <c r="O10" s="1">
        <v>215.503928546064</v>
      </c>
      <c r="P10" s="1">
        <v>118.243264234264</v>
      </c>
      <c r="Q10" s="1">
        <v>270.75755474197899</v>
      </c>
      <c r="R10" s="1">
        <v>168.65972611040101</v>
      </c>
      <c r="S10" s="1">
        <v>4067.9152647372698</v>
      </c>
      <c r="T10" s="1">
        <v>271.62595363373799</v>
      </c>
      <c r="U10" s="1">
        <v>307.20978526768602</v>
      </c>
      <c r="V10" s="1">
        <v>1240.71352509247</v>
      </c>
      <c r="W10" s="1">
        <v>8268.1196455020508</v>
      </c>
      <c r="X10" s="1">
        <v>290.67442741307099</v>
      </c>
      <c r="Y10" s="1">
        <v>114.154467240088</v>
      </c>
      <c r="Z10" s="1">
        <v>213.23469604904901</v>
      </c>
      <c r="AA10" s="1">
        <v>115.106128377942</v>
      </c>
      <c r="AB10" s="1">
        <v>125.37891706681</v>
      </c>
      <c r="AC10" s="1">
        <v>77.832284920789604</v>
      </c>
      <c r="AD10" s="1">
        <v>73.986836137594295</v>
      </c>
      <c r="AE10" s="1">
        <v>121.260953339868</v>
      </c>
    </row>
    <row r="11" spans="1:31" x14ac:dyDescent="0.25">
      <c r="A11" s="3" t="s">
        <v>10</v>
      </c>
      <c r="B11" s="1">
        <v>842.66899589347895</v>
      </c>
      <c r="C11" s="1">
        <v>449.63278829644401</v>
      </c>
      <c r="D11" s="1">
        <v>171.99205273581501</v>
      </c>
      <c r="E11" s="1">
        <v>104.587100824084</v>
      </c>
      <c r="F11" s="1">
        <v>1549.32318449288</v>
      </c>
      <c r="G11" s="1">
        <v>1571.85194149565</v>
      </c>
      <c r="H11" s="1">
        <v>789.26070732158701</v>
      </c>
      <c r="I11" s="1">
        <v>365.56410195689</v>
      </c>
      <c r="J11" s="1">
        <v>0</v>
      </c>
      <c r="K11" s="1">
        <v>196.08501681853801</v>
      </c>
      <c r="L11" s="1">
        <v>106.91368004916301</v>
      </c>
      <c r="M11" s="1">
        <v>76.509859820955995</v>
      </c>
      <c r="N11" s="1">
        <v>64.223267920512498</v>
      </c>
      <c r="O11" s="1">
        <v>280.23905036884702</v>
      </c>
      <c r="P11" s="1">
        <v>50.294373756843598</v>
      </c>
      <c r="Q11" s="1">
        <v>136.88430155517199</v>
      </c>
      <c r="R11" s="1">
        <v>63.179010832493603</v>
      </c>
      <c r="S11" s="1">
        <v>160.170358364218</v>
      </c>
      <c r="T11" s="1">
        <v>378.78864004490498</v>
      </c>
      <c r="U11" s="1">
        <v>619.10616501900302</v>
      </c>
      <c r="V11" s="1">
        <v>270.635931841363</v>
      </c>
      <c r="W11" s="1">
        <v>266.609323608583</v>
      </c>
      <c r="X11" s="1">
        <v>50.9919063851491</v>
      </c>
      <c r="Y11" s="1">
        <v>403.86094972248497</v>
      </c>
      <c r="Z11" s="1">
        <v>1017.94665965967</v>
      </c>
      <c r="AA11" s="1">
        <v>128.37557696731801</v>
      </c>
      <c r="AB11" s="1">
        <v>114.10040028634199</v>
      </c>
      <c r="AC11" s="1">
        <v>77.852090929283307</v>
      </c>
      <c r="AD11" s="1">
        <v>62.596284682225999</v>
      </c>
      <c r="AE11" s="1">
        <v>82.0138770219192</v>
      </c>
    </row>
    <row r="12" spans="1:31" x14ac:dyDescent="0.25">
      <c r="A12" s="3" t="s">
        <v>11</v>
      </c>
      <c r="B12" s="1">
        <v>5424.8740487217201</v>
      </c>
      <c r="C12" s="1">
        <v>1159.3627396188399</v>
      </c>
      <c r="D12" s="1">
        <v>865.49549319540404</v>
      </c>
      <c r="E12" s="1">
        <v>2562.0537332753102</v>
      </c>
      <c r="F12" s="1">
        <v>195.331928543533</v>
      </c>
      <c r="G12" s="1">
        <v>268.92292442793701</v>
      </c>
      <c r="H12" s="1">
        <v>738.23315077330597</v>
      </c>
      <c r="I12" s="1">
        <v>796.96231101982596</v>
      </c>
      <c r="J12" s="1">
        <v>196.08501681853801</v>
      </c>
      <c r="K12" s="1">
        <v>0</v>
      </c>
      <c r="L12" s="1">
        <v>3759.3964840409799</v>
      </c>
      <c r="M12" s="1">
        <v>226.63811234871801</v>
      </c>
      <c r="N12" s="1">
        <v>485.46618987440701</v>
      </c>
      <c r="O12" s="1">
        <v>357.75105228867699</v>
      </c>
      <c r="P12" s="1">
        <v>279.48700319423199</v>
      </c>
      <c r="Q12" s="1">
        <v>1388.6851000352201</v>
      </c>
      <c r="R12" s="1">
        <v>716.28754108609303</v>
      </c>
      <c r="S12" s="1">
        <v>489.51564287272703</v>
      </c>
      <c r="T12" s="1">
        <v>110.346053423046</v>
      </c>
      <c r="U12" s="1">
        <v>117.076627584899</v>
      </c>
      <c r="V12" s="1">
        <v>206.373099605861</v>
      </c>
      <c r="W12" s="1">
        <v>453.39628823257902</v>
      </c>
      <c r="X12" s="1">
        <v>130.74692569098499</v>
      </c>
      <c r="Y12" s="1">
        <v>72.097558470770096</v>
      </c>
      <c r="Z12" s="1">
        <v>191.21376168885899</v>
      </c>
      <c r="AA12" s="1">
        <v>168.26481442002199</v>
      </c>
      <c r="AB12" s="1">
        <v>259.27270400101901</v>
      </c>
      <c r="AC12" s="1">
        <v>116.302133809201</v>
      </c>
      <c r="AD12" s="1">
        <v>109.060459967399</v>
      </c>
      <c r="AE12" s="1">
        <v>259.319996284475</v>
      </c>
    </row>
    <row r="13" spans="1:31" x14ac:dyDescent="0.25">
      <c r="A13" s="3" t="s">
        <v>12</v>
      </c>
      <c r="B13" s="1">
        <v>1513.8469926653099</v>
      </c>
      <c r="C13" s="1">
        <v>414.03652428884601</v>
      </c>
      <c r="D13" s="1">
        <v>400.23889866960701</v>
      </c>
      <c r="E13" s="1">
        <v>1437.31610199899</v>
      </c>
      <c r="F13" s="1">
        <v>102.559693801094</v>
      </c>
      <c r="G13" s="1">
        <v>131.67132383837799</v>
      </c>
      <c r="H13" s="1">
        <v>303.11840689673897</v>
      </c>
      <c r="I13" s="1">
        <v>322.43712524963399</v>
      </c>
      <c r="J13" s="1">
        <v>106.91368004916301</v>
      </c>
      <c r="K13" s="1">
        <v>3759.3964840409799</v>
      </c>
      <c r="L13" s="1">
        <v>0</v>
      </c>
      <c r="M13" s="1">
        <v>134.143053330318</v>
      </c>
      <c r="N13" s="1">
        <v>449.29487378762099</v>
      </c>
      <c r="O13" s="1">
        <v>253.643696778578</v>
      </c>
      <c r="P13" s="1">
        <v>373.30586581926298</v>
      </c>
      <c r="Q13" s="1">
        <v>2117.2450659508499</v>
      </c>
      <c r="R13" s="1">
        <v>1813.32455162765</v>
      </c>
      <c r="S13" s="1">
        <v>220.919302689002</v>
      </c>
      <c r="T13" s="1">
        <v>64.404440526482205</v>
      </c>
      <c r="U13" s="1">
        <v>66.035033278220993</v>
      </c>
      <c r="V13" s="1">
        <v>106.643048194428</v>
      </c>
      <c r="W13" s="1">
        <v>210.329782914433</v>
      </c>
      <c r="X13" s="1">
        <v>77.850455740382003</v>
      </c>
      <c r="Y13" s="1">
        <v>44.857858468928498</v>
      </c>
      <c r="Z13" s="1">
        <v>112.092866602632</v>
      </c>
      <c r="AA13" s="1">
        <v>139.25534393991799</v>
      </c>
      <c r="AB13" s="1">
        <v>230.209239950399</v>
      </c>
      <c r="AC13" s="1">
        <v>100.173464650585</v>
      </c>
      <c r="AD13" s="1">
        <v>98.296726230523802</v>
      </c>
      <c r="AE13" s="1">
        <v>287.29822629956197</v>
      </c>
    </row>
    <row r="14" spans="1:31" x14ac:dyDescent="0.25">
      <c r="A14" s="3" t="s">
        <v>13</v>
      </c>
      <c r="B14" s="1">
        <v>786.92334117519397</v>
      </c>
      <c r="C14" s="1">
        <v>137.55675102377799</v>
      </c>
      <c r="D14" s="1">
        <v>1439.6082761958301</v>
      </c>
      <c r="E14" s="1">
        <v>278.005920496329</v>
      </c>
      <c r="F14" s="1">
        <v>109.27766365875</v>
      </c>
      <c r="G14" s="1">
        <v>120.068083430492</v>
      </c>
      <c r="H14" s="1">
        <v>241.209151080141</v>
      </c>
      <c r="I14" s="1">
        <v>468.62653707836</v>
      </c>
      <c r="J14" s="1">
        <v>76.509859820955995</v>
      </c>
      <c r="K14" s="1">
        <v>226.63811234871801</v>
      </c>
      <c r="L14" s="1">
        <v>134.143053330318</v>
      </c>
      <c r="M14" s="1">
        <v>0</v>
      </c>
      <c r="N14" s="1">
        <v>277.10929923217702</v>
      </c>
      <c r="O14" s="1">
        <v>67.417296017470903</v>
      </c>
      <c r="P14" s="1">
        <v>85.459261030611202</v>
      </c>
      <c r="Q14" s="1">
        <v>102.294367755549</v>
      </c>
      <c r="R14" s="1">
        <v>95.761272684964794</v>
      </c>
      <c r="S14" s="1">
        <v>792.52701596109796</v>
      </c>
      <c r="T14" s="1">
        <v>90.297716265816803</v>
      </c>
      <c r="U14" s="1">
        <v>81.780660501516493</v>
      </c>
      <c r="V14" s="1">
        <v>249.91601560247699</v>
      </c>
      <c r="W14" s="1">
        <v>580.93148767888204</v>
      </c>
      <c r="X14" s="1">
        <v>10298.8325503918</v>
      </c>
      <c r="Y14" s="1">
        <v>38.345574525158597</v>
      </c>
      <c r="Z14" s="1">
        <v>53.101881895817101</v>
      </c>
      <c r="AA14" s="1">
        <v>49.372834633315499</v>
      </c>
      <c r="AB14" s="1">
        <v>47.943059900874502</v>
      </c>
      <c r="AC14" s="1">
        <v>35.840535452797901</v>
      </c>
      <c r="AD14" s="1">
        <v>39.321737425873003</v>
      </c>
      <c r="AE14" s="1">
        <v>61.354190114039703</v>
      </c>
    </row>
    <row r="15" spans="1:31" x14ac:dyDescent="0.25">
      <c r="A15" s="3" t="s">
        <v>14</v>
      </c>
      <c r="B15" s="1">
        <v>745.93916726034195</v>
      </c>
      <c r="C15" s="1">
        <v>153.578766581103</v>
      </c>
      <c r="D15" s="1">
        <v>550.16090867613696</v>
      </c>
      <c r="E15" s="1">
        <v>1058.9333360811399</v>
      </c>
      <c r="F15" s="1">
        <v>72.282910766705996</v>
      </c>
      <c r="G15" s="1">
        <v>84.547678700779599</v>
      </c>
      <c r="H15" s="1">
        <v>177.33381181046201</v>
      </c>
      <c r="I15" s="1">
        <v>247.41414300475401</v>
      </c>
      <c r="J15" s="1">
        <v>64.223267920512498</v>
      </c>
      <c r="K15" s="1">
        <v>485.46618987440701</v>
      </c>
      <c r="L15" s="1">
        <v>449.29487378762099</v>
      </c>
      <c r="M15" s="1">
        <v>277.10929923217702</v>
      </c>
      <c r="N15" s="1">
        <v>0</v>
      </c>
      <c r="O15" s="1">
        <v>96.665379792659095</v>
      </c>
      <c r="P15" s="1">
        <v>410.70108868739101</v>
      </c>
      <c r="Q15" s="1">
        <v>247.136350741629</v>
      </c>
      <c r="R15" s="1">
        <v>483.40190198197502</v>
      </c>
      <c r="S15" s="1">
        <v>242.033321909422</v>
      </c>
      <c r="T15" s="1">
        <v>54.263104190344201</v>
      </c>
      <c r="U15" s="1">
        <v>51.5722876775705</v>
      </c>
      <c r="V15" s="1">
        <v>98.8396867898918</v>
      </c>
      <c r="W15" s="1">
        <v>200.77908033994501</v>
      </c>
      <c r="X15" s="1">
        <v>148.663763853831</v>
      </c>
      <c r="Y15" s="1">
        <v>31.955177089928799</v>
      </c>
      <c r="Z15" s="1">
        <v>56.1790520456031</v>
      </c>
      <c r="AA15" s="1">
        <v>74.020775775780805</v>
      </c>
      <c r="AB15" s="1">
        <v>83.276595372488302</v>
      </c>
      <c r="AC15" s="1">
        <v>56.208234269873799</v>
      </c>
      <c r="AD15" s="1">
        <v>65.317752451387094</v>
      </c>
      <c r="AE15" s="1">
        <v>135.83564394841301</v>
      </c>
    </row>
    <row r="16" spans="1:31" x14ac:dyDescent="0.25">
      <c r="A16" s="3" t="s">
        <v>15</v>
      </c>
      <c r="B16" s="1">
        <v>754.85764016523797</v>
      </c>
      <c r="C16" s="1">
        <v>462.72384939447102</v>
      </c>
      <c r="D16" s="1">
        <v>156.54582798577599</v>
      </c>
      <c r="E16" s="1">
        <v>158.18810061568399</v>
      </c>
      <c r="F16" s="1">
        <v>168.606844957763</v>
      </c>
      <c r="G16" s="1">
        <v>206.495132179119</v>
      </c>
      <c r="H16" s="1">
        <v>318.82443718046397</v>
      </c>
      <c r="I16" s="1">
        <v>215.503928546064</v>
      </c>
      <c r="J16" s="1">
        <v>280.23905036884702</v>
      </c>
      <c r="K16" s="1">
        <v>357.75105228867699</v>
      </c>
      <c r="L16" s="1">
        <v>253.643696778578</v>
      </c>
      <c r="M16" s="1">
        <v>67.417296017470903</v>
      </c>
      <c r="N16" s="1">
        <v>96.665379792659095</v>
      </c>
      <c r="O16" s="1">
        <v>0</v>
      </c>
      <c r="P16" s="1">
        <v>111.507791527121</v>
      </c>
      <c r="Q16" s="1">
        <v>564.70741102032798</v>
      </c>
      <c r="R16" s="1">
        <v>151.578475548965</v>
      </c>
      <c r="S16" s="1">
        <v>116.619740017956</v>
      </c>
      <c r="T16" s="1">
        <v>99.973397161108295</v>
      </c>
      <c r="U16" s="1">
        <v>109.00753767847399</v>
      </c>
      <c r="V16" s="1">
        <v>104.76930680649301</v>
      </c>
      <c r="W16" s="1">
        <v>148.11257851507099</v>
      </c>
      <c r="X16" s="1">
        <v>42.830173421787201</v>
      </c>
      <c r="Y16" s="1">
        <v>115.18563385655899</v>
      </c>
      <c r="Z16" s="1">
        <v>680.92309207734502</v>
      </c>
      <c r="AA16" s="1">
        <v>693.27435059593495</v>
      </c>
      <c r="AB16" s="1">
        <v>1542.3158066226499</v>
      </c>
      <c r="AC16" s="1">
        <v>343.26708363689698</v>
      </c>
      <c r="AD16" s="1">
        <v>191.497781036145</v>
      </c>
      <c r="AE16" s="1">
        <v>338.39731868438298</v>
      </c>
    </row>
    <row r="17" spans="1:31" x14ac:dyDescent="0.25">
      <c r="A17" s="3" t="s">
        <v>16</v>
      </c>
      <c r="B17" s="1">
        <v>378.515225772029</v>
      </c>
      <c r="C17" s="1">
        <v>106.68174708790799</v>
      </c>
      <c r="D17" s="1">
        <v>163.39524490930401</v>
      </c>
      <c r="E17" s="1">
        <v>270.32588001994401</v>
      </c>
      <c r="F17" s="1">
        <v>49.627026135638403</v>
      </c>
      <c r="G17" s="1">
        <v>56.743271445265798</v>
      </c>
      <c r="H17" s="1">
        <v>106.460356156448</v>
      </c>
      <c r="I17" s="1">
        <v>118.243264234264</v>
      </c>
      <c r="J17" s="1">
        <v>50.294373756843598</v>
      </c>
      <c r="K17" s="1">
        <v>279.48700319423199</v>
      </c>
      <c r="L17" s="1">
        <v>373.30586581926298</v>
      </c>
      <c r="M17" s="1">
        <v>85.459261030611202</v>
      </c>
      <c r="N17" s="1">
        <v>410.70108868739101</v>
      </c>
      <c r="O17" s="1">
        <v>111.507791527121</v>
      </c>
      <c r="P17" s="1">
        <v>0</v>
      </c>
      <c r="Q17" s="1">
        <v>334.20776260760101</v>
      </c>
      <c r="R17" s="1">
        <v>909.23971036044702</v>
      </c>
      <c r="S17" s="1">
        <v>92.670092669673394</v>
      </c>
      <c r="T17" s="1">
        <v>38.375480603238501</v>
      </c>
      <c r="U17" s="1">
        <v>36.4481813044913</v>
      </c>
      <c r="V17" s="1">
        <v>54.469298771431497</v>
      </c>
      <c r="W17" s="1">
        <v>92.663098405126902</v>
      </c>
      <c r="X17" s="1">
        <v>51.102340662105199</v>
      </c>
      <c r="Y17" s="1">
        <v>27.3720827625041</v>
      </c>
      <c r="Z17" s="1">
        <v>51.0806655597682</v>
      </c>
      <c r="AA17" s="1">
        <v>107.306435498876</v>
      </c>
      <c r="AB17" s="1">
        <v>123.80556882160801</v>
      </c>
      <c r="AC17" s="1">
        <v>88.397598406639204</v>
      </c>
      <c r="AD17" s="1">
        <v>116.732988586831</v>
      </c>
      <c r="AE17" s="1">
        <v>347.49551193053497</v>
      </c>
    </row>
    <row r="18" spans="1:31" x14ac:dyDescent="0.25">
      <c r="A18" s="3" t="s">
        <v>17</v>
      </c>
      <c r="B18" s="1">
        <v>1174.81421791854</v>
      </c>
      <c r="C18" s="1">
        <v>473.17224769363298</v>
      </c>
      <c r="D18" s="1">
        <v>267.78345804501703</v>
      </c>
      <c r="E18" s="1">
        <v>490.978017856674</v>
      </c>
      <c r="F18" s="1">
        <v>116.036750459014</v>
      </c>
      <c r="G18" s="1">
        <v>147.414783494468</v>
      </c>
      <c r="H18" s="1">
        <v>304.14969924616099</v>
      </c>
      <c r="I18" s="1">
        <v>270.75755474197899</v>
      </c>
      <c r="J18" s="1">
        <v>136.88430155517199</v>
      </c>
      <c r="K18" s="1">
        <v>1388.6851000352201</v>
      </c>
      <c r="L18" s="1">
        <v>2117.2450659508499</v>
      </c>
      <c r="M18" s="1">
        <v>102.294367755549</v>
      </c>
      <c r="N18" s="1">
        <v>247.136350741629</v>
      </c>
      <c r="O18" s="1">
        <v>564.70741102032798</v>
      </c>
      <c r="P18" s="1">
        <v>334.20776260760101</v>
      </c>
      <c r="Q18" s="1">
        <v>0</v>
      </c>
      <c r="R18" s="1">
        <v>881.994167602841</v>
      </c>
      <c r="S18" s="1">
        <v>168.086411097379</v>
      </c>
      <c r="T18" s="1">
        <v>72.420351073914802</v>
      </c>
      <c r="U18" s="1">
        <v>75.14146142621</v>
      </c>
      <c r="V18" s="1">
        <v>102.82826271001299</v>
      </c>
      <c r="W18" s="1">
        <v>179.44930051858501</v>
      </c>
      <c r="X18" s="1">
        <v>61.702406720998503</v>
      </c>
      <c r="Y18" s="1">
        <v>58.072298623355103</v>
      </c>
      <c r="Z18" s="1">
        <v>170.98483752997299</v>
      </c>
      <c r="AA18" s="1">
        <v>262.53613354932799</v>
      </c>
      <c r="AB18" s="1">
        <v>650.52015007573095</v>
      </c>
      <c r="AC18" s="1">
        <v>183.570520632918</v>
      </c>
      <c r="AD18" s="1">
        <v>160.025240712483</v>
      </c>
      <c r="AE18" s="1">
        <v>598.88206377712402</v>
      </c>
    </row>
    <row r="19" spans="1:31" x14ac:dyDescent="0.25">
      <c r="A19" s="3" t="s">
        <v>18</v>
      </c>
      <c r="B19" s="1">
        <v>636.74440603853498</v>
      </c>
      <c r="C19" s="1">
        <v>176.02172262427499</v>
      </c>
      <c r="D19" s="1">
        <v>230.70745854788501</v>
      </c>
      <c r="E19" s="1">
        <v>622.62313361751603</v>
      </c>
      <c r="F19" s="1">
        <v>61.343034398689902</v>
      </c>
      <c r="G19" s="1">
        <v>74.221961020799</v>
      </c>
      <c r="H19" s="1">
        <v>153.388255521139</v>
      </c>
      <c r="I19" s="1">
        <v>168.65972611040101</v>
      </c>
      <c r="J19" s="1">
        <v>63.179010832493603</v>
      </c>
      <c r="K19" s="1">
        <v>716.28754108609303</v>
      </c>
      <c r="L19" s="1">
        <v>1813.32455162765</v>
      </c>
      <c r="M19" s="1">
        <v>95.761272684964794</v>
      </c>
      <c r="N19" s="1">
        <v>483.40190198197502</v>
      </c>
      <c r="O19" s="1">
        <v>151.578475548965</v>
      </c>
      <c r="P19" s="1">
        <v>909.23971036044702</v>
      </c>
      <c r="Q19" s="1">
        <v>881.994167602841</v>
      </c>
      <c r="R19" s="1">
        <v>0</v>
      </c>
      <c r="S19" s="1">
        <v>126.070969987233</v>
      </c>
      <c r="T19" s="1">
        <v>42.6730000176251</v>
      </c>
      <c r="U19" s="1">
        <v>42.162615684575997</v>
      </c>
      <c r="V19" s="1">
        <v>65.8512325183532</v>
      </c>
      <c r="W19" s="1">
        <v>121.474204585802</v>
      </c>
      <c r="X19" s="1">
        <v>55.9202686679523</v>
      </c>
      <c r="Y19" s="1">
        <v>30.1401784989574</v>
      </c>
      <c r="Z19" s="1">
        <v>65.778374285028406</v>
      </c>
      <c r="AA19" s="1">
        <v>109.300823507475</v>
      </c>
      <c r="AB19" s="1">
        <v>160.81085805028201</v>
      </c>
      <c r="AC19" s="1">
        <v>83.717675678319196</v>
      </c>
      <c r="AD19" s="1">
        <v>92.130491567498595</v>
      </c>
      <c r="AE19" s="1">
        <v>307.53511917178201</v>
      </c>
    </row>
    <row r="20" spans="1:31" x14ac:dyDescent="0.25">
      <c r="A20" s="3" t="s">
        <v>19</v>
      </c>
      <c r="B20" s="1">
        <v>3319.8537200399001</v>
      </c>
      <c r="C20" s="1">
        <v>377.20737803602498</v>
      </c>
      <c r="D20" s="1">
        <v>6268.05427160611</v>
      </c>
      <c r="E20" s="1">
        <v>462.07941246132901</v>
      </c>
      <c r="F20" s="1">
        <v>250.62769271356001</v>
      </c>
      <c r="G20" s="1">
        <v>318.365537809128</v>
      </c>
      <c r="H20" s="1">
        <v>885.30230403198902</v>
      </c>
      <c r="I20" s="1">
        <v>4067.9152647372698</v>
      </c>
      <c r="J20" s="1">
        <v>160.170358364218</v>
      </c>
      <c r="K20" s="1">
        <v>489.51564287272703</v>
      </c>
      <c r="L20" s="1">
        <v>220.919302689002</v>
      </c>
      <c r="M20" s="1">
        <v>792.52701596109796</v>
      </c>
      <c r="N20" s="1">
        <v>242.033321909422</v>
      </c>
      <c r="O20" s="1">
        <v>116.619740017956</v>
      </c>
      <c r="P20" s="1">
        <v>92.670092669673394</v>
      </c>
      <c r="Q20" s="1">
        <v>168.086411097379</v>
      </c>
      <c r="R20" s="1">
        <v>126.070969987233</v>
      </c>
      <c r="S20" s="1">
        <v>0</v>
      </c>
      <c r="T20" s="1">
        <v>151.472448460528</v>
      </c>
      <c r="U20" s="1">
        <v>154.435290592619</v>
      </c>
      <c r="V20" s="1">
        <v>661.50281795378999</v>
      </c>
      <c r="W20" s="1">
        <v>5288.6365927069501</v>
      </c>
      <c r="X20" s="1">
        <v>457.42518964272602</v>
      </c>
      <c r="Y20" s="1">
        <v>62.295732024345902</v>
      </c>
      <c r="Z20" s="1">
        <v>102.08842634764</v>
      </c>
      <c r="AA20" s="1">
        <v>70.582019528161695</v>
      </c>
      <c r="AB20" s="1">
        <v>74.578719898297706</v>
      </c>
      <c r="AC20" s="1">
        <v>49.145291042583601</v>
      </c>
      <c r="AD20" s="1">
        <v>49.378202039834697</v>
      </c>
      <c r="AE20" s="1">
        <v>81.085768599548501</v>
      </c>
    </row>
    <row r="21" spans="1:31" x14ac:dyDescent="0.25">
      <c r="A21" s="3" t="s">
        <v>20</v>
      </c>
      <c r="B21" s="1">
        <v>459.31375745334498</v>
      </c>
      <c r="C21" s="1">
        <v>150.802335826812</v>
      </c>
      <c r="D21" s="1">
        <v>154.08056963343901</v>
      </c>
      <c r="E21" s="1">
        <v>74.136234592795603</v>
      </c>
      <c r="F21" s="1">
        <v>859.53855652090203</v>
      </c>
      <c r="G21" s="1">
        <v>434.22425662929601</v>
      </c>
      <c r="H21" s="1">
        <v>331.29456061561302</v>
      </c>
      <c r="I21" s="1">
        <v>271.62595363373799</v>
      </c>
      <c r="J21" s="1">
        <v>378.78864004490498</v>
      </c>
      <c r="K21" s="1">
        <v>110.346053423046</v>
      </c>
      <c r="L21" s="1">
        <v>64.404440526482205</v>
      </c>
      <c r="M21" s="1">
        <v>90.297716265816803</v>
      </c>
      <c r="N21" s="1">
        <v>54.263104190344201</v>
      </c>
      <c r="O21" s="1">
        <v>99.973397161108295</v>
      </c>
      <c r="P21" s="1">
        <v>38.375480603238501</v>
      </c>
      <c r="Q21" s="1">
        <v>72.420351073914802</v>
      </c>
      <c r="R21" s="1">
        <v>42.6730000176251</v>
      </c>
      <c r="S21" s="1">
        <v>151.472448460528</v>
      </c>
      <c r="T21" s="1">
        <v>0</v>
      </c>
      <c r="U21" s="1">
        <v>4009.84239905187</v>
      </c>
      <c r="V21" s="1">
        <v>479.85013468826799</v>
      </c>
      <c r="W21" s="1">
        <v>275.43821873877903</v>
      </c>
      <c r="X21" s="1">
        <v>64.535075280175803</v>
      </c>
      <c r="Y21" s="1">
        <v>328.60226191855497</v>
      </c>
      <c r="Z21" s="1">
        <v>143.953105721404</v>
      </c>
      <c r="AA21" s="1">
        <v>71.030963461194901</v>
      </c>
      <c r="AB21" s="1">
        <v>54.742143129312801</v>
      </c>
      <c r="AC21" s="1">
        <v>47.035692739931903</v>
      </c>
      <c r="AD21" s="1">
        <v>44.236936452719398</v>
      </c>
      <c r="AE21" s="1">
        <v>51.821735400628903</v>
      </c>
    </row>
    <row r="22" spans="1:31" x14ac:dyDescent="0.25">
      <c r="A22" s="3" t="s">
        <v>21</v>
      </c>
      <c r="B22" s="1">
        <v>520.20221717626805</v>
      </c>
      <c r="C22" s="1">
        <v>181.55591937422599</v>
      </c>
      <c r="D22" s="1">
        <v>153.52545192176299</v>
      </c>
      <c r="E22" s="1">
        <v>74.794146384275194</v>
      </c>
      <c r="F22" s="1">
        <v>2162.6874298778198</v>
      </c>
      <c r="G22" s="1">
        <v>740.84617412862303</v>
      </c>
      <c r="H22" s="1">
        <v>432.70494620306903</v>
      </c>
      <c r="I22" s="1">
        <v>307.20978526768602</v>
      </c>
      <c r="J22" s="1">
        <v>619.10616501900302</v>
      </c>
      <c r="K22" s="1">
        <v>117.076627584899</v>
      </c>
      <c r="L22" s="1">
        <v>66.035033278220993</v>
      </c>
      <c r="M22" s="1">
        <v>81.780660501516493</v>
      </c>
      <c r="N22" s="1">
        <v>51.5722876775705</v>
      </c>
      <c r="O22" s="1">
        <v>109.00753767847399</v>
      </c>
      <c r="P22" s="1">
        <v>36.4481813044913</v>
      </c>
      <c r="Q22" s="1">
        <v>75.14146142621</v>
      </c>
      <c r="R22" s="1">
        <v>42.162615684575997</v>
      </c>
      <c r="S22" s="1">
        <v>154.435290592619</v>
      </c>
      <c r="T22" s="1">
        <v>4009.84239905187</v>
      </c>
      <c r="U22" s="1">
        <v>0</v>
      </c>
      <c r="V22" s="1">
        <v>499.71661426740002</v>
      </c>
      <c r="W22" s="1">
        <v>291.50110272359399</v>
      </c>
      <c r="X22" s="1">
        <v>57.355694795284599</v>
      </c>
      <c r="Y22" s="1">
        <v>336.149141062924</v>
      </c>
      <c r="Z22" s="1">
        <v>179.08967134230599</v>
      </c>
      <c r="AA22" s="1">
        <v>70.105277629295898</v>
      </c>
      <c r="AB22" s="1">
        <v>56.479464257363702</v>
      </c>
      <c r="AC22" s="1">
        <v>45.584327494819298</v>
      </c>
      <c r="AD22" s="1">
        <v>41.4237801178434</v>
      </c>
      <c r="AE22" s="1">
        <v>50.518439510213803</v>
      </c>
    </row>
    <row r="23" spans="1:31" x14ac:dyDescent="0.25">
      <c r="A23" s="3" t="s">
        <v>22</v>
      </c>
      <c r="B23" s="1">
        <v>1181.03635605923</v>
      </c>
      <c r="C23" s="1">
        <v>265.37052515341202</v>
      </c>
      <c r="D23" s="1">
        <v>483.100460979795</v>
      </c>
      <c r="E23" s="1">
        <v>150.22874593823099</v>
      </c>
      <c r="F23" s="1">
        <v>737.65796619642197</v>
      </c>
      <c r="G23" s="1">
        <v>673.92108137724495</v>
      </c>
      <c r="H23" s="1">
        <v>885.04985742774602</v>
      </c>
      <c r="I23" s="1">
        <v>1240.71352509247</v>
      </c>
      <c r="J23" s="1">
        <v>270.635931841363</v>
      </c>
      <c r="K23" s="1">
        <v>206.373099605861</v>
      </c>
      <c r="L23" s="1">
        <v>106.643048194428</v>
      </c>
      <c r="M23" s="1">
        <v>249.91601560247699</v>
      </c>
      <c r="N23" s="1">
        <v>98.8396867898918</v>
      </c>
      <c r="O23" s="1">
        <v>104.76930680649301</v>
      </c>
      <c r="P23" s="1">
        <v>54.469298771431497</v>
      </c>
      <c r="Q23" s="1">
        <v>102.82826271001299</v>
      </c>
      <c r="R23" s="1">
        <v>65.8512325183532</v>
      </c>
      <c r="S23" s="1">
        <v>661.50281795378999</v>
      </c>
      <c r="T23" s="1">
        <v>479.85013468826799</v>
      </c>
      <c r="U23" s="1">
        <v>499.71661426740002</v>
      </c>
      <c r="V23" s="1">
        <v>0</v>
      </c>
      <c r="W23" s="1">
        <v>2149.2329204698699</v>
      </c>
      <c r="X23" s="1">
        <v>180.84674148257</v>
      </c>
      <c r="Y23" s="1">
        <v>108.026100308303</v>
      </c>
      <c r="Z23" s="1">
        <v>122.75515594227301</v>
      </c>
      <c r="AA23" s="1">
        <v>65.826792805811607</v>
      </c>
      <c r="AB23" s="1">
        <v>60.479909495003398</v>
      </c>
      <c r="AC23" s="1">
        <v>44.621266076909102</v>
      </c>
      <c r="AD23" s="1">
        <v>43.338736448874201</v>
      </c>
      <c r="AE23" s="1">
        <v>60.310953947205</v>
      </c>
    </row>
    <row r="24" spans="1:31" x14ac:dyDescent="0.25">
      <c r="A24" s="3" t="s">
        <v>23</v>
      </c>
      <c r="B24" s="1">
        <v>3422.4982219858898</v>
      </c>
      <c r="C24" s="1">
        <v>491.015931764718</v>
      </c>
      <c r="D24" s="1">
        <v>1892.8219245482501</v>
      </c>
      <c r="E24" s="1">
        <v>355.11927065042897</v>
      </c>
      <c r="F24" s="1">
        <v>501.50242353824302</v>
      </c>
      <c r="G24" s="1">
        <v>633.35577332888204</v>
      </c>
      <c r="H24" s="1">
        <v>1644.1722802280799</v>
      </c>
      <c r="I24" s="1">
        <v>8268.1196455020508</v>
      </c>
      <c r="J24" s="1">
        <v>266.609323608583</v>
      </c>
      <c r="K24" s="1">
        <v>453.39628823257902</v>
      </c>
      <c r="L24" s="1">
        <v>210.329782914433</v>
      </c>
      <c r="M24" s="1">
        <v>580.93148767888204</v>
      </c>
      <c r="N24" s="1">
        <v>200.77908033994501</v>
      </c>
      <c r="O24" s="1">
        <v>148.11257851507099</v>
      </c>
      <c r="P24" s="1">
        <v>92.663098405126902</v>
      </c>
      <c r="Q24" s="1">
        <v>179.44930051858501</v>
      </c>
      <c r="R24" s="1">
        <v>121.474204585802</v>
      </c>
      <c r="S24" s="1">
        <v>5288.6365927069501</v>
      </c>
      <c r="T24" s="1">
        <v>275.43821873877903</v>
      </c>
      <c r="U24" s="1">
        <v>291.50110272359399</v>
      </c>
      <c r="V24" s="1">
        <v>2149.2329204698699</v>
      </c>
      <c r="W24" s="1">
        <v>0</v>
      </c>
      <c r="X24" s="1">
        <v>382.542578531017</v>
      </c>
      <c r="Y24" s="1">
        <v>97.253590692693905</v>
      </c>
      <c r="Z24" s="1">
        <v>148.15268487219399</v>
      </c>
      <c r="AA24" s="1">
        <v>87.947744949785701</v>
      </c>
      <c r="AB24" s="1">
        <v>89.172276540844607</v>
      </c>
      <c r="AC24" s="1">
        <v>60.261464503846902</v>
      </c>
      <c r="AD24" s="1">
        <v>59.113595578135701</v>
      </c>
      <c r="AE24" s="1">
        <v>91.462427872388801</v>
      </c>
    </row>
    <row r="25" spans="1:31" x14ac:dyDescent="0.25">
      <c r="A25" s="3" t="s">
        <v>24</v>
      </c>
      <c r="B25" s="1">
        <v>466.43794346230499</v>
      </c>
      <c r="C25" s="1">
        <v>85.078588115543596</v>
      </c>
      <c r="D25" s="1">
        <v>695.015395973404</v>
      </c>
      <c r="E25" s="1">
        <v>149.892549063796</v>
      </c>
      <c r="F25" s="1">
        <v>74.607207697523194</v>
      </c>
      <c r="G25" s="1">
        <v>79.994019037939196</v>
      </c>
      <c r="H25" s="1">
        <v>153.96050895996001</v>
      </c>
      <c r="I25" s="1">
        <v>290.67442741307099</v>
      </c>
      <c r="J25" s="1">
        <v>50.9919063851491</v>
      </c>
      <c r="K25" s="1">
        <v>130.74692569098499</v>
      </c>
      <c r="L25" s="1">
        <v>77.850455740382003</v>
      </c>
      <c r="M25" s="1">
        <v>10298.8325503918</v>
      </c>
      <c r="N25" s="1">
        <v>148.663763853831</v>
      </c>
      <c r="O25" s="1">
        <v>42.830173421787201</v>
      </c>
      <c r="P25" s="1">
        <v>51.102340662105199</v>
      </c>
      <c r="Q25" s="1">
        <v>61.702406720998503</v>
      </c>
      <c r="R25" s="1">
        <v>55.9202686679523</v>
      </c>
      <c r="S25" s="1">
        <v>457.42518964272602</v>
      </c>
      <c r="T25" s="1">
        <v>64.535075280175803</v>
      </c>
      <c r="U25" s="1">
        <v>57.355694795284599</v>
      </c>
      <c r="V25" s="1">
        <v>180.84674148257</v>
      </c>
      <c r="W25" s="1">
        <v>382.542578531017</v>
      </c>
      <c r="X25" s="1">
        <v>0</v>
      </c>
      <c r="Y25" s="1">
        <v>26.2456139282104</v>
      </c>
      <c r="Z25" s="1">
        <v>34.623441458575201</v>
      </c>
      <c r="AA25" s="1">
        <v>31.8265456513065</v>
      </c>
      <c r="AB25" s="1">
        <v>30.164778071791702</v>
      </c>
      <c r="AC25" s="1">
        <v>23.076555822608</v>
      </c>
      <c r="AD25" s="1">
        <v>25.3427307207916</v>
      </c>
      <c r="AE25" s="1">
        <v>38.306156162810097</v>
      </c>
    </row>
    <row r="26" spans="1:31" x14ac:dyDescent="0.25">
      <c r="A26" s="3" t="s">
        <v>25</v>
      </c>
      <c r="B26" s="1">
        <v>250.536465502807</v>
      </c>
      <c r="C26" s="1">
        <v>103.93343278555101</v>
      </c>
      <c r="D26" s="1">
        <v>71.030825711946406</v>
      </c>
      <c r="E26" s="1">
        <v>43.980225639992199</v>
      </c>
      <c r="F26" s="1">
        <v>275.78146888342002</v>
      </c>
      <c r="G26" s="1">
        <v>197.05170781331199</v>
      </c>
      <c r="H26" s="1">
        <v>163.354455979856</v>
      </c>
      <c r="I26" s="1">
        <v>114.154467240088</v>
      </c>
      <c r="J26" s="1">
        <v>403.86094972248497</v>
      </c>
      <c r="K26" s="1">
        <v>72.097558470770096</v>
      </c>
      <c r="L26" s="1">
        <v>44.857858468928498</v>
      </c>
      <c r="M26" s="1">
        <v>38.345574525158597</v>
      </c>
      <c r="N26" s="1">
        <v>31.955177089928799</v>
      </c>
      <c r="O26" s="1">
        <v>115.18563385655899</v>
      </c>
      <c r="P26" s="1">
        <v>27.3720827625041</v>
      </c>
      <c r="Q26" s="1">
        <v>58.072298623355103</v>
      </c>
      <c r="R26" s="1">
        <v>30.1401784989574</v>
      </c>
      <c r="S26" s="1">
        <v>62.295732024345902</v>
      </c>
      <c r="T26" s="1">
        <v>328.60226191855497</v>
      </c>
      <c r="U26" s="1">
        <v>336.149141062924</v>
      </c>
      <c r="V26" s="1">
        <v>108.026100308303</v>
      </c>
      <c r="W26" s="1">
        <v>97.253590692693905</v>
      </c>
      <c r="X26" s="1">
        <v>26.2456139282104</v>
      </c>
      <c r="Y26" s="1">
        <v>0</v>
      </c>
      <c r="Z26" s="1">
        <v>212.59973365523001</v>
      </c>
      <c r="AA26" s="1">
        <v>86.528348911245999</v>
      </c>
      <c r="AB26" s="1">
        <v>56.604872527711898</v>
      </c>
      <c r="AC26" s="1">
        <v>53.655651974278399</v>
      </c>
      <c r="AD26" s="1">
        <v>45.0627598262828</v>
      </c>
      <c r="AE26" s="1">
        <v>46.752060050958796</v>
      </c>
    </row>
    <row r="27" spans="1:31" x14ac:dyDescent="0.25">
      <c r="A27" s="3" t="s">
        <v>26</v>
      </c>
      <c r="B27" s="1">
        <v>624.98408395177705</v>
      </c>
      <c r="C27" s="1">
        <v>416.64090359677601</v>
      </c>
      <c r="D27" s="1">
        <v>121.739035312696</v>
      </c>
      <c r="E27" s="1">
        <v>92.398517891356803</v>
      </c>
      <c r="F27" s="1">
        <v>310.99303149479999</v>
      </c>
      <c r="G27" s="1">
        <v>377.12824164663402</v>
      </c>
      <c r="H27" s="1">
        <v>400.58746599690801</v>
      </c>
      <c r="I27" s="1">
        <v>213.23469604904901</v>
      </c>
      <c r="J27" s="1">
        <v>1017.94665965967</v>
      </c>
      <c r="K27" s="1">
        <v>191.21376168885899</v>
      </c>
      <c r="L27" s="1">
        <v>112.092866602632</v>
      </c>
      <c r="M27" s="1">
        <v>53.101881895817101</v>
      </c>
      <c r="N27" s="1">
        <v>56.1790520456031</v>
      </c>
      <c r="O27" s="1">
        <v>680.92309207734502</v>
      </c>
      <c r="P27" s="1">
        <v>51.0806655597682</v>
      </c>
      <c r="Q27" s="1">
        <v>170.98483752997299</v>
      </c>
      <c r="R27" s="1">
        <v>65.778374285028406</v>
      </c>
      <c r="S27" s="1">
        <v>102.08842634764</v>
      </c>
      <c r="T27" s="1">
        <v>143.953105721404</v>
      </c>
      <c r="U27" s="1">
        <v>179.08967134230599</v>
      </c>
      <c r="V27" s="1">
        <v>122.75515594227301</v>
      </c>
      <c r="W27" s="1">
        <v>148.15268487219399</v>
      </c>
      <c r="X27" s="1">
        <v>34.623441458575201</v>
      </c>
      <c r="Y27" s="1">
        <v>212.59973365523001</v>
      </c>
      <c r="Z27" s="1">
        <v>0</v>
      </c>
      <c r="AA27" s="1">
        <v>197.93192013798699</v>
      </c>
      <c r="AB27" s="1">
        <v>187.96981638473801</v>
      </c>
      <c r="AC27" s="1">
        <v>109.604238649916</v>
      </c>
      <c r="AD27" s="1">
        <v>76.377187448434796</v>
      </c>
      <c r="AE27" s="1">
        <v>103.122471643906</v>
      </c>
    </row>
    <row r="28" spans="1:31" x14ac:dyDescent="0.25">
      <c r="A28" s="3" t="s">
        <v>27</v>
      </c>
      <c r="B28" s="1">
        <v>347.96921668350097</v>
      </c>
      <c r="C28" s="1">
        <v>152.89477518465301</v>
      </c>
      <c r="D28" s="1">
        <v>97.713587834651193</v>
      </c>
      <c r="E28" s="1">
        <v>95.538300973709198</v>
      </c>
      <c r="F28" s="1">
        <v>91.935949113180001</v>
      </c>
      <c r="G28" s="1">
        <v>99.338074912285194</v>
      </c>
      <c r="H28" s="1">
        <v>143.34553891000999</v>
      </c>
      <c r="I28" s="1">
        <v>115.106128377942</v>
      </c>
      <c r="J28" s="1">
        <v>128.37557696731801</v>
      </c>
      <c r="K28" s="1">
        <v>168.26481442002199</v>
      </c>
      <c r="L28" s="1">
        <v>139.25534393991799</v>
      </c>
      <c r="M28" s="1">
        <v>49.372834633315499</v>
      </c>
      <c r="N28" s="1">
        <v>74.020775775780805</v>
      </c>
      <c r="O28" s="1">
        <v>693.27435059593495</v>
      </c>
      <c r="P28" s="1">
        <v>107.306435498876</v>
      </c>
      <c r="Q28" s="1">
        <v>262.53613354932799</v>
      </c>
      <c r="R28" s="1">
        <v>109.300823507475</v>
      </c>
      <c r="S28" s="1">
        <v>70.582019528161695</v>
      </c>
      <c r="T28" s="1">
        <v>71.030963461194901</v>
      </c>
      <c r="U28" s="1">
        <v>70.105277629295898</v>
      </c>
      <c r="V28" s="1">
        <v>65.826792805811607</v>
      </c>
      <c r="W28" s="1">
        <v>87.947744949785701</v>
      </c>
      <c r="X28" s="1">
        <v>31.8265456513065</v>
      </c>
      <c r="Y28" s="1">
        <v>86.528348911245999</v>
      </c>
      <c r="Z28" s="1">
        <v>197.93192013798699</v>
      </c>
      <c r="AA28" s="1">
        <v>0</v>
      </c>
      <c r="AB28" s="1">
        <v>831.14408150755605</v>
      </c>
      <c r="AC28" s="1">
        <v>6326.2798668544401</v>
      </c>
      <c r="AD28" s="1">
        <v>744.98121894823601</v>
      </c>
      <c r="AE28" s="1">
        <v>517.66123854102295</v>
      </c>
    </row>
    <row r="29" spans="1:31" x14ac:dyDescent="0.25">
      <c r="A29" s="3" t="s">
        <v>28</v>
      </c>
      <c r="B29" s="1">
        <v>438.56915119691598</v>
      </c>
      <c r="C29" s="1">
        <v>212.44661549632801</v>
      </c>
      <c r="D29" s="1">
        <v>106.759065797807</v>
      </c>
      <c r="E29" s="1">
        <v>124.28743942488001</v>
      </c>
      <c r="F29" s="1">
        <v>82.016072475659598</v>
      </c>
      <c r="G29" s="1">
        <v>96.9761219616707</v>
      </c>
      <c r="H29" s="1">
        <v>159.707457217316</v>
      </c>
      <c r="I29" s="1">
        <v>125.37891706681</v>
      </c>
      <c r="J29" s="1">
        <v>114.10040028634199</v>
      </c>
      <c r="K29" s="1">
        <v>259.27270400101901</v>
      </c>
      <c r="L29" s="1">
        <v>230.209239950399</v>
      </c>
      <c r="M29" s="1">
        <v>47.943059900874502</v>
      </c>
      <c r="N29" s="1">
        <v>83.276595372488302</v>
      </c>
      <c r="O29" s="1">
        <v>1542.3158066226499</v>
      </c>
      <c r="P29" s="1">
        <v>123.80556882160801</v>
      </c>
      <c r="Q29" s="1">
        <v>650.52015007573095</v>
      </c>
      <c r="R29" s="1">
        <v>160.81085805028201</v>
      </c>
      <c r="S29" s="1">
        <v>74.578719898297706</v>
      </c>
      <c r="T29" s="1">
        <v>54.742143129312801</v>
      </c>
      <c r="U29" s="1">
        <v>56.479464257363702</v>
      </c>
      <c r="V29" s="1">
        <v>60.479909495003398</v>
      </c>
      <c r="W29" s="1">
        <v>89.172276540844607</v>
      </c>
      <c r="X29" s="1">
        <v>30.164778071791702</v>
      </c>
      <c r="Y29" s="1">
        <v>56.604872527711898</v>
      </c>
      <c r="Z29" s="1">
        <v>187.96981638473801</v>
      </c>
      <c r="AA29" s="1">
        <v>831.14408150755605</v>
      </c>
      <c r="AB29" s="1">
        <v>0</v>
      </c>
      <c r="AC29" s="1">
        <v>473.43907572586301</v>
      </c>
      <c r="AD29" s="1">
        <v>245.38961794286999</v>
      </c>
      <c r="AE29" s="1">
        <v>687.99272818140798</v>
      </c>
    </row>
    <row r="30" spans="1:31" x14ac:dyDescent="0.25">
      <c r="A30" s="3" t="s">
        <v>29</v>
      </c>
      <c r="B30" s="1">
        <v>233.28069566267499</v>
      </c>
      <c r="C30" s="1">
        <v>97.0209227234065</v>
      </c>
      <c r="D30" s="1">
        <v>69.183801240293107</v>
      </c>
      <c r="E30" s="1">
        <v>68.956578953213594</v>
      </c>
      <c r="F30" s="1">
        <v>58.892632081716002</v>
      </c>
      <c r="G30" s="1">
        <v>63.266806670700198</v>
      </c>
      <c r="H30" s="1">
        <v>93.095682345069207</v>
      </c>
      <c r="I30" s="1">
        <v>77.832284920789604</v>
      </c>
      <c r="J30" s="1">
        <v>77.852090929283307</v>
      </c>
      <c r="K30" s="1">
        <v>116.302133809201</v>
      </c>
      <c r="L30" s="1">
        <v>100.173464650585</v>
      </c>
      <c r="M30" s="1">
        <v>35.840535452797901</v>
      </c>
      <c r="N30" s="1">
        <v>56.208234269873799</v>
      </c>
      <c r="O30" s="1">
        <v>343.26708363689698</v>
      </c>
      <c r="P30" s="1">
        <v>88.397598406639204</v>
      </c>
      <c r="Q30" s="1">
        <v>183.570520632918</v>
      </c>
      <c r="R30" s="1">
        <v>83.717675678319196</v>
      </c>
      <c r="S30" s="1">
        <v>49.145291042583601</v>
      </c>
      <c r="T30" s="1">
        <v>47.035692739931903</v>
      </c>
      <c r="U30" s="1">
        <v>45.584327494819298</v>
      </c>
      <c r="V30" s="1">
        <v>44.621266076909102</v>
      </c>
      <c r="W30" s="1">
        <v>60.261464503846902</v>
      </c>
      <c r="X30" s="1">
        <v>23.076555822608</v>
      </c>
      <c r="Y30" s="1">
        <v>53.655651974278399</v>
      </c>
      <c r="Z30" s="1">
        <v>109.604238649916</v>
      </c>
      <c r="AA30" s="1">
        <v>6326.2798668544401</v>
      </c>
      <c r="AB30" s="1">
        <v>473.43907572586301</v>
      </c>
      <c r="AC30" s="1">
        <v>0</v>
      </c>
      <c r="AD30" s="1">
        <v>1180.2895912301899</v>
      </c>
      <c r="AE30" s="1">
        <v>493.33814827625997</v>
      </c>
    </row>
    <row r="31" spans="1:31" x14ac:dyDescent="0.25">
      <c r="A31" s="3" t="s">
        <v>30</v>
      </c>
      <c r="B31" s="1">
        <v>214.66894306263299</v>
      </c>
      <c r="C31" s="1">
        <v>80.761423916021698</v>
      </c>
      <c r="D31" s="1">
        <v>71.303388700494907</v>
      </c>
      <c r="E31" s="1">
        <v>71.362265893348507</v>
      </c>
      <c r="F31" s="1">
        <v>51.863714503782603</v>
      </c>
      <c r="G31" s="1">
        <v>54.827510351846101</v>
      </c>
      <c r="H31" s="1">
        <v>82.405970614839006</v>
      </c>
      <c r="I31" s="1">
        <v>73.986836137594295</v>
      </c>
      <c r="J31" s="1">
        <v>62.596284682225999</v>
      </c>
      <c r="K31" s="1">
        <v>109.060459967399</v>
      </c>
      <c r="L31" s="1">
        <v>98.296726230523802</v>
      </c>
      <c r="M31" s="1">
        <v>39.321737425873003</v>
      </c>
      <c r="N31" s="1">
        <v>65.317752451387094</v>
      </c>
      <c r="O31" s="1">
        <v>191.497781036145</v>
      </c>
      <c r="P31" s="1">
        <v>116.732988586831</v>
      </c>
      <c r="Q31" s="1">
        <v>160.025240712483</v>
      </c>
      <c r="R31" s="1">
        <v>92.130491567498595</v>
      </c>
      <c r="S31" s="1">
        <v>49.378202039834697</v>
      </c>
      <c r="T31" s="1">
        <v>44.236936452719398</v>
      </c>
      <c r="U31" s="1">
        <v>41.4237801178434</v>
      </c>
      <c r="V31" s="1">
        <v>43.338736448874201</v>
      </c>
      <c r="W31" s="1">
        <v>59.113595578135701</v>
      </c>
      <c r="X31" s="1">
        <v>25.3427307207916</v>
      </c>
      <c r="Y31" s="1">
        <v>45.0627598262828</v>
      </c>
      <c r="Z31" s="1">
        <v>76.377187448434796</v>
      </c>
      <c r="AA31" s="1">
        <v>744.98121894823601</v>
      </c>
      <c r="AB31" s="1">
        <v>245.38961794286999</v>
      </c>
      <c r="AC31" s="1">
        <v>1180.2895912301899</v>
      </c>
      <c r="AD31" s="1">
        <v>0</v>
      </c>
      <c r="AE31" s="1">
        <v>574.59157847953804</v>
      </c>
    </row>
    <row r="32" spans="1:31" x14ac:dyDescent="0.25">
      <c r="A32" s="3" t="s">
        <v>31</v>
      </c>
      <c r="B32" s="1">
        <v>398.19311773344401</v>
      </c>
      <c r="C32" s="1">
        <v>149.53389073865901</v>
      </c>
      <c r="D32" s="1">
        <v>124.20201965374</v>
      </c>
      <c r="E32" s="1">
        <v>158.90466052665801</v>
      </c>
      <c r="F32" s="1">
        <v>68.849747772251504</v>
      </c>
      <c r="G32" s="1">
        <v>78.161893217819397</v>
      </c>
      <c r="H32" s="1">
        <v>132.46202662293601</v>
      </c>
      <c r="I32" s="1">
        <v>121.260953339868</v>
      </c>
      <c r="J32" s="1">
        <v>82.0138770219192</v>
      </c>
      <c r="K32" s="1">
        <v>259.319996284475</v>
      </c>
      <c r="L32" s="1">
        <v>287.29822629956197</v>
      </c>
      <c r="M32" s="1">
        <v>61.354190114039703</v>
      </c>
      <c r="N32" s="1">
        <v>135.83564394841301</v>
      </c>
      <c r="O32" s="1">
        <v>338.39731868438298</v>
      </c>
      <c r="P32" s="1">
        <v>347.49551193053497</v>
      </c>
      <c r="Q32" s="1">
        <v>598.88206377712402</v>
      </c>
      <c r="R32" s="1">
        <v>307.53511917178201</v>
      </c>
      <c r="S32" s="1">
        <v>81.085768599548501</v>
      </c>
      <c r="T32" s="1">
        <v>51.821735400628903</v>
      </c>
      <c r="U32" s="1">
        <v>50.518439510213803</v>
      </c>
      <c r="V32" s="1">
        <v>60.310953947205</v>
      </c>
      <c r="W32" s="1">
        <v>91.462427872388801</v>
      </c>
      <c r="X32" s="1">
        <v>38.306156162810097</v>
      </c>
      <c r="Y32" s="1">
        <v>46.752060050958796</v>
      </c>
      <c r="Z32" s="1">
        <v>103.122471643906</v>
      </c>
      <c r="AA32" s="1">
        <v>517.66123854102295</v>
      </c>
      <c r="AB32" s="1">
        <v>687.99272818140798</v>
      </c>
      <c r="AC32" s="1">
        <v>493.33814827625997</v>
      </c>
      <c r="AD32" s="1">
        <v>574.59157847953804</v>
      </c>
      <c r="AE32" s="1">
        <v>0</v>
      </c>
    </row>
    <row r="35" spans="1:31" x14ac:dyDescent="0.25">
      <c r="B35" s="4" t="s">
        <v>34</v>
      </c>
      <c r="C35" s="1">
        <f>474414.62566606/870</f>
        <v>545.30416743225305</v>
      </c>
    </row>
    <row r="36" spans="1:31" x14ac:dyDescent="0.25"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  <c r="U36" s="3" t="s">
        <v>21</v>
      </c>
      <c r="V36" s="3" t="s">
        <v>22</v>
      </c>
      <c r="W36" s="3" t="s">
        <v>23</v>
      </c>
      <c r="X36" s="3" t="s">
        <v>24</v>
      </c>
      <c r="Y36" s="3" t="s">
        <v>25</v>
      </c>
      <c r="Z36" s="3" t="s">
        <v>26</v>
      </c>
      <c r="AA36" s="3" t="s">
        <v>27</v>
      </c>
      <c r="AB36" s="3" t="s">
        <v>28</v>
      </c>
      <c r="AC36" s="3" t="s">
        <v>29</v>
      </c>
      <c r="AD36" s="3" t="s">
        <v>30</v>
      </c>
      <c r="AE36" s="3" t="s">
        <v>31</v>
      </c>
    </row>
    <row r="37" spans="1:31" x14ac:dyDescent="0.25">
      <c r="A37" s="3" t="s">
        <v>2</v>
      </c>
      <c r="B37" s="1">
        <f t="shared" ref="B37:AE37" si="0">IF(B3&gt;545.31,1,0)</f>
        <v>0</v>
      </c>
      <c r="C37" s="1">
        <f t="shared" si="0"/>
        <v>1</v>
      </c>
      <c r="D37" s="1">
        <f t="shared" si="0"/>
        <v>1</v>
      </c>
      <c r="E37" s="1">
        <f t="shared" si="0"/>
        <v>1</v>
      </c>
      <c r="F37" s="1">
        <f t="shared" si="0"/>
        <v>1</v>
      </c>
      <c r="G37" s="1">
        <f t="shared" si="0"/>
        <v>1</v>
      </c>
      <c r="H37" s="1">
        <f t="shared" si="0"/>
        <v>1</v>
      </c>
      <c r="I37" s="1">
        <f t="shared" si="0"/>
        <v>1</v>
      </c>
      <c r="J37" s="1">
        <f t="shared" si="0"/>
        <v>1</v>
      </c>
      <c r="K37" s="1">
        <f t="shared" si="0"/>
        <v>1</v>
      </c>
      <c r="L37" s="1">
        <f t="shared" si="0"/>
        <v>1</v>
      </c>
      <c r="M37" s="1">
        <f t="shared" si="0"/>
        <v>1</v>
      </c>
      <c r="N37" s="1">
        <f t="shared" si="0"/>
        <v>1</v>
      </c>
      <c r="O37" s="1">
        <f t="shared" si="0"/>
        <v>1</v>
      </c>
      <c r="P37" s="1">
        <f t="shared" si="0"/>
        <v>0</v>
      </c>
      <c r="Q37" s="1">
        <f t="shared" si="0"/>
        <v>1</v>
      </c>
      <c r="R37" s="1">
        <f t="shared" si="0"/>
        <v>1</v>
      </c>
      <c r="S37" s="1">
        <f t="shared" si="0"/>
        <v>1</v>
      </c>
      <c r="T37" s="1">
        <f t="shared" si="0"/>
        <v>0</v>
      </c>
      <c r="U37" s="1">
        <f t="shared" si="0"/>
        <v>0</v>
      </c>
      <c r="V37" s="1">
        <f t="shared" si="0"/>
        <v>1</v>
      </c>
      <c r="W37" s="1">
        <f t="shared" si="0"/>
        <v>1</v>
      </c>
      <c r="X37" s="1">
        <f t="shared" si="0"/>
        <v>0</v>
      </c>
      <c r="Y37" s="1">
        <f t="shared" si="0"/>
        <v>0</v>
      </c>
      <c r="Z37" s="1">
        <f t="shared" si="0"/>
        <v>1</v>
      </c>
      <c r="AA37" s="1">
        <f t="shared" si="0"/>
        <v>0</v>
      </c>
      <c r="AB37" s="1">
        <f t="shared" si="0"/>
        <v>0</v>
      </c>
      <c r="AC37" s="1">
        <f t="shared" si="0"/>
        <v>0</v>
      </c>
      <c r="AD37" s="1">
        <f t="shared" si="0"/>
        <v>0</v>
      </c>
      <c r="AE37" s="1">
        <f t="shared" si="0"/>
        <v>0</v>
      </c>
    </row>
    <row r="38" spans="1:31" x14ac:dyDescent="0.25">
      <c r="A38" s="3" t="s">
        <v>3</v>
      </c>
      <c r="B38" s="1">
        <f t="shared" ref="B38:AE38" si="1">IF(B4&gt;545.31,1,0)</f>
        <v>1</v>
      </c>
      <c r="C38" s="1">
        <f t="shared" si="1"/>
        <v>0</v>
      </c>
      <c r="D38" s="1">
        <f t="shared" si="1"/>
        <v>0</v>
      </c>
      <c r="E38" s="1">
        <f t="shared" si="1"/>
        <v>0</v>
      </c>
      <c r="F38" s="1">
        <f t="shared" si="1"/>
        <v>0</v>
      </c>
      <c r="G38" s="1">
        <f t="shared" si="1"/>
        <v>1</v>
      </c>
      <c r="H38" s="1">
        <f t="shared" si="1"/>
        <v>1</v>
      </c>
      <c r="I38" s="1">
        <f t="shared" si="1"/>
        <v>1</v>
      </c>
      <c r="J38" s="1">
        <f t="shared" si="1"/>
        <v>0</v>
      </c>
      <c r="K38" s="1">
        <f t="shared" si="1"/>
        <v>1</v>
      </c>
      <c r="L38" s="1">
        <f t="shared" si="1"/>
        <v>0</v>
      </c>
      <c r="M38" s="1">
        <f t="shared" si="1"/>
        <v>0</v>
      </c>
      <c r="N38" s="1">
        <f t="shared" si="1"/>
        <v>0</v>
      </c>
      <c r="O38" s="1">
        <f t="shared" si="1"/>
        <v>0</v>
      </c>
      <c r="P38" s="1">
        <f t="shared" si="1"/>
        <v>0</v>
      </c>
      <c r="Q38" s="1">
        <f t="shared" si="1"/>
        <v>0</v>
      </c>
      <c r="R38" s="1">
        <f t="shared" si="1"/>
        <v>0</v>
      </c>
      <c r="S38" s="1">
        <f t="shared" si="1"/>
        <v>0</v>
      </c>
      <c r="T38" s="1">
        <f t="shared" si="1"/>
        <v>0</v>
      </c>
      <c r="U38" s="1">
        <f t="shared" si="1"/>
        <v>0</v>
      </c>
      <c r="V38" s="1">
        <f t="shared" si="1"/>
        <v>0</v>
      </c>
      <c r="W38" s="1">
        <f t="shared" si="1"/>
        <v>0</v>
      </c>
      <c r="X38" s="1">
        <f t="shared" si="1"/>
        <v>0</v>
      </c>
      <c r="Y38" s="1">
        <f t="shared" si="1"/>
        <v>0</v>
      </c>
      <c r="Z38" s="1">
        <f t="shared" si="1"/>
        <v>0</v>
      </c>
      <c r="AA38" s="1">
        <f t="shared" si="1"/>
        <v>0</v>
      </c>
      <c r="AB38" s="1">
        <f t="shared" si="1"/>
        <v>0</v>
      </c>
      <c r="AC38" s="1">
        <f t="shared" si="1"/>
        <v>0</v>
      </c>
      <c r="AD38" s="1">
        <f t="shared" si="1"/>
        <v>0</v>
      </c>
      <c r="AE38" s="1">
        <f t="shared" si="1"/>
        <v>0</v>
      </c>
    </row>
    <row r="39" spans="1:31" x14ac:dyDescent="0.25">
      <c r="A39" s="3" t="s">
        <v>4</v>
      </c>
      <c r="B39" s="1">
        <f t="shared" ref="B39:AE39" si="2">IF(B5&gt;545.31,1,0)</f>
        <v>1</v>
      </c>
      <c r="C39" s="1">
        <f t="shared" si="2"/>
        <v>0</v>
      </c>
      <c r="D39" s="1">
        <f t="shared" si="2"/>
        <v>0</v>
      </c>
      <c r="E39" s="1">
        <f t="shared" si="2"/>
        <v>1</v>
      </c>
      <c r="F39" s="1">
        <f t="shared" si="2"/>
        <v>0</v>
      </c>
      <c r="G39" s="1">
        <f t="shared" si="2"/>
        <v>0</v>
      </c>
      <c r="H39" s="1">
        <f t="shared" si="2"/>
        <v>1</v>
      </c>
      <c r="I39" s="1">
        <f t="shared" si="2"/>
        <v>1</v>
      </c>
      <c r="J39" s="1">
        <f t="shared" si="2"/>
        <v>0</v>
      </c>
      <c r="K39" s="1">
        <f t="shared" si="2"/>
        <v>1</v>
      </c>
      <c r="L39" s="1">
        <f t="shared" si="2"/>
        <v>0</v>
      </c>
      <c r="M39" s="1">
        <f t="shared" si="2"/>
        <v>1</v>
      </c>
      <c r="N39" s="1">
        <f t="shared" si="2"/>
        <v>1</v>
      </c>
      <c r="O39" s="1">
        <f t="shared" si="2"/>
        <v>0</v>
      </c>
      <c r="P39" s="1">
        <f t="shared" si="2"/>
        <v>0</v>
      </c>
      <c r="Q39" s="1">
        <f t="shared" si="2"/>
        <v>0</v>
      </c>
      <c r="R39" s="1">
        <f t="shared" si="2"/>
        <v>0</v>
      </c>
      <c r="S39" s="1">
        <f t="shared" si="2"/>
        <v>1</v>
      </c>
      <c r="T39" s="1">
        <f t="shared" si="2"/>
        <v>0</v>
      </c>
      <c r="U39" s="1">
        <f t="shared" si="2"/>
        <v>0</v>
      </c>
      <c r="V39" s="1">
        <f t="shared" si="2"/>
        <v>0</v>
      </c>
      <c r="W39" s="1">
        <f t="shared" si="2"/>
        <v>1</v>
      </c>
      <c r="X39" s="1">
        <f t="shared" si="2"/>
        <v>1</v>
      </c>
      <c r="Y39" s="1">
        <f t="shared" si="2"/>
        <v>0</v>
      </c>
      <c r="Z39" s="1">
        <f t="shared" si="2"/>
        <v>0</v>
      </c>
      <c r="AA39" s="1">
        <f t="shared" si="2"/>
        <v>0</v>
      </c>
      <c r="AB39" s="1">
        <f t="shared" si="2"/>
        <v>0</v>
      </c>
      <c r="AC39" s="1">
        <f t="shared" si="2"/>
        <v>0</v>
      </c>
      <c r="AD39" s="1">
        <f t="shared" si="2"/>
        <v>0</v>
      </c>
      <c r="AE39" s="1">
        <f t="shared" si="2"/>
        <v>0</v>
      </c>
    </row>
    <row r="40" spans="1:31" x14ac:dyDescent="0.25">
      <c r="A40" s="3" t="s">
        <v>5</v>
      </c>
      <c r="B40" s="1">
        <f t="shared" ref="B40:AE40" si="3">IF(B6&gt;545.31,1,0)</f>
        <v>1</v>
      </c>
      <c r="C40" s="1">
        <f t="shared" si="3"/>
        <v>0</v>
      </c>
      <c r="D40" s="1">
        <f t="shared" si="3"/>
        <v>1</v>
      </c>
      <c r="E40" s="1">
        <f t="shared" si="3"/>
        <v>0</v>
      </c>
      <c r="F40" s="1">
        <f t="shared" si="3"/>
        <v>0</v>
      </c>
      <c r="G40" s="1">
        <f t="shared" si="3"/>
        <v>0</v>
      </c>
      <c r="H40" s="1">
        <f t="shared" si="3"/>
        <v>0</v>
      </c>
      <c r="I40" s="1">
        <f t="shared" si="3"/>
        <v>0</v>
      </c>
      <c r="J40" s="1">
        <f t="shared" si="3"/>
        <v>0</v>
      </c>
      <c r="K40" s="1">
        <f t="shared" si="3"/>
        <v>1</v>
      </c>
      <c r="L40" s="1">
        <f t="shared" si="3"/>
        <v>1</v>
      </c>
      <c r="M40" s="1">
        <f t="shared" si="3"/>
        <v>0</v>
      </c>
      <c r="N40" s="1">
        <f t="shared" si="3"/>
        <v>1</v>
      </c>
      <c r="O40" s="1">
        <f t="shared" si="3"/>
        <v>0</v>
      </c>
      <c r="P40" s="1">
        <f t="shared" si="3"/>
        <v>0</v>
      </c>
      <c r="Q40" s="1">
        <f t="shared" si="3"/>
        <v>0</v>
      </c>
      <c r="R40" s="1">
        <f t="shared" si="3"/>
        <v>1</v>
      </c>
      <c r="S40" s="1">
        <f t="shared" si="3"/>
        <v>0</v>
      </c>
      <c r="T40" s="1">
        <f t="shared" si="3"/>
        <v>0</v>
      </c>
      <c r="U40" s="1">
        <f t="shared" si="3"/>
        <v>0</v>
      </c>
      <c r="V40" s="1">
        <f t="shared" si="3"/>
        <v>0</v>
      </c>
      <c r="W40" s="1">
        <f t="shared" si="3"/>
        <v>0</v>
      </c>
      <c r="X40" s="1">
        <f t="shared" si="3"/>
        <v>0</v>
      </c>
      <c r="Y40" s="1">
        <f t="shared" si="3"/>
        <v>0</v>
      </c>
      <c r="Z40" s="1">
        <f t="shared" si="3"/>
        <v>0</v>
      </c>
      <c r="AA40" s="1">
        <f t="shared" si="3"/>
        <v>0</v>
      </c>
      <c r="AB40" s="1">
        <f t="shared" si="3"/>
        <v>0</v>
      </c>
      <c r="AC40" s="1">
        <f t="shared" si="3"/>
        <v>0</v>
      </c>
      <c r="AD40" s="1">
        <f t="shared" si="3"/>
        <v>0</v>
      </c>
      <c r="AE40" s="1">
        <f t="shared" si="3"/>
        <v>0</v>
      </c>
    </row>
    <row r="41" spans="1:31" x14ac:dyDescent="0.25">
      <c r="A41" s="3" t="s">
        <v>6</v>
      </c>
      <c r="B41" s="1">
        <f t="shared" ref="B41:AE41" si="4">IF(B7&gt;545.31,1,0)</f>
        <v>1</v>
      </c>
      <c r="C41" s="1">
        <f t="shared" si="4"/>
        <v>0</v>
      </c>
      <c r="D41" s="1">
        <f t="shared" si="4"/>
        <v>0</v>
      </c>
      <c r="E41" s="1">
        <f t="shared" si="4"/>
        <v>0</v>
      </c>
      <c r="F41" s="1">
        <f t="shared" si="4"/>
        <v>0</v>
      </c>
      <c r="G41" s="1">
        <f t="shared" si="4"/>
        <v>1</v>
      </c>
      <c r="H41" s="1">
        <f t="shared" si="4"/>
        <v>1</v>
      </c>
      <c r="I41" s="1">
        <f t="shared" si="4"/>
        <v>1</v>
      </c>
      <c r="J41" s="1">
        <f t="shared" si="4"/>
        <v>1</v>
      </c>
      <c r="K41" s="1">
        <f t="shared" si="4"/>
        <v>0</v>
      </c>
      <c r="L41" s="1">
        <f t="shared" si="4"/>
        <v>0</v>
      </c>
      <c r="M41" s="1">
        <f t="shared" si="4"/>
        <v>0</v>
      </c>
      <c r="N41" s="1">
        <f t="shared" si="4"/>
        <v>0</v>
      </c>
      <c r="O41" s="1">
        <f t="shared" si="4"/>
        <v>0</v>
      </c>
      <c r="P41" s="1">
        <f t="shared" si="4"/>
        <v>0</v>
      </c>
      <c r="Q41" s="1">
        <f t="shared" si="4"/>
        <v>0</v>
      </c>
      <c r="R41" s="1">
        <f t="shared" si="4"/>
        <v>0</v>
      </c>
      <c r="S41" s="1">
        <f t="shared" si="4"/>
        <v>0</v>
      </c>
      <c r="T41" s="1">
        <f t="shared" si="4"/>
        <v>1</v>
      </c>
      <c r="U41" s="1">
        <f t="shared" si="4"/>
        <v>1</v>
      </c>
      <c r="V41" s="1">
        <f t="shared" si="4"/>
        <v>1</v>
      </c>
      <c r="W41" s="1">
        <f t="shared" si="4"/>
        <v>0</v>
      </c>
      <c r="X41" s="1">
        <f t="shared" si="4"/>
        <v>0</v>
      </c>
      <c r="Y41" s="1">
        <f t="shared" si="4"/>
        <v>0</v>
      </c>
      <c r="Z41" s="1">
        <f t="shared" si="4"/>
        <v>0</v>
      </c>
      <c r="AA41" s="1">
        <f t="shared" si="4"/>
        <v>0</v>
      </c>
      <c r="AB41" s="1">
        <f t="shared" si="4"/>
        <v>0</v>
      </c>
      <c r="AC41" s="1">
        <f t="shared" si="4"/>
        <v>0</v>
      </c>
      <c r="AD41" s="1">
        <f t="shared" si="4"/>
        <v>0</v>
      </c>
      <c r="AE41" s="1">
        <f t="shared" si="4"/>
        <v>0</v>
      </c>
    </row>
    <row r="42" spans="1:31" x14ac:dyDescent="0.25">
      <c r="A42" s="3" t="s">
        <v>7</v>
      </c>
      <c r="B42" s="1">
        <f t="shared" ref="B42:AE42" si="5">IF(B8&gt;545.31,1,0)</f>
        <v>1</v>
      </c>
      <c r="C42" s="1">
        <f t="shared" si="5"/>
        <v>1</v>
      </c>
      <c r="D42" s="1">
        <f t="shared" si="5"/>
        <v>0</v>
      </c>
      <c r="E42" s="1">
        <f t="shared" si="5"/>
        <v>0</v>
      </c>
      <c r="F42" s="1">
        <f t="shared" si="5"/>
        <v>1</v>
      </c>
      <c r="G42" s="1">
        <f t="shared" si="5"/>
        <v>0</v>
      </c>
      <c r="H42" s="1">
        <f t="shared" si="5"/>
        <v>1</v>
      </c>
      <c r="I42" s="1">
        <f t="shared" si="5"/>
        <v>1</v>
      </c>
      <c r="J42" s="1">
        <f t="shared" si="5"/>
        <v>1</v>
      </c>
      <c r="K42" s="1">
        <f t="shared" si="5"/>
        <v>0</v>
      </c>
      <c r="L42" s="1">
        <f t="shared" si="5"/>
        <v>0</v>
      </c>
      <c r="M42" s="1">
        <f t="shared" si="5"/>
        <v>0</v>
      </c>
      <c r="N42" s="1">
        <f t="shared" si="5"/>
        <v>0</v>
      </c>
      <c r="O42" s="1">
        <f t="shared" si="5"/>
        <v>0</v>
      </c>
      <c r="P42" s="1">
        <f t="shared" si="5"/>
        <v>0</v>
      </c>
      <c r="Q42" s="1">
        <f t="shared" si="5"/>
        <v>0</v>
      </c>
      <c r="R42" s="1">
        <f t="shared" si="5"/>
        <v>0</v>
      </c>
      <c r="S42" s="1">
        <f t="shared" si="5"/>
        <v>0</v>
      </c>
      <c r="T42" s="1">
        <f t="shared" si="5"/>
        <v>0</v>
      </c>
      <c r="U42" s="1">
        <f t="shared" si="5"/>
        <v>1</v>
      </c>
      <c r="V42" s="1">
        <f t="shared" si="5"/>
        <v>1</v>
      </c>
      <c r="W42" s="1">
        <f t="shared" si="5"/>
        <v>1</v>
      </c>
      <c r="X42" s="1">
        <f t="shared" si="5"/>
        <v>0</v>
      </c>
      <c r="Y42" s="1">
        <f t="shared" si="5"/>
        <v>0</v>
      </c>
      <c r="Z42" s="1">
        <f t="shared" si="5"/>
        <v>0</v>
      </c>
      <c r="AA42" s="1">
        <f t="shared" si="5"/>
        <v>0</v>
      </c>
      <c r="AB42" s="1">
        <f t="shared" si="5"/>
        <v>0</v>
      </c>
      <c r="AC42" s="1">
        <f t="shared" si="5"/>
        <v>0</v>
      </c>
      <c r="AD42" s="1">
        <f t="shared" si="5"/>
        <v>0</v>
      </c>
      <c r="AE42" s="1">
        <f t="shared" si="5"/>
        <v>0</v>
      </c>
    </row>
    <row r="43" spans="1:31" x14ac:dyDescent="0.25">
      <c r="A43" s="3" t="s">
        <v>8</v>
      </c>
      <c r="B43" s="1">
        <f t="shared" ref="B43:AE43" si="6">IF(B9&gt;545.31,1,0)</f>
        <v>1</v>
      </c>
      <c r="C43" s="1">
        <f t="shared" si="6"/>
        <v>1</v>
      </c>
      <c r="D43" s="1">
        <f t="shared" si="6"/>
        <v>1</v>
      </c>
      <c r="E43" s="1">
        <f t="shared" si="6"/>
        <v>0</v>
      </c>
      <c r="F43" s="1">
        <f t="shared" si="6"/>
        <v>1</v>
      </c>
      <c r="G43" s="1">
        <f t="shared" si="6"/>
        <v>1</v>
      </c>
      <c r="H43" s="1">
        <f t="shared" si="6"/>
        <v>0</v>
      </c>
      <c r="I43" s="1">
        <f t="shared" si="6"/>
        <v>1</v>
      </c>
      <c r="J43" s="1">
        <f t="shared" si="6"/>
        <v>1</v>
      </c>
      <c r="K43" s="1">
        <f t="shared" si="6"/>
        <v>1</v>
      </c>
      <c r="L43" s="1">
        <f t="shared" si="6"/>
        <v>0</v>
      </c>
      <c r="M43" s="1">
        <f t="shared" si="6"/>
        <v>0</v>
      </c>
      <c r="N43" s="1">
        <f t="shared" si="6"/>
        <v>0</v>
      </c>
      <c r="O43" s="1">
        <f t="shared" si="6"/>
        <v>0</v>
      </c>
      <c r="P43" s="1">
        <f t="shared" si="6"/>
        <v>0</v>
      </c>
      <c r="Q43" s="1">
        <f t="shared" si="6"/>
        <v>0</v>
      </c>
      <c r="R43" s="1">
        <f t="shared" si="6"/>
        <v>0</v>
      </c>
      <c r="S43" s="1">
        <f t="shared" si="6"/>
        <v>1</v>
      </c>
      <c r="T43" s="1">
        <f t="shared" si="6"/>
        <v>0</v>
      </c>
      <c r="U43" s="1">
        <f t="shared" si="6"/>
        <v>0</v>
      </c>
      <c r="V43" s="1">
        <f t="shared" si="6"/>
        <v>1</v>
      </c>
      <c r="W43" s="1">
        <f t="shared" si="6"/>
        <v>1</v>
      </c>
      <c r="X43" s="1">
        <f t="shared" si="6"/>
        <v>0</v>
      </c>
      <c r="Y43" s="1">
        <f t="shared" si="6"/>
        <v>0</v>
      </c>
      <c r="Z43" s="1">
        <f t="shared" si="6"/>
        <v>0</v>
      </c>
      <c r="AA43" s="1">
        <f t="shared" si="6"/>
        <v>0</v>
      </c>
      <c r="AB43" s="1">
        <f t="shared" si="6"/>
        <v>0</v>
      </c>
      <c r="AC43" s="1">
        <f t="shared" si="6"/>
        <v>0</v>
      </c>
      <c r="AD43" s="1">
        <f t="shared" si="6"/>
        <v>0</v>
      </c>
      <c r="AE43" s="1">
        <f t="shared" si="6"/>
        <v>0</v>
      </c>
    </row>
    <row r="44" spans="1:31" x14ac:dyDescent="0.25">
      <c r="A44" s="3" t="s">
        <v>9</v>
      </c>
      <c r="B44" s="1">
        <f t="shared" ref="B44:AE44" si="7">IF(B10&gt;545.31,1,0)</f>
        <v>1</v>
      </c>
      <c r="C44" s="1">
        <f t="shared" si="7"/>
        <v>1</v>
      </c>
      <c r="D44" s="1">
        <f t="shared" si="7"/>
        <v>1</v>
      </c>
      <c r="E44" s="1">
        <f t="shared" si="7"/>
        <v>0</v>
      </c>
      <c r="F44" s="1">
        <f t="shared" si="7"/>
        <v>1</v>
      </c>
      <c r="G44" s="1">
        <f t="shared" si="7"/>
        <v>1</v>
      </c>
      <c r="H44" s="1">
        <f t="shared" si="7"/>
        <v>1</v>
      </c>
      <c r="I44" s="1">
        <f t="shared" si="7"/>
        <v>0</v>
      </c>
      <c r="J44" s="1">
        <f t="shared" si="7"/>
        <v>0</v>
      </c>
      <c r="K44" s="1">
        <f t="shared" si="7"/>
        <v>1</v>
      </c>
      <c r="L44" s="1">
        <f t="shared" si="7"/>
        <v>0</v>
      </c>
      <c r="M44" s="1">
        <f t="shared" si="7"/>
        <v>0</v>
      </c>
      <c r="N44" s="1">
        <f t="shared" si="7"/>
        <v>0</v>
      </c>
      <c r="O44" s="1">
        <f t="shared" si="7"/>
        <v>0</v>
      </c>
      <c r="P44" s="1">
        <f t="shared" si="7"/>
        <v>0</v>
      </c>
      <c r="Q44" s="1">
        <f t="shared" si="7"/>
        <v>0</v>
      </c>
      <c r="R44" s="1">
        <f t="shared" si="7"/>
        <v>0</v>
      </c>
      <c r="S44" s="1">
        <f t="shared" si="7"/>
        <v>1</v>
      </c>
      <c r="T44" s="1">
        <f t="shared" si="7"/>
        <v>0</v>
      </c>
      <c r="U44" s="1">
        <f t="shared" si="7"/>
        <v>0</v>
      </c>
      <c r="V44" s="1">
        <f t="shared" si="7"/>
        <v>1</v>
      </c>
      <c r="W44" s="1">
        <f t="shared" si="7"/>
        <v>1</v>
      </c>
      <c r="X44" s="1">
        <f t="shared" si="7"/>
        <v>0</v>
      </c>
      <c r="Y44" s="1">
        <f t="shared" si="7"/>
        <v>0</v>
      </c>
      <c r="Z44" s="1">
        <f t="shared" si="7"/>
        <v>0</v>
      </c>
      <c r="AA44" s="1">
        <f t="shared" si="7"/>
        <v>0</v>
      </c>
      <c r="AB44" s="1">
        <f t="shared" si="7"/>
        <v>0</v>
      </c>
      <c r="AC44" s="1">
        <f t="shared" si="7"/>
        <v>0</v>
      </c>
      <c r="AD44" s="1">
        <f t="shared" si="7"/>
        <v>0</v>
      </c>
      <c r="AE44" s="1">
        <f t="shared" si="7"/>
        <v>0</v>
      </c>
    </row>
    <row r="45" spans="1:31" x14ac:dyDescent="0.25">
      <c r="A45" s="3" t="s">
        <v>10</v>
      </c>
      <c r="B45" s="1">
        <f t="shared" ref="B45:AE45" si="8">IF(B11&gt;545.31,1,0)</f>
        <v>1</v>
      </c>
      <c r="C45" s="1">
        <f t="shared" si="8"/>
        <v>0</v>
      </c>
      <c r="D45" s="1">
        <f t="shared" si="8"/>
        <v>0</v>
      </c>
      <c r="E45" s="1">
        <f t="shared" si="8"/>
        <v>0</v>
      </c>
      <c r="F45" s="1">
        <f t="shared" si="8"/>
        <v>1</v>
      </c>
      <c r="G45" s="1">
        <f t="shared" si="8"/>
        <v>1</v>
      </c>
      <c r="H45" s="1">
        <f t="shared" si="8"/>
        <v>1</v>
      </c>
      <c r="I45" s="1">
        <f t="shared" si="8"/>
        <v>0</v>
      </c>
      <c r="J45" s="1">
        <f t="shared" si="8"/>
        <v>0</v>
      </c>
      <c r="K45" s="1">
        <f t="shared" si="8"/>
        <v>0</v>
      </c>
      <c r="L45" s="1">
        <f t="shared" si="8"/>
        <v>0</v>
      </c>
      <c r="M45" s="1">
        <f t="shared" si="8"/>
        <v>0</v>
      </c>
      <c r="N45" s="1">
        <f t="shared" si="8"/>
        <v>0</v>
      </c>
      <c r="O45" s="1">
        <f t="shared" si="8"/>
        <v>0</v>
      </c>
      <c r="P45" s="1">
        <f t="shared" si="8"/>
        <v>0</v>
      </c>
      <c r="Q45" s="1">
        <f t="shared" si="8"/>
        <v>0</v>
      </c>
      <c r="R45" s="1">
        <f t="shared" si="8"/>
        <v>0</v>
      </c>
      <c r="S45" s="1">
        <f t="shared" si="8"/>
        <v>0</v>
      </c>
      <c r="T45" s="1">
        <f t="shared" si="8"/>
        <v>0</v>
      </c>
      <c r="U45" s="1">
        <f t="shared" si="8"/>
        <v>1</v>
      </c>
      <c r="V45" s="1">
        <f t="shared" si="8"/>
        <v>0</v>
      </c>
      <c r="W45" s="1">
        <f t="shared" si="8"/>
        <v>0</v>
      </c>
      <c r="X45" s="1">
        <f t="shared" si="8"/>
        <v>0</v>
      </c>
      <c r="Y45" s="1">
        <f t="shared" si="8"/>
        <v>0</v>
      </c>
      <c r="Z45" s="1">
        <f t="shared" si="8"/>
        <v>1</v>
      </c>
      <c r="AA45" s="1">
        <f t="shared" si="8"/>
        <v>0</v>
      </c>
      <c r="AB45" s="1">
        <f t="shared" si="8"/>
        <v>0</v>
      </c>
      <c r="AC45" s="1">
        <f t="shared" si="8"/>
        <v>0</v>
      </c>
      <c r="AD45" s="1">
        <f t="shared" si="8"/>
        <v>0</v>
      </c>
      <c r="AE45" s="1">
        <f t="shared" si="8"/>
        <v>0</v>
      </c>
    </row>
    <row r="46" spans="1:31" x14ac:dyDescent="0.25">
      <c r="A46" s="3" t="s">
        <v>11</v>
      </c>
      <c r="B46" s="1">
        <f t="shared" ref="B46:AE46" si="9">IF(B12&gt;545.31,1,0)</f>
        <v>1</v>
      </c>
      <c r="C46" s="1">
        <f t="shared" si="9"/>
        <v>1</v>
      </c>
      <c r="D46" s="1">
        <f t="shared" si="9"/>
        <v>1</v>
      </c>
      <c r="E46" s="1">
        <f t="shared" si="9"/>
        <v>1</v>
      </c>
      <c r="F46" s="1">
        <f t="shared" si="9"/>
        <v>0</v>
      </c>
      <c r="G46" s="1">
        <f t="shared" si="9"/>
        <v>0</v>
      </c>
      <c r="H46" s="1">
        <f t="shared" si="9"/>
        <v>1</v>
      </c>
      <c r="I46" s="1">
        <f t="shared" si="9"/>
        <v>1</v>
      </c>
      <c r="J46" s="1">
        <f t="shared" si="9"/>
        <v>0</v>
      </c>
      <c r="K46" s="1">
        <f t="shared" si="9"/>
        <v>0</v>
      </c>
      <c r="L46" s="1">
        <f t="shared" si="9"/>
        <v>1</v>
      </c>
      <c r="M46" s="1">
        <f t="shared" si="9"/>
        <v>0</v>
      </c>
      <c r="N46" s="1">
        <f t="shared" si="9"/>
        <v>0</v>
      </c>
      <c r="O46" s="1">
        <f t="shared" si="9"/>
        <v>0</v>
      </c>
      <c r="P46" s="1">
        <f t="shared" si="9"/>
        <v>0</v>
      </c>
      <c r="Q46" s="1">
        <f t="shared" si="9"/>
        <v>1</v>
      </c>
      <c r="R46" s="1">
        <f t="shared" si="9"/>
        <v>1</v>
      </c>
      <c r="S46" s="1">
        <f t="shared" si="9"/>
        <v>0</v>
      </c>
      <c r="T46" s="1">
        <f t="shared" si="9"/>
        <v>0</v>
      </c>
      <c r="U46" s="1">
        <f t="shared" si="9"/>
        <v>0</v>
      </c>
      <c r="V46" s="1">
        <f t="shared" si="9"/>
        <v>0</v>
      </c>
      <c r="W46" s="1">
        <f t="shared" si="9"/>
        <v>0</v>
      </c>
      <c r="X46" s="1">
        <f t="shared" si="9"/>
        <v>0</v>
      </c>
      <c r="Y46" s="1">
        <f t="shared" si="9"/>
        <v>0</v>
      </c>
      <c r="Z46" s="1">
        <f t="shared" si="9"/>
        <v>0</v>
      </c>
      <c r="AA46" s="1">
        <f t="shared" si="9"/>
        <v>0</v>
      </c>
      <c r="AB46" s="1">
        <f t="shared" si="9"/>
        <v>0</v>
      </c>
      <c r="AC46" s="1">
        <f t="shared" si="9"/>
        <v>0</v>
      </c>
      <c r="AD46" s="1">
        <f t="shared" si="9"/>
        <v>0</v>
      </c>
      <c r="AE46" s="1">
        <f t="shared" si="9"/>
        <v>0</v>
      </c>
    </row>
    <row r="47" spans="1:31" x14ac:dyDescent="0.25">
      <c r="A47" s="3" t="s">
        <v>12</v>
      </c>
      <c r="B47" s="1">
        <f t="shared" ref="B47:AE47" si="10">IF(B13&gt;545.31,1,0)</f>
        <v>1</v>
      </c>
      <c r="C47" s="1">
        <f t="shared" si="10"/>
        <v>0</v>
      </c>
      <c r="D47" s="1">
        <f t="shared" si="10"/>
        <v>0</v>
      </c>
      <c r="E47" s="1">
        <f t="shared" si="10"/>
        <v>1</v>
      </c>
      <c r="F47" s="1">
        <f t="shared" si="10"/>
        <v>0</v>
      </c>
      <c r="G47" s="1">
        <f t="shared" si="10"/>
        <v>0</v>
      </c>
      <c r="H47" s="1">
        <f t="shared" si="10"/>
        <v>0</v>
      </c>
      <c r="I47" s="1">
        <f t="shared" si="10"/>
        <v>0</v>
      </c>
      <c r="J47" s="1">
        <f t="shared" si="10"/>
        <v>0</v>
      </c>
      <c r="K47" s="1">
        <f t="shared" si="10"/>
        <v>1</v>
      </c>
      <c r="L47" s="1">
        <f t="shared" si="10"/>
        <v>0</v>
      </c>
      <c r="M47" s="1">
        <f t="shared" si="10"/>
        <v>0</v>
      </c>
      <c r="N47" s="1">
        <f t="shared" si="10"/>
        <v>0</v>
      </c>
      <c r="O47" s="1">
        <f t="shared" si="10"/>
        <v>0</v>
      </c>
      <c r="P47" s="1">
        <f t="shared" si="10"/>
        <v>0</v>
      </c>
      <c r="Q47" s="1">
        <f t="shared" si="10"/>
        <v>1</v>
      </c>
      <c r="R47" s="1">
        <f t="shared" si="10"/>
        <v>1</v>
      </c>
      <c r="S47" s="1">
        <f t="shared" si="10"/>
        <v>0</v>
      </c>
      <c r="T47" s="1">
        <f t="shared" si="10"/>
        <v>0</v>
      </c>
      <c r="U47" s="1">
        <f t="shared" si="10"/>
        <v>0</v>
      </c>
      <c r="V47" s="1">
        <f t="shared" si="10"/>
        <v>0</v>
      </c>
      <c r="W47" s="1">
        <f t="shared" si="10"/>
        <v>0</v>
      </c>
      <c r="X47" s="1">
        <f t="shared" si="10"/>
        <v>0</v>
      </c>
      <c r="Y47" s="1">
        <f t="shared" si="10"/>
        <v>0</v>
      </c>
      <c r="Z47" s="1">
        <f t="shared" si="10"/>
        <v>0</v>
      </c>
      <c r="AA47" s="1">
        <f t="shared" si="10"/>
        <v>0</v>
      </c>
      <c r="AB47" s="1">
        <f t="shared" si="10"/>
        <v>0</v>
      </c>
      <c r="AC47" s="1">
        <f t="shared" si="10"/>
        <v>0</v>
      </c>
      <c r="AD47" s="1">
        <f t="shared" si="10"/>
        <v>0</v>
      </c>
      <c r="AE47" s="1">
        <f t="shared" si="10"/>
        <v>0</v>
      </c>
    </row>
    <row r="48" spans="1:31" x14ac:dyDescent="0.25">
      <c r="A48" s="3" t="s">
        <v>13</v>
      </c>
      <c r="B48" s="1">
        <f t="shared" ref="B48:AE48" si="11">IF(B14&gt;545.31,1,0)</f>
        <v>1</v>
      </c>
      <c r="C48" s="1">
        <f t="shared" si="11"/>
        <v>0</v>
      </c>
      <c r="D48" s="1">
        <f t="shared" si="11"/>
        <v>1</v>
      </c>
      <c r="E48" s="1">
        <f t="shared" si="11"/>
        <v>0</v>
      </c>
      <c r="F48" s="1">
        <f t="shared" si="11"/>
        <v>0</v>
      </c>
      <c r="G48" s="1">
        <f t="shared" si="11"/>
        <v>0</v>
      </c>
      <c r="H48" s="1">
        <f t="shared" si="11"/>
        <v>0</v>
      </c>
      <c r="I48" s="1">
        <f t="shared" si="11"/>
        <v>0</v>
      </c>
      <c r="J48" s="1">
        <f t="shared" si="11"/>
        <v>0</v>
      </c>
      <c r="K48" s="1">
        <f t="shared" si="11"/>
        <v>0</v>
      </c>
      <c r="L48" s="1">
        <f t="shared" si="11"/>
        <v>0</v>
      </c>
      <c r="M48" s="1">
        <f t="shared" si="11"/>
        <v>0</v>
      </c>
      <c r="N48" s="1">
        <f t="shared" si="11"/>
        <v>0</v>
      </c>
      <c r="O48" s="1">
        <f t="shared" si="11"/>
        <v>0</v>
      </c>
      <c r="P48" s="1">
        <f t="shared" si="11"/>
        <v>0</v>
      </c>
      <c r="Q48" s="1">
        <f t="shared" si="11"/>
        <v>0</v>
      </c>
      <c r="R48" s="1">
        <f t="shared" si="11"/>
        <v>0</v>
      </c>
      <c r="S48" s="1">
        <f t="shared" si="11"/>
        <v>1</v>
      </c>
      <c r="T48" s="1">
        <f t="shared" si="11"/>
        <v>0</v>
      </c>
      <c r="U48" s="1">
        <f t="shared" si="11"/>
        <v>0</v>
      </c>
      <c r="V48" s="1">
        <f t="shared" si="11"/>
        <v>0</v>
      </c>
      <c r="W48" s="1">
        <f t="shared" si="11"/>
        <v>1</v>
      </c>
      <c r="X48" s="1">
        <f t="shared" si="11"/>
        <v>1</v>
      </c>
      <c r="Y48" s="1">
        <f t="shared" si="11"/>
        <v>0</v>
      </c>
      <c r="Z48" s="1">
        <f t="shared" si="11"/>
        <v>0</v>
      </c>
      <c r="AA48" s="1">
        <f t="shared" si="11"/>
        <v>0</v>
      </c>
      <c r="AB48" s="1">
        <f t="shared" si="11"/>
        <v>0</v>
      </c>
      <c r="AC48" s="1">
        <f t="shared" si="11"/>
        <v>0</v>
      </c>
      <c r="AD48" s="1">
        <f t="shared" si="11"/>
        <v>0</v>
      </c>
      <c r="AE48" s="1">
        <f t="shared" si="11"/>
        <v>0</v>
      </c>
    </row>
    <row r="49" spans="1:31" x14ac:dyDescent="0.25">
      <c r="A49" s="3" t="s">
        <v>14</v>
      </c>
      <c r="B49" s="1">
        <f t="shared" ref="B49:AE49" si="12">IF(B15&gt;545.31,1,0)</f>
        <v>1</v>
      </c>
      <c r="C49" s="1">
        <f t="shared" si="12"/>
        <v>0</v>
      </c>
      <c r="D49" s="1">
        <f t="shared" si="12"/>
        <v>1</v>
      </c>
      <c r="E49" s="1">
        <f t="shared" si="12"/>
        <v>1</v>
      </c>
      <c r="F49" s="1">
        <f t="shared" si="12"/>
        <v>0</v>
      </c>
      <c r="G49" s="1">
        <f t="shared" si="12"/>
        <v>0</v>
      </c>
      <c r="H49" s="1">
        <f t="shared" si="12"/>
        <v>0</v>
      </c>
      <c r="I49" s="1">
        <f t="shared" si="12"/>
        <v>0</v>
      </c>
      <c r="J49" s="1">
        <f t="shared" si="12"/>
        <v>0</v>
      </c>
      <c r="K49" s="1">
        <f t="shared" si="12"/>
        <v>0</v>
      </c>
      <c r="L49" s="1">
        <f t="shared" si="12"/>
        <v>0</v>
      </c>
      <c r="M49" s="1">
        <f t="shared" si="12"/>
        <v>0</v>
      </c>
      <c r="N49" s="1">
        <f t="shared" si="12"/>
        <v>0</v>
      </c>
      <c r="O49" s="1">
        <f t="shared" si="12"/>
        <v>0</v>
      </c>
      <c r="P49" s="1">
        <f t="shared" si="12"/>
        <v>0</v>
      </c>
      <c r="Q49" s="1">
        <f t="shared" si="12"/>
        <v>0</v>
      </c>
      <c r="R49" s="1">
        <f t="shared" si="12"/>
        <v>0</v>
      </c>
      <c r="S49" s="1">
        <f t="shared" si="12"/>
        <v>0</v>
      </c>
      <c r="T49" s="1">
        <f t="shared" si="12"/>
        <v>0</v>
      </c>
      <c r="U49" s="1">
        <f t="shared" si="12"/>
        <v>0</v>
      </c>
      <c r="V49" s="1">
        <f t="shared" si="12"/>
        <v>0</v>
      </c>
      <c r="W49" s="1">
        <f t="shared" si="12"/>
        <v>0</v>
      </c>
      <c r="X49" s="1">
        <f t="shared" si="12"/>
        <v>0</v>
      </c>
      <c r="Y49" s="1">
        <f t="shared" si="12"/>
        <v>0</v>
      </c>
      <c r="Z49" s="1">
        <f t="shared" si="12"/>
        <v>0</v>
      </c>
      <c r="AA49" s="1">
        <f t="shared" si="12"/>
        <v>0</v>
      </c>
      <c r="AB49" s="1">
        <f t="shared" si="12"/>
        <v>0</v>
      </c>
      <c r="AC49" s="1">
        <f t="shared" si="12"/>
        <v>0</v>
      </c>
      <c r="AD49" s="1">
        <f t="shared" si="12"/>
        <v>0</v>
      </c>
      <c r="AE49" s="1">
        <f t="shared" si="12"/>
        <v>0</v>
      </c>
    </row>
    <row r="50" spans="1:31" x14ac:dyDescent="0.25">
      <c r="A50" s="3" t="s">
        <v>15</v>
      </c>
      <c r="B50" s="1">
        <f t="shared" ref="B50:AE50" si="13">IF(B16&gt;545.31,1,0)</f>
        <v>1</v>
      </c>
      <c r="C50" s="1">
        <f t="shared" si="13"/>
        <v>0</v>
      </c>
      <c r="D50" s="1">
        <f t="shared" si="13"/>
        <v>0</v>
      </c>
      <c r="E50" s="1">
        <f t="shared" si="13"/>
        <v>0</v>
      </c>
      <c r="F50" s="1">
        <f t="shared" si="13"/>
        <v>0</v>
      </c>
      <c r="G50" s="1">
        <f t="shared" si="13"/>
        <v>0</v>
      </c>
      <c r="H50" s="1">
        <f t="shared" si="13"/>
        <v>0</v>
      </c>
      <c r="I50" s="1">
        <f t="shared" si="13"/>
        <v>0</v>
      </c>
      <c r="J50" s="1">
        <f t="shared" si="13"/>
        <v>0</v>
      </c>
      <c r="K50" s="1">
        <f t="shared" si="13"/>
        <v>0</v>
      </c>
      <c r="L50" s="1">
        <f t="shared" si="13"/>
        <v>0</v>
      </c>
      <c r="M50" s="1">
        <f t="shared" si="13"/>
        <v>0</v>
      </c>
      <c r="N50" s="1">
        <f t="shared" si="13"/>
        <v>0</v>
      </c>
      <c r="O50" s="1">
        <f t="shared" si="13"/>
        <v>0</v>
      </c>
      <c r="P50" s="1">
        <f t="shared" si="13"/>
        <v>0</v>
      </c>
      <c r="Q50" s="1">
        <f t="shared" si="13"/>
        <v>1</v>
      </c>
      <c r="R50" s="1">
        <f t="shared" si="13"/>
        <v>0</v>
      </c>
      <c r="S50" s="1">
        <f t="shared" si="13"/>
        <v>0</v>
      </c>
      <c r="T50" s="1">
        <f t="shared" si="13"/>
        <v>0</v>
      </c>
      <c r="U50" s="1">
        <f t="shared" si="13"/>
        <v>0</v>
      </c>
      <c r="V50" s="1">
        <f t="shared" si="13"/>
        <v>0</v>
      </c>
      <c r="W50" s="1">
        <f t="shared" si="13"/>
        <v>0</v>
      </c>
      <c r="X50" s="1">
        <f t="shared" si="13"/>
        <v>0</v>
      </c>
      <c r="Y50" s="1">
        <f t="shared" si="13"/>
        <v>0</v>
      </c>
      <c r="Z50" s="1">
        <f t="shared" si="13"/>
        <v>1</v>
      </c>
      <c r="AA50" s="1">
        <f t="shared" si="13"/>
        <v>1</v>
      </c>
      <c r="AB50" s="1">
        <f t="shared" si="13"/>
        <v>1</v>
      </c>
      <c r="AC50" s="1">
        <f t="shared" si="13"/>
        <v>0</v>
      </c>
      <c r="AD50" s="1">
        <f t="shared" si="13"/>
        <v>0</v>
      </c>
      <c r="AE50" s="1">
        <f t="shared" si="13"/>
        <v>0</v>
      </c>
    </row>
    <row r="51" spans="1:31" x14ac:dyDescent="0.25">
      <c r="A51" s="3" t="s">
        <v>16</v>
      </c>
      <c r="B51" s="1">
        <f t="shared" ref="B51:AE51" si="14">IF(B17&gt;545.31,1,0)</f>
        <v>0</v>
      </c>
      <c r="C51" s="1">
        <f t="shared" si="14"/>
        <v>0</v>
      </c>
      <c r="D51" s="1">
        <f t="shared" si="14"/>
        <v>0</v>
      </c>
      <c r="E51" s="1">
        <f t="shared" si="14"/>
        <v>0</v>
      </c>
      <c r="F51" s="1">
        <f t="shared" si="14"/>
        <v>0</v>
      </c>
      <c r="G51" s="1">
        <f t="shared" si="14"/>
        <v>0</v>
      </c>
      <c r="H51" s="1">
        <f t="shared" si="14"/>
        <v>0</v>
      </c>
      <c r="I51" s="1">
        <f t="shared" si="14"/>
        <v>0</v>
      </c>
      <c r="J51" s="1">
        <f t="shared" si="14"/>
        <v>0</v>
      </c>
      <c r="K51" s="1">
        <f t="shared" si="14"/>
        <v>0</v>
      </c>
      <c r="L51" s="1">
        <f t="shared" si="14"/>
        <v>0</v>
      </c>
      <c r="M51" s="1">
        <f t="shared" si="14"/>
        <v>0</v>
      </c>
      <c r="N51" s="1">
        <f t="shared" si="14"/>
        <v>0</v>
      </c>
      <c r="O51" s="1">
        <f t="shared" si="14"/>
        <v>0</v>
      </c>
      <c r="P51" s="1">
        <f t="shared" si="14"/>
        <v>0</v>
      </c>
      <c r="Q51" s="1">
        <f t="shared" si="14"/>
        <v>0</v>
      </c>
      <c r="R51" s="1">
        <f t="shared" si="14"/>
        <v>1</v>
      </c>
      <c r="S51" s="1">
        <f t="shared" si="14"/>
        <v>0</v>
      </c>
      <c r="T51" s="1">
        <f t="shared" si="14"/>
        <v>0</v>
      </c>
      <c r="U51" s="1">
        <f t="shared" si="14"/>
        <v>0</v>
      </c>
      <c r="V51" s="1">
        <f t="shared" si="14"/>
        <v>0</v>
      </c>
      <c r="W51" s="1">
        <f t="shared" si="14"/>
        <v>0</v>
      </c>
      <c r="X51" s="1">
        <f t="shared" si="14"/>
        <v>0</v>
      </c>
      <c r="Y51" s="1">
        <f t="shared" si="14"/>
        <v>0</v>
      </c>
      <c r="Z51" s="1">
        <f t="shared" si="14"/>
        <v>0</v>
      </c>
      <c r="AA51" s="1">
        <f t="shared" si="14"/>
        <v>0</v>
      </c>
      <c r="AB51" s="1">
        <f t="shared" si="14"/>
        <v>0</v>
      </c>
      <c r="AC51" s="1">
        <f t="shared" si="14"/>
        <v>0</v>
      </c>
      <c r="AD51" s="1">
        <f t="shared" si="14"/>
        <v>0</v>
      </c>
      <c r="AE51" s="1">
        <f t="shared" si="14"/>
        <v>0</v>
      </c>
    </row>
    <row r="52" spans="1:31" x14ac:dyDescent="0.25">
      <c r="A52" s="3" t="s">
        <v>17</v>
      </c>
      <c r="B52" s="1">
        <f t="shared" ref="B52:AE52" si="15">IF(B18&gt;545.31,1,0)</f>
        <v>1</v>
      </c>
      <c r="C52" s="1">
        <f t="shared" si="15"/>
        <v>0</v>
      </c>
      <c r="D52" s="1">
        <f t="shared" si="15"/>
        <v>0</v>
      </c>
      <c r="E52" s="1">
        <f t="shared" si="15"/>
        <v>0</v>
      </c>
      <c r="F52" s="1">
        <f t="shared" si="15"/>
        <v>0</v>
      </c>
      <c r="G52" s="1">
        <f t="shared" si="15"/>
        <v>0</v>
      </c>
      <c r="H52" s="1">
        <f t="shared" si="15"/>
        <v>0</v>
      </c>
      <c r="I52" s="1">
        <f t="shared" si="15"/>
        <v>0</v>
      </c>
      <c r="J52" s="1">
        <f t="shared" si="15"/>
        <v>0</v>
      </c>
      <c r="K52" s="1">
        <f t="shared" si="15"/>
        <v>1</v>
      </c>
      <c r="L52" s="1">
        <f t="shared" si="15"/>
        <v>1</v>
      </c>
      <c r="M52" s="1">
        <f t="shared" si="15"/>
        <v>0</v>
      </c>
      <c r="N52" s="1">
        <f t="shared" si="15"/>
        <v>0</v>
      </c>
      <c r="O52" s="1">
        <f t="shared" si="15"/>
        <v>1</v>
      </c>
      <c r="P52" s="1">
        <f t="shared" si="15"/>
        <v>0</v>
      </c>
      <c r="Q52" s="1">
        <f t="shared" si="15"/>
        <v>0</v>
      </c>
      <c r="R52" s="1">
        <f t="shared" si="15"/>
        <v>1</v>
      </c>
      <c r="S52" s="1">
        <f t="shared" si="15"/>
        <v>0</v>
      </c>
      <c r="T52" s="1">
        <f t="shared" si="15"/>
        <v>0</v>
      </c>
      <c r="U52" s="1">
        <f t="shared" si="15"/>
        <v>0</v>
      </c>
      <c r="V52" s="1">
        <f t="shared" si="15"/>
        <v>0</v>
      </c>
      <c r="W52" s="1">
        <f t="shared" si="15"/>
        <v>0</v>
      </c>
      <c r="X52" s="1">
        <f t="shared" si="15"/>
        <v>0</v>
      </c>
      <c r="Y52" s="1">
        <f t="shared" si="15"/>
        <v>0</v>
      </c>
      <c r="Z52" s="1">
        <f t="shared" si="15"/>
        <v>0</v>
      </c>
      <c r="AA52" s="1">
        <f t="shared" si="15"/>
        <v>0</v>
      </c>
      <c r="AB52" s="1">
        <f t="shared" si="15"/>
        <v>1</v>
      </c>
      <c r="AC52" s="1">
        <f t="shared" si="15"/>
        <v>0</v>
      </c>
      <c r="AD52" s="1">
        <f t="shared" si="15"/>
        <v>0</v>
      </c>
      <c r="AE52" s="1">
        <f t="shared" si="15"/>
        <v>1</v>
      </c>
    </row>
    <row r="53" spans="1:31" x14ac:dyDescent="0.25">
      <c r="A53" s="3" t="s">
        <v>18</v>
      </c>
      <c r="B53" s="1">
        <f t="shared" ref="B53:AE53" si="16">IF(B19&gt;545.31,1,0)</f>
        <v>1</v>
      </c>
      <c r="C53" s="1">
        <f t="shared" si="16"/>
        <v>0</v>
      </c>
      <c r="D53" s="1">
        <f t="shared" si="16"/>
        <v>0</v>
      </c>
      <c r="E53" s="1">
        <f t="shared" si="16"/>
        <v>1</v>
      </c>
      <c r="F53" s="1">
        <f t="shared" si="16"/>
        <v>0</v>
      </c>
      <c r="G53" s="1">
        <f t="shared" si="16"/>
        <v>0</v>
      </c>
      <c r="H53" s="1">
        <f t="shared" si="16"/>
        <v>0</v>
      </c>
      <c r="I53" s="1">
        <f t="shared" si="16"/>
        <v>0</v>
      </c>
      <c r="J53" s="1">
        <f t="shared" si="16"/>
        <v>0</v>
      </c>
      <c r="K53" s="1">
        <f t="shared" si="16"/>
        <v>1</v>
      </c>
      <c r="L53" s="1">
        <f t="shared" si="16"/>
        <v>1</v>
      </c>
      <c r="M53" s="1">
        <f t="shared" si="16"/>
        <v>0</v>
      </c>
      <c r="N53" s="1">
        <f t="shared" si="16"/>
        <v>0</v>
      </c>
      <c r="O53" s="1">
        <f t="shared" si="16"/>
        <v>0</v>
      </c>
      <c r="P53" s="1">
        <f t="shared" si="16"/>
        <v>1</v>
      </c>
      <c r="Q53" s="1">
        <f t="shared" si="16"/>
        <v>1</v>
      </c>
      <c r="R53" s="1">
        <f t="shared" si="16"/>
        <v>0</v>
      </c>
      <c r="S53" s="1">
        <f t="shared" si="16"/>
        <v>0</v>
      </c>
      <c r="T53" s="1">
        <f t="shared" si="16"/>
        <v>0</v>
      </c>
      <c r="U53" s="1">
        <f t="shared" si="16"/>
        <v>0</v>
      </c>
      <c r="V53" s="1">
        <f t="shared" si="16"/>
        <v>0</v>
      </c>
      <c r="W53" s="1">
        <f t="shared" si="16"/>
        <v>0</v>
      </c>
      <c r="X53" s="1">
        <f t="shared" si="16"/>
        <v>0</v>
      </c>
      <c r="Y53" s="1">
        <f t="shared" si="16"/>
        <v>0</v>
      </c>
      <c r="Z53" s="1">
        <f t="shared" si="16"/>
        <v>0</v>
      </c>
      <c r="AA53" s="1">
        <f t="shared" si="16"/>
        <v>0</v>
      </c>
      <c r="AB53" s="1">
        <f t="shared" si="16"/>
        <v>0</v>
      </c>
      <c r="AC53" s="1">
        <f t="shared" si="16"/>
        <v>0</v>
      </c>
      <c r="AD53" s="1">
        <f t="shared" si="16"/>
        <v>0</v>
      </c>
      <c r="AE53" s="1">
        <f t="shared" si="16"/>
        <v>0</v>
      </c>
    </row>
    <row r="54" spans="1:31" x14ac:dyDescent="0.25">
      <c r="A54" s="3" t="s">
        <v>19</v>
      </c>
      <c r="B54" s="1">
        <f t="shared" ref="B54:AE54" si="17">IF(B20&gt;545.31,1,0)</f>
        <v>1</v>
      </c>
      <c r="C54" s="1">
        <f t="shared" si="17"/>
        <v>0</v>
      </c>
      <c r="D54" s="1">
        <f t="shared" si="17"/>
        <v>1</v>
      </c>
      <c r="E54" s="1">
        <f t="shared" si="17"/>
        <v>0</v>
      </c>
      <c r="F54" s="1">
        <f t="shared" si="17"/>
        <v>0</v>
      </c>
      <c r="G54" s="1">
        <f t="shared" si="17"/>
        <v>0</v>
      </c>
      <c r="H54" s="1">
        <f t="shared" si="17"/>
        <v>1</v>
      </c>
      <c r="I54" s="1">
        <f t="shared" si="17"/>
        <v>1</v>
      </c>
      <c r="J54" s="1">
        <f t="shared" si="17"/>
        <v>0</v>
      </c>
      <c r="K54" s="1">
        <f t="shared" si="17"/>
        <v>0</v>
      </c>
      <c r="L54" s="1">
        <f t="shared" si="17"/>
        <v>0</v>
      </c>
      <c r="M54" s="1">
        <f t="shared" si="17"/>
        <v>1</v>
      </c>
      <c r="N54" s="1">
        <f t="shared" si="17"/>
        <v>0</v>
      </c>
      <c r="O54" s="1">
        <f t="shared" si="17"/>
        <v>0</v>
      </c>
      <c r="P54" s="1">
        <f t="shared" si="17"/>
        <v>0</v>
      </c>
      <c r="Q54" s="1">
        <f t="shared" si="17"/>
        <v>0</v>
      </c>
      <c r="R54" s="1">
        <f t="shared" si="17"/>
        <v>0</v>
      </c>
      <c r="S54" s="1">
        <f t="shared" si="17"/>
        <v>0</v>
      </c>
      <c r="T54" s="1">
        <f t="shared" si="17"/>
        <v>0</v>
      </c>
      <c r="U54" s="1">
        <f t="shared" si="17"/>
        <v>0</v>
      </c>
      <c r="V54" s="1">
        <f t="shared" si="17"/>
        <v>1</v>
      </c>
      <c r="W54" s="1">
        <f t="shared" si="17"/>
        <v>1</v>
      </c>
      <c r="X54" s="1">
        <f t="shared" si="17"/>
        <v>0</v>
      </c>
      <c r="Y54" s="1">
        <f t="shared" si="17"/>
        <v>0</v>
      </c>
      <c r="Z54" s="1">
        <f t="shared" si="17"/>
        <v>0</v>
      </c>
      <c r="AA54" s="1">
        <f t="shared" si="17"/>
        <v>0</v>
      </c>
      <c r="AB54" s="1">
        <f t="shared" si="17"/>
        <v>0</v>
      </c>
      <c r="AC54" s="1">
        <f t="shared" si="17"/>
        <v>0</v>
      </c>
      <c r="AD54" s="1">
        <f t="shared" si="17"/>
        <v>0</v>
      </c>
      <c r="AE54" s="1">
        <f t="shared" si="17"/>
        <v>0</v>
      </c>
    </row>
    <row r="55" spans="1:31" x14ac:dyDescent="0.25">
      <c r="A55" s="3" t="s">
        <v>20</v>
      </c>
      <c r="B55" s="1">
        <f t="shared" ref="B55:AE55" si="18">IF(B21&gt;545.31,1,0)</f>
        <v>0</v>
      </c>
      <c r="C55" s="1">
        <f t="shared" si="18"/>
        <v>0</v>
      </c>
      <c r="D55" s="1">
        <f t="shared" si="18"/>
        <v>0</v>
      </c>
      <c r="E55" s="1">
        <f t="shared" si="18"/>
        <v>0</v>
      </c>
      <c r="F55" s="1">
        <f t="shared" si="18"/>
        <v>1</v>
      </c>
      <c r="G55" s="1">
        <f t="shared" si="18"/>
        <v>0</v>
      </c>
      <c r="H55" s="1">
        <f t="shared" si="18"/>
        <v>0</v>
      </c>
      <c r="I55" s="1">
        <f t="shared" si="18"/>
        <v>0</v>
      </c>
      <c r="J55" s="1">
        <f t="shared" si="18"/>
        <v>0</v>
      </c>
      <c r="K55" s="1">
        <f t="shared" si="18"/>
        <v>0</v>
      </c>
      <c r="L55" s="1">
        <f t="shared" si="18"/>
        <v>0</v>
      </c>
      <c r="M55" s="1">
        <f t="shared" si="18"/>
        <v>0</v>
      </c>
      <c r="N55" s="1">
        <f t="shared" si="18"/>
        <v>0</v>
      </c>
      <c r="O55" s="1">
        <f t="shared" si="18"/>
        <v>0</v>
      </c>
      <c r="P55" s="1">
        <f t="shared" si="18"/>
        <v>0</v>
      </c>
      <c r="Q55" s="1">
        <f t="shared" si="18"/>
        <v>0</v>
      </c>
      <c r="R55" s="1">
        <f t="shared" si="18"/>
        <v>0</v>
      </c>
      <c r="S55" s="1">
        <f t="shared" si="18"/>
        <v>0</v>
      </c>
      <c r="T55" s="1">
        <f t="shared" si="18"/>
        <v>0</v>
      </c>
      <c r="U55" s="1">
        <f t="shared" si="18"/>
        <v>1</v>
      </c>
      <c r="V55" s="1">
        <f t="shared" si="18"/>
        <v>0</v>
      </c>
      <c r="W55" s="1">
        <f t="shared" si="18"/>
        <v>0</v>
      </c>
      <c r="X55" s="1">
        <f t="shared" si="18"/>
        <v>0</v>
      </c>
      <c r="Y55" s="1">
        <f t="shared" si="18"/>
        <v>0</v>
      </c>
      <c r="Z55" s="1">
        <f t="shared" si="18"/>
        <v>0</v>
      </c>
      <c r="AA55" s="1">
        <f t="shared" si="18"/>
        <v>0</v>
      </c>
      <c r="AB55" s="1">
        <f t="shared" si="18"/>
        <v>0</v>
      </c>
      <c r="AC55" s="1">
        <f t="shared" si="18"/>
        <v>0</v>
      </c>
      <c r="AD55" s="1">
        <f t="shared" si="18"/>
        <v>0</v>
      </c>
      <c r="AE55" s="1">
        <f t="shared" si="18"/>
        <v>0</v>
      </c>
    </row>
    <row r="56" spans="1:31" x14ac:dyDescent="0.25">
      <c r="A56" s="3" t="s">
        <v>21</v>
      </c>
      <c r="B56" s="1">
        <f t="shared" ref="B56:AE56" si="19">IF(B22&gt;545.31,1,0)</f>
        <v>0</v>
      </c>
      <c r="C56" s="1">
        <f t="shared" si="19"/>
        <v>0</v>
      </c>
      <c r="D56" s="1">
        <f t="shared" si="19"/>
        <v>0</v>
      </c>
      <c r="E56" s="1">
        <f t="shared" si="19"/>
        <v>0</v>
      </c>
      <c r="F56" s="1">
        <f t="shared" si="19"/>
        <v>1</v>
      </c>
      <c r="G56" s="1">
        <f t="shared" si="19"/>
        <v>1</v>
      </c>
      <c r="H56" s="1">
        <f t="shared" si="19"/>
        <v>0</v>
      </c>
      <c r="I56" s="1">
        <f t="shared" si="19"/>
        <v>0</v>
      </c>
      <c r="J56" s="1">
        <f t="shared" si="19"/>
        <v>1</v>
      </c>
      <c r="K56" s="1">
        <f t="shared" si="19"/>
        <v>0</v>
      </c>
      <c r="L56" s="1">
        <f t="shared" si="19"/>
        <v>0</v>
      </c>
      <c r="M56" s="1">
        <f t="shared" si="19"/>
        <v>0</v>
      </c>
      <c r="N56" s="1">
        <f t="shared" si="19"/>
        <v>0</v>
      </c>
      <c r="O56" s="1">
        <f t="shared" si="19"/>
        <v>0</v>
      </c>
      <c r="P56" s="1">
        <f t="shared" si="19"/>
        <v>0</v>
      </c>
      <c r="Q56" s="1">
        <f t="shared" si="19"/>
        <v>0</v>
      </c>
      <c r="R56" s="1">
        <f t="shared" si="19"/>
        <v>0</v>
      </c>
      <c r="S56" s="1">
        <f t="shared" si="19"/>
        <v>0</v>
      </c>
      <c r="T56" s="1">
        <f t="shared" si="19"/>
        <v>1</v>
      </c>
      <c r="U56" s="1">
        <f t="shared" si="19"/>
        <v>0</v>
      </c>
      <c r="V56" s="1">
        <f t="shared" si="19"/>
        <v>0</v>
      </c>
      <c r="W56" s="1">
        <f t="shared" si="19"/>
        <v>0</v>
      </c>
      <c r="X56" s="1">
        <f t="shared" si="19"/>
        <v>0</v>
      </c>
      <c r="Y56" s="1">
        <f t="shared" si="19"/>
        <v>0</v>
      </c>
      <c r="Z56" s="1">
        <f t="shared" si="19"/>
        <v>0</v>
      </c>
      <c r="AA56" s="1">
        <f t="shared" si="19"/>
        <v>0</v>
      </c>
      <c r="AB56" s="1">
        <f t="shared" si="19"/>
        <v>0</v>
      </c>
      <c r="AC56" s="1">
        <f t="shared" si="19"/>
        <v>0</v>
      </c>
      <c r="AD56" s="1">
        <f t="shared" si="19"/>
        <v>0</v>
      </c>
      <c r="AE56" s="1">
        <f t="shared" si="19"/>
        <v>0</v>
      </c>
    </row>
    <row r="57" spans="1:31" x14ac:dyDescent="0.25">
      <c r="A57" s="3" t="s">
        <v>22</v>
      </c>
      <c r="B57" s="1">
        <f t="shared" ref="B57:AE57" si="20">IF(B23&gt;545.31,1,0)</f>
        <v>1</v>
      </c>
      <c r="C57" s="1">
        <f t="shared" si="20"/>
        <v>0</v>
      </c>
      <c r="D57" s="1">
        <f t="shared" si="20"/>
        <v>0</v>
      </c>
      <c r="E57" s="1">
        <f t="shared" si="20"/>
        <v>0</v>
      </c>
      <c r="F57" s="1">
        <f t="shared" si="20"/>
        <v>1</v>
      </c>
      <c r="G57" s="1">
        <f t="shared" si="20"/>
        <v>1</v>
      </c>
      <c r="H57" s="1">
        <f t="shared" si="20"/>
        <v>1</v>
      </c>
      <c r="I57" s="1">
        <f t="shared" si="20"/>
        <v>1</v>
      </c>
      <c r="J57" s="1">
        <f t="shared" si="20"/>
        <v>0</v>
      </c>
      <c r="K57" s="1">
        <f t="shared" si="20"/>
        <v>0</v>
      </c>
      <c r="L57" s="1">
        <f t="shared" si="20"/>
        <v>0</v>
      </c>
      <c r="M57" s="1">
        <f t="shared" si="20"/>
        <v>0</v>
      </c>
      <c r="N57" s="1">
        <f t="shared" si="20"/>
        <v>0</v>
      </c>
      <c r="O57" s="1">
        <f t="shared" si="20"/>
        <v>0</v>
      </c>
      <c r="P57" s="1">
        <f t="shared" si="20"/>
        <v>0</v>
      </c>
      <c r="Q57" s="1">
        <f t="shared" si="20"/>
        <v>0</v>
      </c>
      <c r="R57" s="1">
        <f t="shared" si="20"/>
        <v>0</v>
      </c>
      <c r="S57" s="1">
        <f t="shared" si="20"/>
        <v>1</v>
      </c>
      <c r="T57" s="1">
        <f t="shared" si="20"/>
        <v>0</v>
      </c>
      <c r="U57" s="1">
        <f t="shared" si="20"/>
        <v>0</v>
      </c>
      <c r="V57" s="1">
        <f t="shared" si="20"/>
        <v>0</v>
      </c>
      <c r="W57" s="1">
        <f t="shared" si="20"/>
        <v>1</v>
      </c>
      <c r="X57" s="1">
        <f t="shared" si="20"/>
        <v>0</v>
      </c>
      <c r="Y57" s="1">
        <f t="shared" si="20"/>
        <v>0</v>
      </c>
      <c r="Z57" s="1">
        <f t="shared" si="20"/>
        <v>0</v>
      </c>
      <c r="AA57" s="1">
        <f t="shared" si="20"/>
        <v>0</v>
      </c>
      <c r="AB57" s="1">
        <f t="shared" si="20"/>
        <v>0</v>
      </c>
      <c r="AC57" s="1">
        <f t="shared" si="20"/>
        <v>0</v>
      </c>
      <c r="AD57" s="1">
        <f t="shared" si="20"/>
        <v>0</v>
      </c>
      <c r="AE57" s="1">
        <f t="shared" si="20"/>
        <v>0</v>
      </c>
    </row>
    <row r="58" spans="1:31" x14ac:dyDescent="0.25">
      <c r="A58" s="3" t="s">
        <v>23</v>
      </c>
      <c r="B58" s="1">
        <f t="shared" ref="B58:AE58" si="21">IF(B24&gt;545.31,1,0)</f>
        <v>1</v>
      </c>
      <c r="C58" s="1">
        <f t="shared" si="21"/>
        <v>0</v>
      </c>
      <c r="D58" s="1">
        <f t="shared" si="21"/>
        <v>1</v>
      </c>
      <c r="E58" s="1">
        <f t="shared" si="21"/>
        <v>0</v>
      </c>
      <c r="F58" s="1">
        <f t="shared" si="21"/>
        <v>0</v>
      </c>
      <c r="G58" s="1">
        <f t="shared" si="21"/>
        <v>1</v>
      </c>
      <c r="H58" s="1">
        <f t="shared" si="21"/>
        <v>1</v>
      </c>
      <c r="I58" s="1">
        <f t="shared" si="21"/>
        <v>1</v>
      </c>
      <c r="J58" s="1">
        <f t="shared" si="21"/>
        <v>0</v>
      </c>
      <c r="K58" s="1">
        <f t="shared" si="21"/>
        <v>0</v>
      </c>
      <c r="L58" s="1">
        <f t="shared" si="21"/>
        <v>0</v>
      </c>
      <c r="M58" s="1">
        <f t="shared" si="21"/>
        <v>1</v>
      </c>
      <c r="N58" s="1">
        <f t="shared" si="21"/>
        <v>0</v>
      </c>
      <c r="O58" s="1">
        <f t="shared" si="21"/>
        <v>0</v>
      </c>
      <c r="P58" s="1">
        <f t="shared" si="21"/>
        <v>0</v>
      </c>
      <c r="Q58" s="1">
        <f t="shared" si="21"/>
        <v>0</v>
      </c>
      <c r="R58" s="1">
        <f t="shared" si="21"/>
        <v>0</v>
      </c>
      <c r="S58" s="1">
        <f t="shared" si="21"/>
        <v>1</v>
      </c>
      <c r="T58" s="1">
        <f t="shared" si="21"/>
        <v>0</v>
      </c>
      <c r="U58" s="1">
        <f t="shared" si="21"/>
        <v>0</v>
      </c>
      <c r="V58" s="1">
        <f t="shared" si="21"/>
        <v>1</v>
      </c>
      <c r="W58" s="1">
        <f t="shared" si="21"/>
        <v>0</v>
      </c>
      <c r="X58" s="1">
        <f t="shared" si="21"/>
        <v>0</v>
      </c>
      <c r="Y58" s="1">
        <f t="shared" si="21"/>
        <v>0</v>
      </c>
      <c r="Z58" s="1">
        <f t="shared" si="21"/>
        <v>0</v>
      </c>
      <c r="AA58" s="1">
        <f t="shared" si="21"/>
        <v>0</v>
      </c>
      <c r="AB58" s="1">
        <f t="shared" si="21"/>
        <v>0</v>
      </c>
      <c r="AC58" s="1">
        <f t="shared" si="21"/>
        <v>0</v>
      </c>
      <c r="AD58" s="1">
        <f t="shared" si="21"/>
        <v>0</v>
      </c>
      <c r="AE58" s="1">
        <f t="shared" si="21"/>
        <v>0</v>
      </c>
    </row>
    <row r="59" spans="1:31" x14ac:dyDescent="0.25">
      <c r="A59" s="3" t="s">
        <v>24</v>
      </c>
      <c r="B59" s="1">
        <f t="shared" ref="B59:AE59" si="22">IF(B25&gt;545.31,1,0)</f>
        <v>0</v>
      </c>
      <c r="C59" s="1">
        <f t="shared" si="22"/>
        <v>0</v>
      </c>
      <c r="D59" s="1">
        <f t="shared" si="22"/>
        <v>1</v>
      </c>
      <c r="E59" s="1">
        <f t="shared" si="22"/>
        <v>0</v>
      </c>
      <c r="F59" s="1">
        <f t="shared" si="22"/>
        <v>0</v>
      </c>
      <c r="G59" s="1">
        <f t="shared" si="22"/>
        <v>0</v>
      </c>
      <c r="H59" s="1">
        <f t="shared" si="22"/>
        <v>0</v>
      </c>
      <c r="I59" s="1">
        <f t="shared" si="22"/>
        <v>0</v>
      </c>
      <c r="J59" s="1">
        <f t="shared" si="22"/>
        <v>0</v>
      </c>
      <c r="K59" s="1">
        <f t="shared" si="22"/>
        <v>0</v>
      </c>
      <c r="L59" s="1">
        <f t="shared" si="22"/>
        <v>0</v>
      </c>
      <c r="M59" s="1">
        <f t="shared" si="22"/>
        <v>1</v>
      </c>
      <c r="N59" s="1">
        <f t="shared" si="22"/>
        <v>0</v>
      </c>
      <c r="O59" s="1">
        <f t="shared" si="22"/>
        <v>0</v>
      </c>
      <c r="P59" s="1">
        <f t="shared" si="22"/>
        <v>0</v>
      </c>
      <c r="Q59" s="1">
        <f t="shared" si="22"/>
        <v>0</v>
      </c>
      <c r="R59" s="1">
        <f t="shared" si="22"/>
        <v>0</v>
      </c>
      <c r="S59" s="1">
        <f t="shared" si="22"/>
        <v>0</v>
      </c>
      <c r="T59" s="1">
        <f t="shared" si="22"/>
        <v>0</v>
      </c>
      <c r="U59" s="1">
        <f t="shared" si="22"/>
        <v>0</v>
      </c>
      <c r="V59" s="1">
        <f t="shared" si="22"/>
        <v>0</v>
      </c>
      <c r="W59" s="1">
        <f t="shared" si="22"/>
        <v>0</v>
      </c>
      <c r="X59" s="1">
        <f t="shared" si="22"/>
        <v>0</v>
      </c>
      <c r="Y59" s="1">
        <f t="shared" si="22"/>
        <v>0</v>
      </c>
      <c r="Z59" s="1">
        <f t="shared" si="22"/>
        <v>0</v>
      </c>
      <c r="AA59" s="1">
        <f t="shared" si="22"/>
        <v>0</v>
      </c>
      <c r="AB59" s="1">
        <f t="shared" si="22"/>
        <v>0</v>
      </c>
      <c r="AC59" s="1">
        <f t="shared" si="22"/>
        <v>0</v>
      </c>
      <c r="AD59" s="1">
        <f t="shared" si="22"/>
        <v>0</v>
      </c>
      <c r="AE59" s="1">
        <f t="shared" si="22"/>
        <v>0</v>
      </c>
    </row>
    <row r="60" spans="1:31" x14ac:dyDescent="0.25">
      <c r="A60" s="3" t="s">
        <v>25</v>
      </c>
      <c r="B60" s="1">
        <f t="shared" ref="B60:AE60" si="23">IF(B26&gt;545.31,1,0)</f>
        <v>0</v>
      </c>
      <c r="C60" s="1">
        <f t="shared" si="23"/>
        <v>0</v>
      </c>
      <c r="D60" s="1">
        <f t="shared" si="23"/>
        <v>0</v>
      </c>
      <c r="E60" s="1">
        <f t="shared" si="23"/>
        <v>0</v>
      </c>
      <c r="F60" s="1">
        <f t="shared" si="23"/>
        <v>0</v>
      </c>
      <c r="G60" s="1">
        <f t="shared" si="23"/>
        <v>0</v>
      </c>
      <c r="H60" s="1">
        <f t="shared" si="23"/>
        <v>0</v>
      </c>
      <c r="I60" s="1">
        <f t="shared" si="23"/>
        <v>0</v>
      </c>
      <c r="J60" s="1">
        <f t="shared" si="23"/>
        <v>0</v>
      </c>
      <c r="K60" s="1">
        <f t="shared" si="23"/>
        <v>0</v>
      </c>
      <c r="L60" s="1">
        <f t="shared" si="23"/>
        <v>0</v>
      </c>
      <c r="M60" s="1">
        <f t="shared" si="23"/>
        <v>0</v>
      </c>
      <c r="N60" s="1">
        <f t="shared" si="23"/>
        <v>0</v>
      </c>
      <c r="O60" s="1">
        <f t="shared" si="23"/>
        <v>0</v>
      </c>
      <c r="P60" s="1">
        <f t="shared" si="23"/>
        <v>0</v>
      </c>
      <c r="Q60" s="1">
        <f t="shared" si="23"/>
        <v>0</v>
      </c>
      <c r="R60" s="1">
        <f t="shared" si="23"/>
        <v>0</v>
      </c>
      <c r="S60" s="1">
        <f t="shared" si="23"/>
        <v>0</v>
      </c>
      <c r="T60" s="1">
        <f t="shared" si="23"/>
        <v>0</v>
      </c>
      <c r="U60" s="1">
        <f t="shared" si="23"/>
        <v>0</v>
      </c>
      <c r="V60" s="1">
        <f t="shared" si="23"/>
        <v>0</v>
      </c>
      <c r="W60" s="1">
        <f t="shared" si="23"/>
        <v>0</v>
      </c>
      <c r="X60" s="1">
        <f t="shared" si="23"/>
        <v>0</v>
      </c>
      <c r="Y60" s="1">
        <f t="shared" si="23"/>
        <v>0</v>
      </c>
      <c r="Z60" s="1">
        <f t="shared" si="23"/>
        <v>0</v>
      </c>
      <c r="AA60" s="1">
        <f t="shared" si="23"/>
        <v>0</v>
      </c>
      <c r="AB60" s="1">
        <f t="shared" si="23"/>
        <v>0</v>
      </c>
      <c r="AC60" s="1">
        <f t="shared" si="23"/>
        <v>0</v>
      </c>
      <c r="AD60" s="1">
        <f t="shared" si="23"/>
        <v>0</v>
      </c>
      <c r="AE60" s="1">
        <f t="shared" si="23"/>
        <v>0</v>
      </c>
    </row>
    <row r="61" spans="1:31" x14ac:dyDescent="0.25">
      <c r="A61" s="3" t="s">
        <v>26</v>
      </c>
      <c r="B61" s="1">
        <f t="shared" ref="B61:AE61" si="24">IF(B27&gt;545.31,1,0)</f>
        <v>1</v>
      </c>
      <c r="C61" s="1">
        <f t="shared" si="24"/>
        <v>0</v>
      </c>
      <c r="D61" s="1">
        <f t="shared" si="24"/>
        <v>0</v>
      </c>
      <c r="E61" s="1">
        <f t="shared" si="24"/>
        <v>0</v>
      </c>
      <c r="F61" s="1">
        <f t="shared" si="24"/>
        <v>0</v>
      </c>
      <c r="G61" s="1">
        <f t="shared" si="24"/>
        <v>0</v>
      </c>
      <c r="H61" s="1">
        <f t="shared" si="24"/>
        <v>0</v>
      </c>
      <c r="I61" s="1">
        <f t="shared" si="24"/>
        <v>0</v>
      </c>
      <c r="J61" s="1">
        <f t="shared" si="24"/>
        <v>1</v>
      </c>
      <c r="K61" s="1">
        <f t="shared" si="24"/>
        <v>0</v>
      </c>
      <c r="L61" s="1">
        <f t="shared" si="24"/>
        <v>0</v>
      </c>
      <c r="M61" s="1">
        <f t="shared" si="24"/>
        <v>0</v>
      </c>
      <c r="N61" s="1">
        <f t="shared" si="24"/>
        <v>0</v>
      </c>
      <c r="O61" s="1">
        <f t="shared" si="24"/>
        <v>1</v>
      </c>
      <c r="P61" s="1">
        <f t="shared" si="24"/>
        <v>0</v>
      </c>
      <c r="Q61" s="1">
        <f t="shared" si="24"/>
        <v>0</v>
      </c>
      <c r="R61" s="1">
        <f t="shared" si="24"/>
        <v>0</v>
      </c>
      <c r="S61" s="1">
        <f t="shared" si="24"/>
        <v>0</v>
      </c>
      <c r="T61" s="1">
        <f t="shared" si="24"/>
        <v>0</v>
      </c>
      <c r="U61" s="1">
        <f t="shared" si="24"/>
        <v>0</v>
      </c>
      <c r="V61" s="1">
        <f t="shared" si="24"/>
        <v>0</v>
      </c>
      <c r="W61" s="1">
        <f t="shared" si="24"/>
        <v>0</v>
      </c>
      <c r="X61" s="1">
        <f t="shared" si="24"/>
        <v>0</v>
      </c>
      <c r="Y61" s="1">
        <f t="shared" si="24"/>
        <v>0</v>
      </c>
      <c r="Z61" s="1">
        <f t="shared" si="24"/>
        <v>0</v>
      </c>
      <c r="AA61" s="1">
        <f t="shared" si="24"/>
        <v>0</v>
      </c>
      <c r="AB61" s="1">
        <f t="shared" si="24"/>
        <v>0</v>
      </c>
      <c r="AC61" s="1">
        <f t="shared" si="24"/>
        <v>0</v>
      </c>
      <c r="AD61" s="1">
        <f t="shared" si="24"/>
        <v>0</v>
      </c>
      <c r="AE61" s="1">
        <f t="shared" si="24"/>
        <v>0</v>
      </c>
    </row>
    <row r="62" spans="1:31" x14ac:dyDescent="0.25">
      <c r="A62" s="3" t="s">
        <v>27</v>
      </c>
      <c r="B62" s="1">
        <f t="shared" ref="B62:AE62" si="25">IF(B28&gt;545.31,1,0)</f>
        <v>0</v>
      </c>
      <c r="C62" s="1">
        <f t="shared" si="25"/>
        <v>0</v>
      </c>
      <c r="D62" s="1">
        <f t="shared" si="25"/>
        <v>0</v>
      </c>
      <c r="E62" s="1">
        <f t="shared" si="25"/>
        <v>0</v>
      </c>
      <c r="F62" s="1">
        <f t="shared" si="25"/>
        <v>0</v>
      </c>
      <c r="G62" s="1">
        <f t="shared" si="25"/>
        <v>0</v>
      </c>
      <c r="H62" s="1">
        <f t="shared" si="25"/>
        <v>0</v>
      </c>
      <c r="I62" s="1">
        <f t="shared" si="25"/>
        <v>0</v>
      </c>
      <c r="J62" s="1">
        <f t="shared" si="25"/>
        <v>0</v>
      </c>
      <c r="K62" s="1">
        <f t="shared" si="25"/>
        <v>0</v>
      </c>
      <c r="L62" s="1">
        <f t="shared" si="25"/>
        <v>0</v>
      </c>
      <c r="M62" s="1">
        <f t="shared" si="25"/>
        <v>0</v>
      </c>
      <c r="N62" s="1">
        <f t="shared" si="25"/>
        <v>0</v>
      </c>
      <c r="O62" s="1">
        <f t="shared" si="25"/>
        <v>1</v>
      </c>
      <c r="P62" s="1">
        <f t="shared" si="25"/>
        <v>0</v>
      </c>
      <c r="Q62" s="1">
        <f t="shared" si="25"/>
        <v>0</v>
      </c>
      <c r="R62" s="1">
        <f t="shared" si="25"/>
        <v>0</v>
      </c>
      <c r="S62" s="1">
        <f t="shared" si="25"/>
        <v>0</v>
      </c>
      <c r="T62" s="1">
        <f t="shared" si="25"/>
        <v>0</v>
      </c>
      <c r="U62" s="1">
        <f t="shared" si="25"/>
        <v>0</v>
      </c>
      <c r="V62" s="1">
        <f t="shared" si="25"/>
        <v>0</v>
      </c>
      <c r="W62" s="1">
        <f t="shared" si="25"/>
        <v>0</v>
      </c>
      <c r="X62" s="1">
        <f t="shared" si="25"/>
        <v>0</v>
      </c>
      <c r="Y62" s="1">
        <f t="shared" si="25"/>
        <v>0</v>
      </c>
      <c r="Z62" s="1">
        <f t="shared" si="25"/>
        <v>0</v>
      </c>
      <c r="AA62" s="1">
        <f t="shared" si="25"/>
        <v>0</v>
      </c>
      <c r="AB62" s="1">
        <f t="shared" si="25"/>
        <v>1</v>
      </c>
      <c r="AC62" s="1">
        <f t="shared" si="25"/>
        <v>1</v>
      </c>
      <c r="AD62" s="1">
        <f t="shared" si="25"/>
        <v>1</v>
      </c>
      <c r="AE62" s="1">
        <f t="shared" si="25"/>
        <v>0</v>
      </c>
    </row>
    <row r="63" spans="1:31" x14ac:dyDescent="0.25">
      <c r="A63" s="3" t="s">
        <v>28</v>
      </c>
      <c r="B63" s="1">
        <f t="shared" ref="B63:AE63" si="26">IF(B29&gt;545.31,1,0)</f>
        <v>0</v>
      </c>
      <c r="C63" s="1">
        <f t="shared" si="26"/>
        <v>0</v>
      </c>
      <c r="D63" s="1">
        <f t="shared" si="26"/>
        <v>0</v>
      </c>
      <c r="E63" s="1">
        <f t="shared" si="26"/>
        <v>0</v>
      </c>
      <c r="F63" s="1">
        <f t="shared" si="26"/>
        <v>0</v>
      </c>
      <c r="G63" s="1">
        <f t="shared" si="26"/>
        <v>0</v>
      </c>
      <c r="H63" s="1">
        <f t="shared" si="26"/>
        <v>0</v>
      </c>
      <c r="I63" s="1">
        <f t="shared" si="26"/>
        <v>0</v>
      </c>
      <c r="J63" s="1">
        <f t="shared" si="26"/>
        <v>0</v>
      </c>
      <c r="K63" s="1">
        <f t="shared" si="26"/>
        <v>0</v>
      </c>
      <c r="L63" s="1">
        <f t="shared" si="26"/>
        <v>0</v>
      </c>
      <c r="M63" s="1">
        <f t="shared" si="26"/>
        <v>0</v>
      </c>
      <c r="N63" s="1">
        <f t="shared" si="26"/>
        <v>0</v>
      </c>
      <c r="O63" s="1">
        <f t="shared" si="26"/>
        <v>1</v>
      </c>
      <c r="P63" s="1">
        <f t="shared" si="26"/>
        <v>0</v>
      </c>
      <c r="Q63" s="1">
        <f t="shared" si="26"/>
        <v>1</v>
      </c>
      <c r="R63" s="1">
        <f t="shared" si="26"/>
        <v>0</v>
      </c>
      <c r="S63" s="1">
        <f t="shared" si="26"/>
        <v>0</v>
      </c>
      <c r="T63" s="1">
        <f t="shared" si="26"/>
        <v>0</v>
      </c>
      <c r="U63" s="1">
        <f t="shared" si="26"/>
        <v>0</v>
      </c>
      <c r="V63" s="1">
        <f t="shared" si="26"/>
        <v>0</v>
      </c>
      <c r="W63" s="1">
        <f t="shared" si="26"/>
        <v>0</v>
      </c>
      <c r="X63" s="1">
        <f t="shared" si="26"/>
        <v>0</v>
      </c>
      <c r="Y63" s="1">
        <f t="shared" si="26"/>
        <v>0</v>
      </c>
      <c r="Z63" s="1">
        <f t="shared" si="26"/>
        <v>0</v>
      </c>
      <c r="AA63" s="1">
        <f t="shared" si="26"/>
        <v>1</v>
      </c>
      <c r="AB63" s="1">
        <f t="shared" si="26"/>
        <v>0</v>
      </c>
      <c r="AC63" s="1">
        <f t="shared" si="26"/>
        <v>0</v>
      </c>
      <c r="AD63" s="1">
        <f t="shared" si="26"/>
        <v>0</v>
      </c>
      <c r="AE63" s="1">
        <f t="shared" si="26"/>
        <v>1</v>
      </c>
    </row>
    <row r="64" spans="1:31" x14ac:dyDescent="0.25">
      <c r="A64" s="3" t="s">
        <v>29</v>
      </c>
      <c r="B64" s="1">
        <f t="shared" ref="B64:AE64" si="27">IF(B30&gt;545.31,1,0)</f>
        <v>0</v>
      </c>
      <c r="C64" s="1">
        <f t="shared" si="27"/>
        <v>0</v>
      </c>
      <c r="D64" s="1">
        <f t="shared" si="27"/>
        <v>0</v>
      </c>
      <c r="E64" s="1">
        <f t="shared" si="27"/>
        <v>0</v>
      </c>
      <c r="F64" s="1">
        <f t="shared" si="27"/>
        <v>0</v>
      </c>
      <c r="G64" s="1">
        <f t="shared" si="27"/>
        <v>0</v>
      </c>
      <c r="H64" s="1">
        <f t="shared" si="27"/>
        <v>0</v>
      </c>
      <c r="I64" s="1">
        <f t="shared" si="27"/>
        <v>0</v>
      </c>
      <c r="J64" s="1">
        <f t="shared" si="27"/>
        <v>0</v>
      </c>
      <c r="K64" s="1">
        <f t="shared" si="27"/>
        <v>0</v>
      </c>
      <c r="L64" s="1">
        <f t="shared" si="27"/>
        <v>0</v>
      </c>
      <c r="M64" s="1">
        <f t="shared" si="27"/>
        <v>0</v>
      </c>
      <c r="N64" s="1">
        <f t="shared" si="27"/>
        <v>0</v>
      </c>
      <c r="O64" s="1">
        <f t="shared" si="27"/>
        <v>0</v>
      </c>
      <c r="P64" s="1">
        <f t="shared" si="27"/>
        <v>0</v>
      </c>
      <c r="Q64" s="1">
        <f t="shared" si="27"/>
        <v>0</v>
      </c>
      <c r="R64" s="1">
        <f t="shared" si="27"/>
        <v>0</v>
      </c>
      <c r="S64" s="1">
        <f t="shared" si="27"/>
        <v>0</v>
      </c>
      <c r="T64" s="1">
        <f t="shared" si="27"/>
        <v>0</v>
      </c>
      <c r="U64" s="1">
        <f t="shared" si="27"/>
        <v>0</v>
      </c>
      <c r="V64" s="1">
        <f t="shared" si="27"/>
        <v>0</v>
      </c>
      <c r="W64" s="1">
        <f t="shared" si="27"/>
        <v>0</v>
      </c>
      <c r="X64" s="1">
        <f t="shared" si="27"/>
        <v>0</v>
      </c>
      <c r="Y64" s="1">
        <f t="shared" si="27"/>
        <v>0</v>
      </c>
      <c r="Z64" s="1">
        <f t="shared" si="27"/>
        <v>0</v>
      </c>
      <c r="AA64" s="1">
        <f t="shared" si="27"/>
        <v>1</v>
      </c>
      <c r="AB64" s="1">
        <f t="shared" si="27"/>
        <v>0</v>
      </c>
      <c r="AC64" s="1">
        <f t="shared" si="27"/>
        <v>0</v>
      </c>
      <c r="AD64" s="1">
        <f t="shared" si="27"/>
        <v>1</v>
      </c>
      <c r="AE64" s="1">
        <f t="shared" si="27"/>
        <v>0</v>
      </c>
    </row>
    <row r="65" spans="1:31" x14ac:dyDescent="0.25">
      <c r="A65" s="3" t="s">
        <v>30</v>
      </c>
      <c r="B65" s="1">
        <f t="shared" ref="B65:AE65" si="28">IF(B31&gt;545.31,1,0)</f>
        <v>0</v>
      </c>
      <c r="C65" s="1">
        <f t="shared" si="28"/>
        <v>0</v>
      </c>
      <c r="D65" s="1">
        <f t="shared" si="28"/>
        <v>0</v>
      </c>
      <c r="E65" s="1">
        <f t="shared" si="28"/>
        <v>0</v>
      </c>
      <c r="F65" s="1">
        <f t="shared" si="28"/>
        <v>0</v>
      </c>
      <c r="G65" s="1">
        <f t="shared" si="28"/>
        <v>0</v>
      </c>
      <c r="H65" s="1">
        <f t="shared" si="28"/>
        <v>0</v>
      </c>
      <c r="I65" s="1">
        <f t="shared" si="28"/>
        <v>0</v>
      </c>
      <c r="J65" s="1">
        <f t="shared" si="28"/>
        <v>0</v>
      </c>
      <c r="K65" s="1">
        <f t="shared" si="28"/>
        <v>0</v>
      </c>
      <c r="L65" s="1">
        <f t="shared" si="28"/>
        <v>0</v>
      </c>
      <c r="M65" s="1">
        <f t="shared" si="28"/>
        <v>0</v>
      </c>
      <c r="N65" s="1">
        <f t="shared" si="28"/>
        <v>0</v>
      </c>
      <c r="O65" s="1">
        <f t="shared" si="28"/>
        <v>0</v>
      </c>
      <c r="P65" s="1">
        <f t="shared" si="28"/>
        <v>0</v>
      </c>
      <c r="Q65" s="1">
        <f t="shared" si="28"/>
        <v>0</v>
      </c>
      <c r="R65" s="1">
        <f t="shared" si="28"/>
        <v>0</v>
      </c>
      <c r="S65" s="1">
        <f t="shared" si="28"/>
        <v>0</v>
      </c>
      <c r="T65" s="1">
        <f t="shared" si="28"/>
        <v>0</v>
      </c>
      <c r="U65" s="1">
        <f t="shared" si="28"/>
        <v>0</v>
      </c>
      <c r="V65" s="1">
        <f t="shared" si="28"/>
        <v>0</v>
      </c>
      <c r="W65" s="1">
        <f t="shared" si="28"/>
        <v>0</v>
      </c>
      <c r="X65" s="1">
        <f t="shared" si="28"/>
        <v>0</v>
      </c>
      <c r="Y65" s="1">
        <f t="shared" si="28"/>
        <v>0</v>
      </c>
      <c r="Z65" s="1">
        <f t="shared" si="28"/>
        <v>0</v>
      </c>
      <c r="AA65" s="1">
        <f t="shared" si="28"/>
        <v>1</v>
      </c>
      <c r="AB65" s="1">
        <f t="shared" si="28"/>
        <v>0</v>
      </c>
      <c r="AC65" s="1">
        <f t="shared" si="28"/>
        <v>1</v>
      </c>
      <c r="AD65" s="1">
        <f t="shared" si="28"/>
        <v>0</v>
      </c>
      <c r="AE65" s="1">
        <f t="shared" si="28"/>
        <v>1</v>
      </c>
    </row>
    <row r="66" spans="1:31" x14ac:dyDescent="0.25">
      <c r="A66" s="3" t="s">
        <v>31</v>
      </c>
      <c r="B66" s="1">
        <f t="shared" ref="B66:AE66" si="29">IF(B32&gt;545.31,1,0)</f>
        <v>0</v>
      </c>
      <c r="C66" s="1">
        <f t="shared" si="29"/>
        <v>0</v>
      </c>
      <c r="D66" s="1">
        <f t="shared" si="29"/>
        <v>0</v>
      </c>
      <c r="E66" s="1">
        <f t="shared" si="29"/>
        <v>0</v>
      </c>
      <c r="F66" s="1">
        <f t="shared" si="29"/>
        <v>0</v>
      </c>
      <c r="G66" s="1">
        <f t="shared" si="29"/>
        <v>0</v>
      </c>
      <c r="H66" s="1">
        <f t="shared" si="29"/>
        <v>0</v>
      </c>
      <c r="I66" s="1">
        <f t="shared" si="29"/>
        <v>0</v>
      </c>
      <c r="J66" s="1">
        <f t="shared" si="29"/>
        <v>0</v>
      </c>
      <c r="K66" s="1">
        <f t="shared" si="29"/>
        <v>0</v>
      </c>
      <c r="L66" s="1">
        <f t="shared" si="29"/>
        <v>0</v>
      </c>
      <c r="M66" s="1">
        <f t="shared" si="29"/>
        <v>0</v>
      </c>
      <c r="N66" s="1">
        <f t="shared" si="29"/>
        <v>0</v>
      </c>
      <c r="O66" s="1">
        <f t="shared" si="29"/>
        <v>0</v>
      </c>
      <c r="P66" s="1">
        <f t="shared" si="29"/>
        <v>0</v>
      </c>
      <c r="Q66" s="1">
        <f t="shared" si="29"/>
        <v>1</v>
      </c>
      <c r="R66" s="1">
        <f t="shared" si="29"/>
        <v>0</v>
      </c>
      <c r="S66" s="1">
        <f t="shared" si="29"/>
        <v>0</v>
      </c>
      <c r="T66" s="1">
        <f t="shared" si="29"/>
        <v>0</v>
      </c>
      <c r="U66" s="1">
        <f t="shared" si="29"/>
        <v>0</v>
      </c>
      <c r="V66" s="1">
        <f t="shared" si="29"/>
        <v>0</v>
      </c>
      <c r="W66" s="1">
        <f t="shared" si="29"/>
        <v>0</v>
      </c>
      <c r="X66" s="1">
        <f t="shared" si="29"/>
        <v>0</v>
      </c>
      <c r="Y66" s="1">
        <f t="shared" si="29"/>
        <v>0</v>
      </c>
      <c r="Z66" s="1">
        <f t="shared" si="29"/>
        <v>0</v>
      </c>
      <c r="AA66" s="1">
        <f t="shared" si="29"/>
        <v>0</v>
      </c>
      <c r="AB66" s="1">
        <f t="shared" si="29"/>
        <v>1</v>
      </c>
      <c r="AC66" s="1">
        <f t="shared" si="29"/>
        <v>0</v>
      </c>
      <c r="AD66" s="1">
        <f t="shared" si="29"/>
        <v>1</v>
      </c>
      <c r="AE66" s="1">
        <f t="shared" si="29"/>
        <v>0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Location conditions</vt:lpstr>
      <vt:lpstr>City influence</vt:lpstr>
      <vt:lpstr>Information flow</vt:lpstr>
      <vt:lpstr>traffic flow</vt:lpstr>
      <vt:lpstr>Industrial structure</vt:lpstr>
      <vt:lpstr>Technological innovation</vt:lpstr>
      <vt:lpstr>Environmental quality</vt:lpstr>
      <vt:lpstr>Urban–rural gap</vt:lpstr>
      <vt:lpstr>Governmental regulation</vt:lpstr>
      <vt:lpstr>Urban Comprehensive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yanya</dc:creator>
  <cp:lastModifiedBy>yanhui yan</cp:lastModifiedBy>
  <dcterms:created xsi:type="dcterms:W3CDTF">2023-07-15T09:40:00Z</dcterms:created>
  <dcterms:modified xsi:type="dcterms:W3CDTF">2026-06-04T13:56:48Z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FAFAE2B27CCE49179AB892FBFB410725_13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